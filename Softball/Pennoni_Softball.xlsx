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1" activeTab="7" autoFilterDateGrouping="1"/>
  </bookViews>
  <sheets>
    <sheet xmlns:r="http://schemas.openxmlformats.org/officeDocument/2006/relationships" name="SOFTBALL" sheetId="1" state="visible" r:id="rId1"/>
    <sheet xmlns:r="http://schemas.openxmlformats.org/officeDocument/2006/relationships" name="Game 1" sheetId="2" state="visible" r:id="rId2"/>
    <sheet xmlns:r="http://schemas.openxmlformats.org/officeDocument/2006/relationships" name="Game 4" sheetId="3" state="visible" r:id="rId3"/>
    <sheet xmlns:r="http://schemas.openxmlformats.org/officeDocument/2006/relationships" name="Game 5" sheetId="4" state="visible" r:id="rId4"/>
    <sheet xmlns:r="http://schemas.openxmlformats.org/officeDocument/2006/relationships" name="Game 7" sheetId="5" state="visible" r:id="rId5"/>
    <sheet xmlns:r="http://schemas.openxmlformats.org/officeDocument/2006/relationships" name="Game 9" sheetId="6" state="visible" r:id="rId6"/>
    <sheet xmlns:r="http://schemas.openxmlformats.org/officeDocument/2006/relationships" name="Game 10" sheetId="7" state="visible" r:id="rId7"/>
    <sheet xmlns:r="http://schemas.openxmlformats.org/officeDocument/2006/relationships" name="Game 11" sheetId="8" state="visible" r:id="rId8"/>
    <sheet xmlns:r="http://schemas.openxmlformats.org/officeDocument/2006/relationships" name="Master Stat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&quot;Aptos Narrow&quot;"/>
      <color rgb="FF000000"/>
      <sz val="11"/>
    </font>
    <font>
      <name val="Arial"/>
      <family val="2"/>
      <color theme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FFD966"/>
        <bgColor rgb="FFFFD966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D966"/>
      </left>
      <right style="thin">
        <color rgb="FFFFD966"/>
      </right>
      <top style="thin">
        <color rgb="FFFFD966"/>
      </top>
      <bottom style="thin">
        <color rgb="FFFFD966"/>
      </bottom>
      <diagonal/>
    </border>
    <border>
      <left style="thin">
        <color rgb="FFFFD966"/>
      </left>
      <right style="thin">
        <color rgb="FF284E3F"/>
      </right>
      <top style="thin">
        <color rgb="FFFFD966"/>
      </top>
      <bottom style="thin">
        <color rgb="FFFFD966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49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164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164" fontId="1" fillId="0" borderId="5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0" borderId="8" applyAlignment="1" pivotButton="0" quotePrefix="0" xfId="0">
      <alignment vertical="center"/>
    </xf>
    <xf numFmtId="164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164" fontId="2" fillId="2" borderId="6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3" fillId="3" borderId="8" applyAlignment="1" pivotButton="0" quotePrefix="0" xfId="0">
      <alignment vertical="center"/>
    </xf>
    <xf numFmtId="164" fontId="3" fillId="3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4" borderId="8" applyAlignment="1" pivotButton="0" quotePrefix="0" xfId="0">
      <alignment vertical="center"/>
    </xf>
    <xf numFmtId="164" fontId="3" fillId="4" borderId="9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4" applyAlignment="1" pivotButton="0" quotePrefix="0" xfId="0">
      <alignment vertical="center"/>
    </xf>
    <xf numFmtId="0" fontId="4" fillId="0" borderId="0" applyAlignment="1" pivotButton="0" quotePrefix="0" xfId="0">
      <alignment horizontal="right"/>
    </xf>
    <xf numFmtId="0" fontId="2" fillId="0" borderId="0" pivotButton="0" quotePrefix="0" xfId="0"/>
    <xf numFmtId="164" fontId="3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2" fillId="0" borderId="12" applyAlignment="1" pivotButton="0" quotePrefix="0" xfId="0">
      <alignment vertical="center"/>
    </xf>
    <xf numFmtId="164" fontId="2" fillId="0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4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164" fontId="2" fillId="0" borderId="1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164" fontId="2" fillId="0" borderId="11" applyAlignment="1" pivotButton="0" quotePrefix="0" xfId="0">
      <alignment horizontal="center" vertical="center"/>
    </xf>
    <xf numFmtId="164" fontId="1" fillId="0" borderId="13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164" fontId="2" fillId="0" borderId="17" applyAlignment="1" pivotButton="0" quotePrefix="0" xfId="0">
      <alignment horizontal="center" vertical="center"/>
    </xf>
    <xf numFmtId="0" fontId="2" fillId="0" borderId="20" applyAlignment="1" pivotButton="0" quotePrefix="0" xfId="0">
      <alignment vertical="center"/>
    </xf>
    <xf numFmtId="164" fontId="2" fillId="0" borderId="14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164" fontId="2" fillId="0" borderId="15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3" borderId="20" applyAlignment="1" pivotButton="0" quotePrefix="0" xfId="0">
      <alignment vertical="center"/>
    </xf>
    <xf numFmtId="0" fontId="2" fillId="0" borderId="16" applyAlignment="1" pivotButton="0" quotePrefix="0" xfId="0">
      <alignment horizontal="center"/>
    </xf>
    <xf numFmtId="0" fontId="2" fillId="3" borderId="18" applyAlignment="1" pivotButton="0" quotePrefix="0" xfId="0">
      <alignment horizontal="center"/>
    </xf>
    <xf numFmtId="0" fontId="2" fillId="0" borderId="2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5" fillId="3" borderId="19" applyAlignment="1" pivotButton="0" quotePrefix="0" xfId="0">
      <alignment horizontal="center"/>
    </xf>
    <xf numFmtId="0" fontId="2" fillId="0" borderId="8" applyAlignment="1" pivotButton="0" quotePrefix="0" xfId="0">
      <alignment horizontal="left" vertical="center"/>
    </xf>
    <xf numFmtId="0" fontId="2" fillId="0" borderId="24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6" fillId="0" borderId="25" applyAlignment="1" pivotButton="0" quotePrefix="0" xfId="0">
      <alignment horizontal="center" vertical="top"/>
    </xf>
  </cellXfs>
  <cellStyles count="1">
    <cellStyle name="Normal" xfId="0" builtinId="0"/>
  </cellStyles>
  <dxfs count="129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60" defaultTableStyle="TableStyleMedium9" defaultPivotStyle="PivotStyleLight16">
    <tableStyle name="SOFTBALL-style" pivot="0" count="3">
      <tableStyleElement type="headerRow" dxfId="128"/>
      <tableStyleElement type="firstRowStripe" dxfId="127"/>
      <tableStyleElement type="secondRowStripe" dxfId="126"/>
    </tableStyle>
    <tableStyle name="Game 1-style" pivot="0" count="3">
      <tableStyleElement type="headerRow" dxfId="125"/>
      <tableStyleElement type="firstRowStripe" dxfId="124"/>
      <tableStyleElement type="secondRowStripe" dxfId="123"/>
    </tableStyle>
    <tableStyle name="Game 1-style 2" pivot="0" count="2">
      <tableStyleElement type="firstRowStripe" dxfId="122"/>
      <tableStyleElement type="secondRowStripe" dxfId="121"/>
    </tableStyle>
    <tableStyle name="Game 4-style" pivot="0" count="3">
      <tableStyleElement type="headerRow" dxfId="120"/>
      <tableStyleElement type="firstRowStripe" dxfId="119"/>
      <tableStyleElement type="secondRowStripe" dxfId="118"/>
    </tableStyle>
    <tableStyle name="Game 4-style 2" pivot="0" count="2">
      <tableStyleElement type="firstRowStripe" dxfId="117"/>
      <tableStyleElement type="secondRowStripe" dxfId="116"/>
    </tableStyle>
    <tableStyle name="Game 4-style 3" pivot="0" count="2">
      <tableStyleElement type="firstRowStripe" dxfId="115"/>
      <tableStyleElement type="secondRowStripe" dxfId="114"/>
    </tableStyle>
    <tableStyle name="Game 4-style 4" pivot="0" count="2">
      <tableStyleElement type="firstRowStripe" dxfId="113"/>
      <tableStyleElement type="secondRowStripe" dxfId="112"/>
    </tableStyle>
    <tableStyle name="Game 4-style 5" pivot="0" count="2">
      <tableStyleElement type="firstRowStripe" dxfId="111"/>
      <tableStyleElement type="secondRowStripe" dxfId="110"/>
    </tableStyle>
    <tableStyle name="Game 4-style 6" pivot="0" count="2">
      <tableStyleElement type="firstRowStripe" dxfId="109"/>
      <tableStyleElement type="secondRowStripe" dxfId="108"/>
    </tableStyle>
    <tableStyle name="Game 4-style 7" pivot="0" count="2">
      <tableStyleElement type="firstRowStripe" dxfId="107"/>
      <tableStyleElement type="secondRowStripe" dxfId="106"/>
    </tableStyle>
    <tableStyle name="Game 4-style 8" pivot="0" count="2">
      <tableStyleElement type="firstRowStripe" dxfId="105"/>
      <tableStyleElement type="secondRowStripe" dxfId="104"/>
    </tableStyle>
    <tableStyle name="Game 5-style" pivot="0" count="3">
      <tableStyleElement type="headerRow" dxfId="103"/>
      <tableStyleElement type="firstRowStripe" dxfId="102"/>
      <tableStyleElement type="secondRowStripe" dxfId="101"/>
    </tableStyle>
    <tableStyle name="Game 5-style 2" pivot="0" count="2">
      <tableStyleElement type="firstRowStripe" dxfId="100"/>
      <tableStyleElement type="secondRowStripe" dxfId="99"/>
    </tableStyle>
    <tableStyle name="Game 5-style 3" pivot="0" count="2">
      <tableStyleElement type="firstRowStripe" dxfId="98"/>
      <tableStyleElement type="secondRowStripe" dxfId="97"/>
    </tableStyle>
    <tableStyle name="Game 5-style 4" pivot="0" count="2">
      <tableStyleElement type="firstRowStripe" dxfId="96"/>
      <tableStyleElement type="secondRowStripe" dxfId="95"/>
    </tableStyle>
    <tableStyle name="Game 5-style 5" pivot="0" count="2">
      <tableStyleElement type="firstRowStripe" dxfId="94"/>
      <tableStyleElement type="secondRowStripe" dxfId="93"/>
    </tableStyle>
    <tableStyle name="Game 5-style 6" pivot="0" count="2">
      <tableStyleElement type="firstRowStripe" dxfId="92"/>
      <tableStyleElement type="secondRowStripe" dxfId="91"/>
    </tableStyle>
    <tableStyle name="Game 5-style 7" pivot="0" count="2">
      <tableStyleElement type="firstRowStripe" dxfId="90"/>
      <tableStyleElement type="secondRowStripe" dxfId="89"/>
    </tableStyle>
    <tableStyle name="Game 5-style 8" pivot="0" count="2">
      <tableStyleElement type="firstRowStripe" dxfId="88"/>
      <tableStyleElement type="secondRowStripe" dxfId="87"/>
    </tableStyle>
    <tableStyle name="Game 7-style" pivot="0" count="3">
      <tableStyleElement type="headerRow" dxfId="86"/>
      <tableStyleElement type="firstRowStripe" dxfId="85"/>
      <tableStyleElement type="secondRowStripe" dxfId="84"/>
    </tableStyle>
    <tableStyle name="Game 7-style 2" pivot="0" count="2">
      <tableStyleElement type="firstRowStripe" dxfId="83"/>
      <tableStyleElement type="secondRowStripe" dxfId="82"/>
    </tableStyle>
    <tableStyle name="Game 7-style 3" pivot="0" count="2">
      <tableStyleElement type="firstRowStripe" dxfId="81"/>
      <tableStyleElement type="secondRowStripe" dxfId="80"/>
    </tableStyle>
    <tableStyle name="Game 7-style 4" pivot="0" count="2">
      <tableStyleElement type="firstRowStripe" dxfId="79"/>
      <tableStyleElement type="secondRowStripe" dxfId="78"/>
    </tableStyle>
    <tableStyle name="Game 7-style 5" pivot="0" count="2">
      <tableStyleElement type="firstRowStripe" dxfId="77"/>
      <tableStyleElement type="secondRowStripe" dxfId="76"/>
    </tableStyle>
    <tableStyle name="Game 7-style 6" pivot="0" count="2">
      <tableStyleElement type="firstRowStripe" dxfId="75"/>
      <tableStyleElement type="secondRowStripe" dxfId="74"/>
    </tableStyle>
    <tableStyle name="Game 7-style 7" pivot="0" count="2">
      <tableStyleElement type="firstRowStripe" dxfId="73"/>
      <tableStyleElement type="secondRowStripe" dxfId="72"/>
    </tableStyle>
    <tableStyle name="Game 7-style 8" pivot="0" count="2">
      <tableStyleElement type="firstRowStripe" dxfId="71"/>
      <tableStyleElement type="secondRowStripe" dxfId="70"/>
    </tableStyle>
    <tableStyle name="Game 9-style" pivot="0" count="3">
      <tableStyleElement type="headerRow" dxfId="69"/>
      <tableStyleElement type="firstRowStripe" dxfId="68"/>
      <tableStyleElement type="secondRowStripe" dxfId="67"/>
    </tableStyle>
    <tableStyle name="Game 9-style 2" pivot="0" count="2">
      <tableStyleElement type="firstRowStripe" dxfId="66"/>
      <tableStyleElement type="secondRowStripe" dxfId="65"/>
    </tableStyle>
    <tableStyle name="Game 9-style 3" pivot="0" count="2">
      <tableStyleElement type="firstRowStripe" dxfId="64"/>
      <tableStyleElement type="secondRowStripe" dxfId="63"/>
    </tableStyle>
    <tableStyle name="Game 9-style 4" pivot="0" count="2">
      <tableStyleElement type="firstRowStripe" dxfId="62"/>
      <tableStyleElement type="secondRowStripe" dxfId="61"/>
    </tableStyle>
    <tableStyle name="Game 9-style 5" pivot="0" count="2">
      <tableStyleElement type="firstRowStripe" dxfId="60"/>
      <tableStyleElement type="secondRowStripe" dxfId="59"/>
    </tableStyle>
    <tableStyle name="Game 9-style 6" pivot="0" count="2">
      <tableStyleElement type="firstRowStripe" dxfId="58"/>
      <tableStyleElement type="secondRowStripe" dxfId="57"/>
    </tableStyle>
    <tableStyle name="Game 9-style 7" pivot="0" count="2">
      <tableStyleElement type="firstRowStripe" dxfId="56"/>
      <tableStyleElement type="secondRowStripe" dxfId="55"/>
    </tableStyle>
    <tableStyle name="Game 9-style 8" pivot="0" count="2">
      <tableStyleElement type="firstRowStripe" dxfId="54"/>
      <tableStyleElement type="secondRowStripe" dxfId="53"/>
    </tableStyle>
    <tableStyle name="Game 10-style" pivot="0" count="3">
      <tableStyleElement type="headerRow" dxfId="52"/>
      <tableStyleElement type="firstRowStripe" dxfId="51"/>
      <tableStyleElement type="secondRowStripe" dxfId="50"/>
    </tableStyle>
    <tableStyle name="Game 10-style 2" pivot="0" count="2">
      <tableStyleElement type="firstRowStripe" dxfId="49"/>
      <tableStyleElement type="secondRowStripe" dxfId="48"/>
    </tableStyle>
    <tableStyle name="Game 10-style 3" pivot="0" count="2">
      <tableStyleElement type="firstRowStripe" dxfId="47"/>
      <tableStyleElement type="secondRowStripe" dxfId="46"/>
    </tableStyle>
    <tableStyle name="Game 10-style 4" pivot="0" count="2">
      <tableStyleElement type="firstRowStripe" dxfId="45"/>
      <tableStyleElement type="secondRowStripe" dxfId="44"/>
    </tableStyle>
    <tableStyle name="Game 10-style 5" pivot="0" count="2">
      <tableStyleElement type="firstRowStripe" dxfId="43"/>
      <tableStyleElement type="secondRowStripe" dxfId="42"/>
    </tableStyle>
    <tableStyle name="Game 10-style 6" pivot="0" count="2">
      <tableStyleElement type="firstRowStripe" dxfId="41"/>
      <tableStyleElement type="secondRowStripe" dxfId="40"/>
    </tableStyle>
    <tableStyle name="Game 10-style 7" pivot="0" count="2">
      <tableStyleElement type="firstRowStripe" dxfId="39"/>
      <tableStyleElement type="secondRowStripe" dxfId="38"/>
    </tableStyle>
    <tableStyle name="Game 10-style 8" pivot="0" count="2">
      <tableStyleElement type="firstRowStripe" dxfId="37"/>
      <tableStyleElement type="secondRowStripe" dxfId="36"/>
    </tableStyle>
    <tableStyle name="Game 11-style" pivot="0" count="3">
      <tableStyleElement type="headerRow" dxfId="35"/>
      <tableStyleElement type="firstRowStripe" dxfId="34"/>
      <tableStyleElement type="secondRowStripe" dxfId="33"/>
    </tableStyle>
    <tableStyle name="Game 11-style 2" pivot="0" count="2">
      <tableStyleElement type="firstRowStripe" dxfId="32"/>
      <tableStyleElement type="secondRowStripe" dxfId="31"/>
    </tableStyle>
    <tableStyle name="Game 11-style 3" pivot="0" count="2">
      <tableStyleElement type="firstRowStripe" dxfId="30"/>
      <tableStyleElement type="secondRowStripe" dxfId="29"/>
    </tableStyle>
    <tableStyle name="Game 11-style 4" pivot="0" count="2">
      <tableStyleElement type="firstRowStripe" dxfId="28"/>
      <tableStyleElement type="secondRowStripe" dxfId="27"/>
    </tableStyle>
    <tableStyle name="Game 11-style 5" pivot="0" count="2">
      <tableStyleElement type="firstRowStripe" dxfId="26"/>
      <tableStyleElement type="secondRowStripe" dxfId="25"/>
    </tableStyle>
    <tableStyle name="Game 11-style 6" pivot="0" count="2">
      <tableStyleElement type="firstRowStripe" dxfId="24"/>
      <tableStyleElement type="secondRowStripe" dxfId="23"/>
    </tableStyle>
    <tableStyle name="Game 11-style 7" pivot="0" count="2">
      <tableStyleElement type="firstRowStripe" dxfId="22"/>
      <tableStyleElement type="secondRowStripe" dxfId="21"/>
    </tableStyle>
    <tableStyle name="Game 11-style 8" pivot="0" count="2">
      <tableStyleElement type="firstRowStripe" dxfId="20"/>
      <tableStyleElement type="secondRowStripe" dxfId="19"/>
    </tableStyle>
    <tableStyle name="Round 2-style" pivot="0" count="3">
      <tableStyleElement type="headerRow" dxfId="18"/>
      <tableStyleElement type="firstRowStripe" dxfId="17"/>
      <tableStyleElement type="secondRowStripe" dxfId="16"/>
    </tableStyle>
    <tableStyle name="Round 2-style 2" pivot="0" count="2">
      <tableStyleElement type="firstRowStripe" dxfId="15"/>
      <tableStyleElement type="secondRowStripe" dxfId="14"/>
    </tableStyle>
    <tableStyle name="Round 2-style 3" pivot="0" count="2">
      <tableStyleElement type="firstRowStripe" dxfId="13"/>
      <tableStyleElement type="secondRowStripe" dxfId="12"/>
    </tableStyle>
    <tableStyle name="Round 2-style 4" pivot="0" count="2">
      <tableStyleElement type="firstRowStripe" dxfId="11"/>
      <tableStyleElement type="secondRowStripe" dxfId="10"/>
    </tableStyle>
    <tableStyle name="Round 2-style 5" pivot="0" count="2">
      <tableStyleElement type="firstRowStripe" dxfId="9"/>
      <tableStyleElement type="secondRowStripe" dxfId="8"/>
    </tableStyle>
    <tableStyle name="Round 2-style 6" pivot="0" count="2">
      <tableStyleElement type="firstRowStripe" dxfId="7"/>
      <tableStyleElement type="secondRowStripe" dxfId="6"/>
    </tableStyle>
    <tableStyle name="Round 2-style 7" pivot="0" count="2">
      <tableStyleElement type="firstRowStripe" dxfId="5"/>
      <tableStyleElement type="secondRowStripe" dxfId="4"/>
    </tableStyle>
    <tableStyle name="Round 2-style 8" pivot="0" count="2">
      <tableStyleElement type="firstRowStripe" dxfId="3"/>
      <tableStyleElement type="secondRowStripe" dxfId="2"/>
    </tableStyle>
    <tableStyle name="Round 2-style 9" pivot="0" count="2"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Master_Sheet" displayName="Master_Sheet" ref="A1:S29" headerRowCount="1">
  <tableColumns count="19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TB"/>
    <tableColumn id="14" name="Runs Created"/>
    <tableColumn id="15" name="WAR"/>
    <tableColumn id="16" name="SLG %"/>
    <tableColumn id="17" name="OBP %"/>
    <tableColumn id="18" name="OPS %"/>
    <tableColumn id="19" name="Games"/>
  </tableColumns>
  <tableStyleInfo name="SOFTBALL-style" showFirstColumn="1" showLastColumn="1" showRowStripes="1" showColumnStripes="0"/>
</table>
</file>

<file path=xl/tables/table2.xml><?xml version="1.0" encoding="utf-8"?>
<table xmlns="http://schemas.openxmlformats.org/spreadsheetml/2006/main" id="2" name="Table1_2" displayName="Table1_2" ref="A1:R16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1-style" showFirstColumn="1" showLastColumn="1" showRowStripes="1" showColumnStripes="0"/>
</table>
</file>

<file path=xl/tables/table3.xml><?xml version="1.0" encoding="utf-8"?>
<table xmlns="http://schemas.openxmlformats.org/spreadsheetml/2006/main" id="3" name="Table1_3" displayName="Table1_3" ref="A1:R17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4-style" showFirstColumn="1" showLastColumn="1" showRowStripes="1" showColumnStripes="0"/>
</table>
</file>

<file path=xl/tables/table4.xml><?xml version="1.0" encoding="utf-8"?>
<table xmlns="http://schemas.openxmlformats.org/spreadsheetml/2006/main" id="4" name="Table1" displayName="Table1" ref="A1:R16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5-style" showFirstColumn="1" showLastColumn="1" showRowStripes="1" showColumnStripes="0"/>
</table>
</file>

<file path=xl/tables/table5.xml><?xml version="1.0" encoding="utf-8"?>
<table xmlns="http://schemas.openxmlformats.org/spreadsheetml/2006/main" id="5" name="Table1_4" displayName="Table1_4" ref="A1:R14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7-style" showFirstColumn="1" showLastColumn="1" showRowStripes="1" showColumnStripes="0"/>
</table>
</file>

<file path=xl/tables/table6.xml><?xml version="1.0" encoding="utf-8"?>
<table xmlns="http://schemas.openxmlformats.org/spreadsheetml/2006/main" id="6" name="Table1_5" displayName="Table1_5" ref="A1:R16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9-style" showFirstColumn="1" showLastColumn="1" showRowStripes="1" showColumnStripes="0"/>
</table>
</file>

<file path=xl/tables/table7.xml><?xml version="1.0" encoding="utf-8"?>
<table xmlns="http://schemas.openxmlformats.org/spreadsheetml/2006/main" id="7" name="Table1_6" displayName="Table1_6" ref="A1:R11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10-style" showFirstColumn="1" showLastColumn="1" showRowStripes="1" showColumnStripes="0"/>
</table>
</file>

<file path=xl/tables/table8.xml><?xml version="1.0" encoding="utf-8"?>
<table xmlns="http://schemas.openxmlformats.org/spreadsheetml/2006/main" id="8" name="Table1_7" displayName="Table1_7" ref="A1:R21" headerRowCount="1">
  <tableColumns count="18">
    <tableColumn id="1" name="Players"/>
    <tableColumn id="2" name="AVG"/>
    <tableColumn id="3" name="AB"/>
    <tableColumn id="4" name="H"/>
    <tableColumn id="5" name="1B"/>
    <tableColumn id="6" name="2B"/>
    <tableColumn id="7" name="3B"/>
    <tableColumn id="8" name="HR"/>
    <tableColumn id="9" name="RBI"/>
    <tableColumn id="10" name="R"/>
    <tableColumn id="11" name="BB"/>
    <tableColumn id="12" name="SO"/>
    <tableColumn id="13" name="SLG %"/>
    <tableColumn id="14" name="OBP %"/>
    <tableColumn id="15" name="OPS %"/>
    <tableColumn id="16" name="ABs RISP"/>
    <tableColumn id="17" name="Hits RISP"/>
    <tableColumn id="18" name="(BA/RISP)"/>
  </tableColumns>
  <tableStyleInfo name="Game 1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W1004"/>
  <sheetViews>
    <sheetView workbookViewId="0">
      <pane ySplit="1" topLeftCell="A2" activePane="bottomLeft" state="frozen"/>
      <selection pane="bottomLeft" activeCell="I36" sqref="I36"/>
    </sheetView>
  </sheetViews>
  <sheetFormatPr baseColWidth="8" defaultColWidth="12.5703125" defaultRowHeight="15.75" customHeight="1"/>
  <cols>
    <col width="18" customWidth="1" min="1" max="1"/>
    <col hidden="1" width="12.5703125" customWidth="1" min="11" max="12"/>
    <col width="15.5703125" customWidth="1" min="14" max="14"/>
    <col width="13.42578125" customWidth="1" min="15" max="15"/>
    <col width="13.5703125" customWidth="1" min="16" max="17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3" t="inlineStr">
        <is>
          <t>TB</t>
        </is>
      </c>
      <c r="N1" s="3" t="inlineStr">
        <is>
          <t>Runs Created</t>
        </is>
      </c>
      <c r="O1" s="3" t="inlineStr">
        <is>
          <t>WAR</t>
        </is>
      </c>
      <c r="P1" s="2" t="inlineStr">
        <is>
          <t>SLG %</t>
        </is>
      </c>
      <c r="Q1" s="2" t="inlineStr">
        <is>
          <t>OBP %</t>
        </is>
      </c>
      <c r="R1" s="2" t="inlineStr">
        <is>
          <t>OPS %</t>
        </is>
      </c>
      <c r="S1" s="4" t="inlineStr">
        <is>
          <t>Games</t>
        </is>
      </c>
      <c r="T1" s="27" t="n"/>
      <c r="U1" s="27" t="n"/>
      <c r="V1" s="27" t="n"/>
      <c r="W1" s="27" t="n"/>
    </row>
    <row r="2" ht="14.25" customHeight="1">
      <c r="A2" s="5" t="inlineStr">
        <is>
          <t>Daniel Hassell</t>
        </is>
      </c>
      <c r="B2" s="6">
        <f>$D$1:$D$86/$C$1:$C$86</f>
        <v/>
      </c>
      <c r="C2" s="7" t="n">
        <v>21</v>
      </c>
      <c r="D2" s="8" t="n">
        <v>17</v>
      </c>
      <c r="E2" s="8" t="n">
        <v>14</v>
      </c>
      <c r="F2" s="7" t="n">
        <v>3</v>
      </c>
      <c r="G2" s="7" t="n">
        <v>0</v>
      </c>
      <c r="H2" s="7" t="n">
        <v>0</v>
      </c>
      <c r="I2" s="7" t="n">
        <v>8</v>
      </c>
      <c r="J2" s="7" t="n">
        <v>9</v>
      </c>
      <c r="K2" s="7" t="n">
        <v>0</v>
      </c>
      <c r="L2" s="7" t="n">
        <v>0</v>
      </c>
      <c r="M2" s="8">
        <f>($E1:$E74*1 + $F1:$F74*2 + $G1:$G74*3 + $H1:$H74*4)</f>
        <v/>
      </c>
      <c r="N2" s="8">
        <f>ROUND($D1:$D74 * ($M1:$M74 / $C1:$C74), 2)</f>
        <v/>
      </c>
      <c r="O2" s="8" t="n">
        <v>1.05</v>
      </c>
      <c r="P2" s="6">
        <f>(($E1:$E74 + 2 * $F1:$F74 + 3 * $G1:$G74 + 4 * $H1:$H74) / $C1:$C74)</f>
        <v/>
      </c>
      <c r="Q2" s="6">
        <f>(($D$1:$D$86 + $K$1:$K$86) / ($C$1:$C$86 + $K$1:$K$86))</f>
        <v/>
      </c>
      <c r="R2" s="9">
        <f>(($D$1:$D$75 + $K$1:$K$75) / ($C$1:$C$75 + $K$1:$K$104)) + ((($E$1:$E$116) + (2 * $F$1:$F$116) + (3 * $G$1:$G$116) + (4 * $H$1:$H$116)) / $C$1:$C$75)</f>
        <v/>
      </c>
      <c r="S2" s="10" t="n">
        <v>7</v>
      </c>
      <c r="T2" s="27" t="n"/>
      <c r="U2" s="27" t="n"/>
      <c r="V2" s="27" t="n"/>
      <c r="W2" s="27" t="n"/>
    </row>
    <row r="3" ht="15.75" customHeight="1">
      <c r="A3" s="11" t="inlineStr">
        <is>
          <t>Louie Rodriguez</t>
        </is>
      </c>
      <c r="B3" s="12">
        <f>$D$1:$D$86/$C$1:$C$86</f>
        <v/>
      </c>
      <c r="C3" s="8" t="n">
        <v>23</v>
      </c>
      <c r="D3" s="13" t="n">
        <v>16</v>
      </c>
      <c r="E3" s="13" t="n">
        <v>13</v>
      </c>
      <c r="F3" s="13" t="n">
        <v>2</v>
      </c>
      <c r="G3" s="8" t="n">
        <v>1</v>
      </c>
      <c r="H3" s="13" t="n">
        <v>0</v>
      </c>
      <c r="I3" s="13" t="n">
        <v>3</v>
      </c>
      <c r="J3" s="8" t="n">
        <v>13</v>
      </c>
      <c r="K3" s="13" t="n">
        <v>0</v>
      </c>
      <c r="L3" s="13" t="n">
        <v>0</v>
      </c>
      <c r="M3" s="8">
        <f>($E2:$E75*1 + $F2:$F75*2 + $G2:$G75*3 + $H2:$H75*4)</f>
        <v/>
      </c>
      <c r="N3" s="13">
        <f>ROUND($D2:$D75 * ($M2:$M75 / $C2:$C75), 2)</f>
        <v/>
      </c>
      <c r="O3" s="13" t="n">
        <v>0.83</v>
      </c>
      <c r="P3" s="12">
        <f>(($E2:$E75 + 2 * $F2:$F75 + 3 * $G2:$G75 + 4 * $H2:$H75) / $C2:$C75)</f>
        <v/>
      </c>
      <c r="Q3" s="12">
        <f>(($D$1:$D$86 + $K$1:$K$86) / ($C$1:$C$86 + $K$1:$K$86))</f>
        <v/>
      </c>
      <c r="R3" s="14">
        <f>(($D$1:$D$75 + $K$1:$K$75) / ($C$1:$C$75 + $K$1:$K$104)) + ((($E$1:$E$116) + (2 * $F$1:$F$116) + (3 * $G$1:$G$116) + (4 * $H$1:$H$116)) / $C$1:$C$75)</f>
        <v/>
      </c>
      <c r="S3" s="10" t="n">
        <v>7</v>
      </c>
      <c r="T3" s="27" t="n"/>
      <c r="U3" s="27" t="n"/>
      <c r="V3" s="27" t="n"/>
      <c r="W3" s="27" t="n"/>
    </row>
    <row r="4" ht="14.25" customHeight="1">
      <c r="A4" s="5" t="inlineStr">
        <is>
          <t>Colman Closser</t>
        </is>
      </c>
      <c r="B4" s="6">
        <f>$D$1:$D$86/$C$1:$C$86</f>
        <v/>
      </c>
      <c r="C4" s="7" t="n">
        <v>15</v>
      </c>
      <c r="D4" s="7" t="n">
        <v>11</v>
      </c>
      <c r="E4" s="7" t="n">
        <v>8</v>
      </c>
      <c r="F4" s="7" t="n">
        <v>1</v>
      </c>
      <c r="G4" s="8" t="n">
        <v>1</v>
      </c>
      <c r="H4" s="8" t="n">
        <v>1</v>
      </c>
      <c r="I4" s="7" t="n">
        <v>7</v>
      </c>
      <c r="J4" s="7" t="n">
        <v>6</v>
      </c>
      <c r="K4" s="7" t="n">
        <v>0</v>
      </c>
      <c r="L4" s="7" t="n">
        <v>0</v>
      </c>
      <c r="M4" s="7">
        <f>($E3:$E76*1 + $F3:$F76*2 + $G3:$G76*3 + $H3:$H76*4)</f>
        <v/>
      </c>
      <c r="N4" s="7">
        <f>ROUND($D3:$D76 * ($M3:$M76 / $C3:$C76), 2)</f>
        <v/>
      </c>
      <c r="O4" s="7" t="n">
        <v>0.83</v>
      </c>
      <c r="P4" s="6">
        <f>(($E3:$E76 + 2 * $F3:$F76 + 3 * $G3:$G76 + 4 * $H3:$H76) / $C3:$C76)</f>
        <v/>
      </c>
      <c r="Q4" s="6">
        <f>(($D$1:$D$86 + $K$1:$K$86) / ($C$1:$C$86 + $K$1:$K$86))</f>
        <v/>
      </c>
      <c r="R4" s="9">
        <f>(($D$1:$D$75 + $K$1:$K$75) / ($C$1:$C$75 + $K$1:$K$104)) + ((($E$1:$E$116) + (2 * $F$1:$F$116) + (3 * $G$1:$G$116) + (4 * $H$1:$H$116)) / $C$1:$C$75)</f>
        <v/>
      </c>
      <c r="S4" s="15" t="n">
        <v>4</v>
      </c>
      <c r="T4" s="27" t="n"/>
      <c r="U4" s="27" t="n"/>
      <c r="V4" s="27" t="n"/>
      <c r="W4" s="27" t="n"/>
    </row>
    <row r="5" ht="14.25" customHeight="1">
      <c r="A5" s="11" t="inlineStr">
        <is>
          <t>Phil Matranga</t>
        </is>
      </c>
      <c r="B5" s="12">
        <f>$D$1:$D$86/$C$1:$C$86</f>
        <v/>
      </c>
      <c r="C5" s="13" t="n">
        <v>15</v>
      </c>
      <c r="D5" s="13" t="n">
        <v>9</v>
      </c>
      <c r="E5" s="13" t="n">
        <v>2</v>
      </c>
      <c r="F5" s="8" t="n">
        <v>5</v>
      </c>
      <c r="G5" s="8" t="n">
        <v>1</v>
      </c>
      <c r="H5" s="8" t="n">
        <v>1</v>
      </c>
      <c r="I5" s="13" t="n">
        <v>5</v>
      </c>
      <c r="J5" s="13" t="n">
        <v>4</v>
      </c>
      <c r="K5" s="13" t="n">
        <v>0</v>
      </c>
      <c r="L5" s="13" t="n">
        <v>0</v>
      </c>
      <c r="M5" s="13">
        <f>($E4:$E77*1 + $F4:$F77*2 + $G4:$G77*3 + $H4:$H77*4)</f>
        <v/>
      </c>
      <c r="N5" s="13">
        <f>ROUND($D4:$D77 * ($M4:$M77 / $C4:$C77), 2)</f>
        <v/>
      </c>
      <c r="O5" s="13" t="n">
        <v>0.74</v>
      </c>
      <c r="P5" s="16">
        <f>(($E4:$E77 + 2 * $F4:$F77 + 3 * $G4:$G77 + 4 * $H4:$H77) / $C4:$C77)</f>
        <v/>
      </c>
      <c r="Q5" s="12">
        <f>(($D$1:$D$86 + $K$1:$K$86) / ($C$1:$C$86 + $K$1:$K$86))</f>
        <v/>
      </c>
      <c r="R5" s="14">
        <f>(($D$1:$D$75 + $K$1:$K$75) / ($C$1:$C$75 + $K$1:$K$104)) + ((($E5:$E95) + (2 * $F5:$F95) + (3 * $G5:$G95) + (4 * $H5:$H95)) / $C$1:$C$75)</f>
        <v/>
      </c>
      <c r="S5" s="17" t="n">
        <v>6</v>
      </c>
      <c r="T5" s="27" t="n"/>
      <c r="U5" s="27" t="n"/>
      <c r="V5" s="27" t="n"/>
      <c r="W5" s="27" t="n"/>
    </row>
    <row r="6" ht="14.25" customHeight="1">
      <c r="A6" s="5" t="inlineStr">
        <is>
          <t>PJ Vorgic</t>
        </is>
      </c>
      <c r="B6" s="6">
        <f>$D$1:$D$86/$C$1:$C$86</f>
        <v/>
      </c>
      <c r="C6" s="8" t="n">
        <v>23</v>
      </c>
      <c r="D6" s="7" t="n">
        <v>14</v>
      </c>
      <c r="E6" s="7" t="n">
        <v>10</v>
      </c>
      <c r="F6" s="7" t="n">
        <v>1</v>
      </c>
      <c r="G6" s="8" t="n">
        <v>1</v>
      </c>
      <c r="H6" s="8" t="n">
        <v>1</v>
      </c>
      <c r="I6" s="8" t="n">
        <v>14</v>
      </c>
      <c r="J6" s="7" t="n">
        <v>9</v>
      </c>
      <c r="K6" s="7" t="n">
        <v>0</v>
      </c>
      <c r="L6" s="7" t="n">
        <v>0</v>
      </c>
      <c r="M6" s="7">
        <f>($E5:$E78*1 + $F5:$F78*2 + $G5:$G78*3 + $H5:$H78*4)</f>
        <v/>
      </c>
      <c r="N6" s="7">
        <f>ROUND($D5:$D78 * ($M5:$M78 / $C5:$C78), 2)</f>
        <v/>
      </c>
      <c r="O6" s="7" t="n">
        <v>0.64</v>
      </c>
      <c r="P6" s="6">
        <f>(($E5:$E78 + 2 * $F5:$F78 + 3 * $G5:$G78 + 4 * $H5:$H78) / $C5:$C78)</f>
        <v/>
      </c>
      <c r="Q6" s="6">
        <f>(($D$1:$D$86 + $K$1:$K$86) / ($C$1:$C$86 + $K$1:$K$86))</f>
        <v/>
      </c>
      <c r="R6" s="9">
        <f>(($D$1:$D$75 + $K$1:$K$75) / ($C$1:$C$75 + $K$1:$K$104)) + ((($E$1:$E$116) + (2 * $F$1:$F$116) + (3 * $G$1:$G$116) + (4 * $H$1:$H$116)) / $C$1:$C$75)</f>
        <v/>
      </c>
      <c r="S6" s="10" t="n">
        <v>7</v>
      </c>
      <c r="T6" s="27" t="n"/>
      <c r="U6" s="27" t="n"/>
      <c r="V6" s="27" t="n"/>
      <c r="W6" s="27" t="n"/>
    </row>
    <row r="7" ht="14.25" customHeight="1">
      <c r="A7" s="11" t="inlineStr">
        <is>
          <t>Robbie Wilson</t>
        </is>
      </c>
      <c r="B7" s="12">
        <f>$D$1:$D$86/$C$1:$C$86</f>
        <v/>
      </c>
      <c r="C7" s="13" t="n">
        <v>16</v>
      </c>
      <c r="D7" s="13" t="n">
        <v>11</v>
      </c>
      <c r="E7" s="13" t="n">
        <v>7</v>
      </c>
      <c r="F7" s="13" t="n">
        <v>4</v>
      </c>
      <c r="G7" s="13" t="n">
        <v>0</v>
      </c>
      <c r="H7" s="13" t="n">
        <v>0</v>
      </c>
      <c r="I7" s="13" t="n">
        <v>5</v>
      </c>
      <c r="J7" s="13" t="n">
        <v>9</v>
      </c>
      <c r="K7" s="13" t="n">
        <v>0</v>
      </c>
      <c r="L7" s="13" t="n">
        <v>0</v>
      </c>
      <c r="M7" s="13">
        <f>($E6:$E79*1 + $F6:$F79*2 + $G6:$G79*3 + $H6:$H79*4)</f>
        <v/>
      </c>
      <c r="N7" s="13">
        <f>ROUND($D6:$D79 * ($M6:$M79 / $C6:$C79), 2)</f>
        <v/>
      </c>
      <c r="O7" s="13" t="n">
        <v>0.63</v>
      </c>
      <c r="P7" s="12">
        <f>(($E6:$E79 + 2 * $F6:$F79 + 3 * $G6:$G79 + 4 * $H6:$H79) / $C6:$C79)</f>
        <v/>
      </c>
      <c r="Q7" s="12">
        <f>(($D$1:$D$86 + $K$1:$K$86) / ($C$1:$C$86 + $K$1:$K$86))</f>
        <v/>
      </c>
      <c r="R7" s="14">
        <f>(($D$1:$D$75 + $K$1:$K$75) / ($C$1:$C$75 + $K$1:$K$104)) + ((($E$1:$E$116) + (2 * $F$1:$F$116) + (3 * $G$1:$G$116) + (4 * $H$1:$H$116)) / $C$1:$C$75)</f>
        <v/>
      </c>
      <c r="S7" s="17" t="n">
        <v>5</v>
      </c>
      <c r="T7" s="27" t="n"/>
      <c r="U7" s="27" t="n"/>
      <c r="V7" s="27" t="n"/>
      <c r="W7" s="27" t="n"/>
    </row>
    <row r="8" ht="14.25" customHeight="1">
      <c r="A8" s="18" t="inlineStr">
        <is>
          <t>Nikola Loncar</t>
        </is>
      </c>
      <c r="B8" s="16">
        <f>$D$1:$D$87/$C$1:$C$87</f>
        <v/>
      </c>
      <c r="C8" s="7" t="n">
        <v>10</v>
      </c>
      <c r="D8" s="7" t="n">
        <v>9</v>
      </c>
      <c r="E8" s="7" t="n">
        <v>8</v>
      </c>
      <c r="F8" s="7" t="n">
        <v>1</v>
      </c>
      <c r="G8" s="7" t="n">
        <v>0</v>
      </c>
      <c r="H8" s="7" t="n">
        <v>0</v>
      </c>
      <c r="I8" s="7" t="n">
        <v>7</v>
      </c>
      <c r="J8" s="7" t="n">
        <v>6</v>
      </c>
      <c r="K8" s="7" t="n">
        <v>0</v>
      </c>
      <c r="L8" s="7" t="n">
        <v>0</v>
      </c>
      <c r="M8" s="7">
        <f>($E7:$E80*1 + $F7:$F80*2 + $G7:$G80*3 + $H7:$H80*4)</f>
        <v/>
      </c>
      <c r="N8" s="7">
        <f>ROUND($D7:$D80 * ($M7:$M80 / $C7:$C80), 2)</f>
        <v/>
      </c>
      <c r="O8" s="7" t="n">
        <v>0.61</v>
      </c>
      <c r="P8" s="6">
        <f>(($E7:$E80 + 2 * $F7:$F80 + 3 * $G7:$G80 + 4 * $H7:$H80) / $C7:$C80)</f>
        <v/>
      </c>
      <c r="Q8" s="16">
        <f>(($D$1:$D$86 + $K$1:$K$86) / ($C$1:$C$86 + $K$1:$K$86))</f>
        <v/>
      </c>
      <c r="R8" s="16">
        <f>(($D$1:$D$76 + $K$1:$K$76) / ($C$1:$C$76 + $K$1:$K$105)) + ((($E$1:$E$117) + (2 * $F$1:$F$117) + (3 * $G$1:$G$117) + (4 * $H$1:$H$117)) / $C$1:$C$76)</f>
        <v/>
      </c>
      <c r="S8" s="15" t="n">
        <v>4</v>
      </c>
      <c r="T8" s="27" t="n"/>
      <c r="U8" s="27" t="n"/>
      <c r="V8" s="27" t="n"/>
      <c r="W8" s="27" t="n"/>
    </row>
    <row r="9" ht="14.25" customHeight="1">
      <c r="A9" s="19" t="inlineStr">
        <is>
          <t>James Dunbar</t>
        </is>
      </c>
      <c r="B9" s="20">
        <f>$D$1:$D$81/$C$1:$C$81</f>
        <v/>
      </c>
      <c r="C9" s="21" t="n">
        <v>11</v>
      </c>
      <c r="D9" s="21" t="n">
        <v>8</v>
      </c>
      <c r="E9" s="21" t="n">
        <v>5</v>
      </c>
      <c r="F9" s="21" t="n">
        <v>3</v>
      </c>
      <c r="G9" s="21" t="n">
        <v>0</v>
      </c>
      <c r="H9" s="21" t="n">
        <v>0</v>
      </c>
      <c r="I9" s="21" t="n">
        <v>5</v>
      </c>
      <c r="J9" s="21" t="n">
        <v>2</v>
      </c>
      <c r="K9" s="21" t="n">
        <v>0</v>
      </c>
      <c r="L9" s="21" t="n">
        <v>0</v>
      </c>
      <c r="M9" s="13">
        <f>($E8:$E81*1 + $F8:$F81*2 + $G8:$G81*3 + $H8:$H81*4)</f>
        <v/>
      </c>
      <c r="N9" s="13">
        <f>ROUND($D8:$D81 * ($M8:$M81 / $C8:$C81), 2)</f>
        <v/>
      </c>
      <c r="O9" s="13" t="n">
        <v>0.51</v>
      </c>
      <c r="P9" s="12">
        <f>(($E8:$E81 + 2 * $F8:$F81 + 3 * $G8:$G81 + 4 * $H8:$H81) / $C8:$C81)</f>
        <v/>
      </c>
      <c r="Q9" s="12">
        <f>(($D$1:$D$86 + $K$1:$K$86) / ($C$1:$C$86 + $K$1:$K$86))</f>
        <v/>
      </c>
      <c r="R9" s="14">
        <f>(($D$1:$D$75 + $K$1:$K$75) / ($C$1:$C$75 + $K$1:$K$104)) + ((($E$1:$E$116) + (2 * $F$1:$F$116) + (3 * $G$1:$G$116) + (4 * $H$1:$H$116)) / $C$1:$C$75)</f>
        <v/>
      </c>
      <c r="S9" s="17" t="n">
        <v>4</v>
      </c>
      <c r="T9" s="27" t="n"/>
      <c r="U9" s="27" t="n"/>
      <c r="V9" s="27" t="n"/>
      <c r="W9" s="27" t="n"/>
    </row>
    <row r="10" ht="14.25" customHeight="1">
      <c r="A10" s="19" t="inlineStr">
        <is>
          <t>Mark McWilliams</t>
        </is>
      </c>
      <c r="B10" s="6">
        <f>$D$1:$D$86/$C$1:$C$86</f>
        <v/>
      </c>
      <c r="C10" s="7" t="n">
        <v>11</v>
      </c>
      <c r="D10" s="7" t="n">
        <v>9</v>
      </c>
      <c r="E10" s="7" t="n">
        <v>9</v>
      </c>
      <c r="F10" s="7" t="n">
        <v>0</v>
      </c>
      <c r="G10" s="7" t="n">
        <v>0</v>
      </c>
      <c r="H10" s="7" t="n">
        <v>0</v>
      </c>
      <c r="I10" s="7" t="n">
        <v>4</v>
      </c>
      <c r="J10" s="7" t="n">
        <v>4</v>
      </c>
      <c r="K10" s="7" t="n">
        <v>0</v>
      </c>
      <c r="L10" s="7" t="n">
        <v>0</v>
      </c>
      <c r="M10" s="7">
        <f>($E9:$E82*1 + $F9:$F82*2 + $G9:$G82*3 + $H9:$H82*4)</f>
        <v/>
      </c>
      <c r="N10" s="7">
        <f>ROUND($D9:$D82 * ($M9:$M82 / $C9:$C82), 2)</f>
        <v/>
      </c>
      <c r="O10" s="7" t="n">
        <v>0.46</v>
      </c>
      <c r="P10" s="6">
        <f>(($E9:$E82 + 2 * $F9:$F82 + 3 * $G9:$G82 + 4 * $H9:$H82) / $C9:$C82)</f>
        <v/>
      </c>
      <c r="Q10" s="6">
        <f>(($D$1:$D$86 + $K$1:$K$86) / ($C$1:$C$86 + $K$1:$K$86))</f>
        <v/>
      </c>
      <c r="R10" s="9">
        <f>(($D$1:$D$75 + $K$1:$K$75) / ($C$1:$C$75 + $K$1:$K$104)) + ((($E$1:$E$116) + (2 * $F$1:$F$116) + (3 * $G$1:$G$116) + (4 * $H$1:$H$116)) / $C$1:$C$75)</f>
        <v/>
      </c>
      <c r="S10" s="15" t="n">
        <v>5</v>
      </c>
      <c r="T10" s="27" t="n"/>
      <c r="U10" s="27" t="n"/>
      <c r="V10" s="27" t="n"/>
      <c r="W10" s="27" t="n"/>
    </row>
    <row r="11" ht="14.25" customHeight="1">
      <c r="A11" s="22" t="inlineStr">
        <is>
          <t>Chris Holloway</t>
        </is>
      </c>
      <c r="B11" s="23">
        <f>$D$1:$D$85/$C$1:$C$85</f>
        <v/>
      </c>
      <c r="C11" s="24" t="n">
        <v>5</v>
      </c>
      <c r="D11" s="24" t="n">
        <v>4</v>
      </c>
      <c r="E11" s="24" t="n">
        <v>3</v>
      </c>
      <c r="F11" s="24" t="n">
        <v>1</v>
      </c>
      <c r="G11" s="24" t="n">
        <v>0</v>
      </c>
      <c r="H11" s="24" t="n">
        <v>0</v>
      </c>
      <c r="I11" s="24" t="n">
        <v>2</v>
      </c>
      <c r="J11" s="24" t="n">
        <v>3</v>
      </c>
      <c r="K11" s="24" t="n">
        <v>0</v>
      </c>
      <c r="L11" s="24" t="n">
        <v>0</v>
      </c>
      <c r="M11" s="13">
        <f>($E10:$E83*1 + $F10:$F83*2 + $G10:$G83*3 + $H10:$H83*4)</f>
        <v/>
      </c>
      <c r="N11" s="13">
        <f>ROUND($D10:$D83 * ($M10:$M83 / $C10:$C83), 2)</f>
        <v/>
      </c>
      <c r="O11" s="13" t="n">
        <v>0.26</v>
      </c>
      <c r="P11" s="12">
        <f>(($E10:$E83 + 2 * $F10:$F83 + 3 * $G10:$G83 + 4 * $H10:$H83) / $C10:$C83)</f>
        <v/>
      </c>
      <c r="Q11" s="12">
        <f>(($D$1:$D$86 + $K$1:$K$86) / ($C$1:$C$86 + $K$1:$K$86))</f>
        <v/>
      </c>
      <c r="R11" s="14">
        <f>(($D$1:$D$74 + $K$1:$K$74) / ($C$1:$C$74 + $K$1:$K$103)) + ((($E$1:$E$115) + (2 * $F$1:$F$115) + (3 * $G$1:$G$115) + (4 * $H$1:$H$115)) / $C$1:$C$74)</f>
        <v/>
      </c>
      <c r="S11" s="17" t="n">
        <v>2</v>
      </c>
      <c r="T11" s="27" t="n"/>
      <c r="U11" s="27" t="n"/>
      <c r="V11" s="27" t="n"/>
      <c r="W11" s="27" t="n"/>
    </row>
    <row r="12" ht="14.25" customHeight="1">
      <c r="A12" s="5" t="inlineStr">
        <is>
          <t>Zach Sparano</t>
        </is>
      </c>
      <c r="B12" s="6">
        <f>$D$1:$D$86/$C$1:$C$86</f>
        <v/>
      </c>
      <c r="C12" s="7" t="n">
        <v>10</v>
      </c>
      <c r="D12" s="7" t="n">
        <v>6</v>
      </c>
      <c r="E12" s="7" t="n">
        <v>5</v>
      </c>
      <c r="F12" s="7" t="n">
        <v>1</v>
      </c>
      <c r="G12" s="7" t="n">
        <v>0</v>
      </c>
      <c r="H12" s="7" t="n">
        <v>0</v>
      </c>
      <c r="I12" s="7" t="n">
        <v>5</v>
      </c>
      <c r="J12" s="7" t="n">
        <v>2</v>
      </c>
      <c r="K12" s="7" t="n">
        <v>0</v>
      </c>
      <c r="L12" s="7" t="n">
        <v>0</v>
      </c>
      <c r="M12" s="7">
        <f>($E11:$E84*1 + $F11:$F84*2 + $G11:$G84*3 + $H11:$H84*4)</f>
        <v/>
      </c>
      <c r="N12" s="7">
        <f>ROUND($D11:$D84 * ($M11:$M84 / $C11:$C84), 2)</f>
        <v/>
      </c>
      <c r="O12" s="7" t="n">
        <v>0.21</v>
      </c>
      <c r="P12" s="6">
        <f>(($E11:$E84 + 2 * $F11:$F84 + 3 * $G11:$G84 + 4 * $H11:$H84) / $C11:$C84)</f>
        <v/>
      </c>
      <c r="Q12" s="6">
        <f>(($D$1:$D$86 + $K$1:$K$86) / ($C$1:$C$86 + $K$1:$K$86))</f>
        <v/>
      </c>
      <c r="R12" s="9">
        <f>(($D$1:$D$75 + $K$1:$K$75) / ($C$1:$C$75 + $K$1:$K$104)) + ((($E$1:$E$116) + (2 * $F$1:$F$116) + (3 * $G$1:$G$116) + (4 * $H$1:$H$116)) / $C$1:$C$75)</f>
        <v/>
      </c>
      <c r="S12" s="15" t="n">
        <v>4</v>
      </c>
      <c r="T12" s="27" t="n"/>
      <c r="U12" s="27" t="n"/>
      <c r="V12" s="27" t="n"/>
      <c r="W12" s="27" t="n"/>
    </row>
    <row r="13" ht="14.25" customHeight="1">
      <c r="A13" s="11" t="inlineStr">
        <is>
          <t>Chris Carbone</t>
        </is>
      </c>
      <c r="B13" s="12">
        <f>$D$1:$D$86/$C$1:$C$86</f>
        <v/>
      </c>
      <c r="C13" s="13" t="n">
        <v>15</v>
      </c>
      <c r="D13" s="13" t="n">
        <v>6</v>
      </c>
      <c r="E13" s="13" t="n">
        <v>4</v>
      </c>
      <c r="F13" s="13" t="n">
        <v>2</v>
      </c>
      <c r="G13" s="8" t="n">
        <v>1</v>
      </c>
      <c r="H13" s="13" t="n">
        <v>0</v>
      </c>
      <c r="I13" s="13" t="n">
        <v>4</v>
      </c>
      <c r="J13" s="13" t="n">
        <v>3</v>
      </c>
      <c r="K13" s="13" t="n">
        <v>0</v>
      </c>
      <c r="L13" s="13" t="n">
        <v>0</v>
      </c>
      <c r="M13" s="13">
        <f>($E12:$E85*1 + $F12:$F85*2 + $G12:$G85*3 + $H12:$H85*4)</f>
        <v/>
      </c>
      <c r="N13" s="13">
        <f>ROUND($D12:$D85 * ($M12:$M85 / $C12:$C85), 2)</f>
        <v/>
      </c>
      <c r="O13" s="13" t="n">
        <v>0.15</v>
      </c>
      <c r="P13" s="12">
        <f>(($E12:$E85 + 2 * $F12:$F85 + 3 * $G12:$G85 + 4 * $H12:$H85) / $C12:$C85)</f>
        <v/>
      </c>
      <c r="Q13" s="12">
        <f>(($D$1:$D$86 + $K$1:$K$86) / ($C$1:$C$86 + $K$1:$K$86))</f>
        <v/>
      </c>
      <c r="R13" s="14">
        <f>(($D$1:$D$75 + $K$1:$K$75) / ($C$1:$C$75 + $K$1:$K$104)) + ((($E$1:$E$116) + (2 * $F$1:$F$116) + (3 * $G$1:$G$116) + (4 * $H$1:$H$116)) / $C$1:$C$75)</f>
        <v/>
      </c>
      <c r="S13" s="17" t="n">
        <v>6</v>
      </c>
      <c r="T13" s="27" t="n"/>
      <c r="U13" s="27" t="n"/>
      <c r="V13" s="27" t="n"/>
      <c r="W13" s="27" t="n"/>
    </row>
    <row r="14" ht="14.25" customHeight="1">
      <c r="A14" s="5" t="inlineStr">
        <is>
          <t>Mike Moroski</t>
        </is>
      </c>
      <c r="B14" s="6">
        <f>$D$1:$D$87/$C$1:$C$87</f>
        <v/>
      </c>
      <c r="C14" s="7" t="n">
        <v>16</v>
      </c>
      <c r="D14" s="7" t="n">
        <v>7</v>
      </c>
      <c r="E14" s="7" t="n">
        <v>4</v>
      </c>
      <c r="F14" s="7" t="n">
        <v>3</v>
      </c>
      <c r="G14" s="7" t="n">
        <v>0</v>
      </c>
      <c r="H14" s="7" t="n">
        <v>0</v>
      </c>
      <c r="I14" s="7" t="n">
        <v>6</v>
      </c>
      <c r="J14" s="7" t="n">
        <v>4</v>
      </c>
      <c r="K14" s="7" t="n">
        <v>0</v>
      </c>
      <c r="L14" s="7" t="n">
        <v>0</v>
      </c>
      <c r="M14" s="7">
        <f>($E13:$E86*1 + $F13:$F86*2 + $G13:$G86*3 + $H13:$H86*4)</f>
        <v/>
      </c>
      <c r="N14" s="7">
        <f>ROUND($D13:$D86 * ($M13:$M86 / $C13:$C86), 2)</f>
        <v/>
      </c>
      <c r="O14" s="7" t="n">
        <v>0.14</v>
      </c>
      <c r="P14" s="6">
        <f>(($E13:$E86 + 2 * $F13:$F86 + 3 * $G13:$G86 + 4 * $H13:$H86) / $C13:$C86)</f>
        <v/>
      </c>
      <c r="Q14" s="6">
        <f>(($D$1:$D$86 + $K$1:$K$86) / ($C$1:$C$86 + $K$1:$K$86))</f>
        <v/>
      </c>
      <c r="R14" s="9">
        <f>(($D$1:$D$76 + $K$1:$K$76) / ($C$1:$C$76 + $K$1:$K$105)) + ((($E$1:$E$117) + (2 * $F$1:$F$117) + (3 * $G$1:$G$117) + (4 * $H$1:$H$117)) / $C$1:$C$76)</f>
        <v/>
      </c>
      <c r="S14" s="15" t="n">
        <v>6</v>
      </c>
      <c r="T14" s="27" t="n"/>
      <c r="U14" s="27" t="n"/>
      <c r="V14" s="27" t="n"/>
      <c r="W14" s="27" t="n"/>
    </row>
    <row r="15" ht="14.25" customHeight="1">
      <c r="A15" s="11" t="inlineStr">
        <is>
          <t>Amanda Fricker</t>
        </is>
      </c>
      <c r="B15" s="12">
        <f>$D$1:$D$86/$C$1:$C$86</f>
        <v/>
      </c>
      <c r="C15" s="13" t="n">
        <v>6</v>
      </c>
      <c r="D15" s="13" t="n">
        <v>4</v>
      </c>
      <c r="E15" s="13" t="n">
        <v>4</v>
      </c>
      <c r="F15" s="13" t="n">
        <v>0</v>
      </c>
      <c r="G15" s="13" t="n">
        <v>0</v>
      </c>
      <c r="H15" s="13" t="n">
        <v>0</v>
      </c>
      <c r="I15" s="13" t="n">
        <v>1</v>
      </c>
      <c r="J15" s="13" t="n">
        <v>2</v>
      </c>
      <c r="K15" s="13" t="n">
        <v>0</v>
      </c>
      <c r="L15" s="13" t="n">
        <v>0</v>
      </c>
      <c r="M15" s="13">
        <f>($E14:$E87*1 + $F14:$F87*2 + $G14:$G87*3 + $H14:$H87*4)</f>
        <v/>
      </c>
      <c r="N15" s="13">
        <f>ROUND($D14:$D87 * ($M14:$M87 / $C14:$C87), 2)</f>
        <v/>
      </c>
      <c r="O15" s="13" t="n">
        <v>0.14</v>
      </c>
      <c r="P15" s="12">
        <f>(($E14:$E87 + 2 * $F14:$F87 + 3 * $G14:$G87 + 4 * $H14:$H87) / $C14:$C87)</f>
        <v/>
      </c>
      <c r="Q15" s="12">
        <f>(($D$1:$D$86 + $K$1:$K$86) / ($C$1:$C$86 + $K$1:$K$86))</f>
        <v/>
      </c>
      <c r="R15" s="14">
        <f>(($D$1:$D$75 + $K$1:$K$75) / ($C$1:$C$75 + $K$1:$K$104)) + ((($E$1:$E$116) + (2 * $F$1:$F$116) + (3 * $G$1:$G$116) + (4 * $H$1:$H$116)) / $C$1:$C$75)</f>
        <v/>
      </c>
      <c r="S15" s="17" t="n">
        <v>3</v>
      </c>
      <c r="T15" s="27" t="n"/>
      <c r="U15" s="27" t="n"/>
      <c r="V15" s="27" t="n"/>
      <c r="W15" s="27" t="n"/>
    </row>
    <row r="16" ht="14.25" customHeight="1">
      <c r="A16" s="26" t="inlineStr">
        <is>
          <t>Michael Ferraioli</t>
        </is>
      </c>
      <c r="B16" s="6">
        <f>$D$1:$D$86/$C$1:$C$86</f>
        <v/>
      </c>
      <c r="C16" s="7" t="n">
        <v>3</v>
      </c>
      <c r="D16" s="7" t="n">
        <v>2</v>
      </c>
      <c r="E16" s="7" t="n">
        <v>1</v>
      </c>
      <c r="F16" s="7" t="n">
        <v>1</v>
      </c>
      <c r="G16" s="7" t="n">
        <v>0</v>
      </c>
      <c r="H16" s="7" t="n">
        <v>0</v>
      </c>
      <c r="I16" s="7" t="n">
        <v>3</v>
      </c>
      <c r="J16" s="7" t="n">
        <v>1</v>
      </c>
      <c r="K16" s="7" t="n"/>
      <c r="L16" s="7" t="n"/>
      <c r="M16" s="7">
        <f>($E15:$E88*1 + $F15:$F88*2 + $G15:$G88*3 + $H15:$H88*4)</f>
        <v/>
      </c>
      <c r="N16" s="7">
        <f>ROUND($D15:$D88 * ($M15:$M88 / $C15:$C88), 2)</f>
        <v/>
      </c>
      <c r="O16" s="7" t="n">
        <v>0.12</v>
      </c>
      <c r="P16" s="6">
        <f>(($E15:$E88 + 2 * $F15:$F88 + 3 * $G15:$G88 + 4 * $H15:$H88) / $C15:$C88)</f>
        <v/>
      </c>
      <c r="Q16" s="6">
        <f>(($D$1:$D$86 + $K$1:$K$86) / ($C$1:$C$86 + $K$1:$K$86))</f>
        <v/>
      </c>
      <c r="R16" s="9">
        <f>(($D$1:$D$75 + $K$1:$K$75) / ($C$1:$C$75 + $K$1:$K$104)) + ((($E$1:$E$116) + (2 * $F$1:$F$116) + (3 * $G$1:$G$116) + (4 * $H$1:$H$116)) / $C$1:$C$75)</f>
        <v/>
      </c>
      <c r="S16" s="15" t="n">
        <v>2</v>
      </c>
      <c r="T16" s="27" t="n"/>
      <c r="U16" s="27" t="n"/>
      <c r="V16" s="27" t="n"/>
      <c r="W16" s="27" t="n"/>
    </row>
    <row r="17" ht="14.25" customHeight="1">
      <c r="A17" s="11" t="inlineStr">
        <is>
          <t>Eli Brinker</t>
        </is>
      </c>
      <c r="B17" s="12">
        <f>$D$1:$D$86/$C$1:$C$86</f>
        <v/>
      </c>
      <c r="C17" s="13" t="n">
        <v>5</v>
      </c>
      <c r="D17" s="13" t="n">
        <v>3</v>
      </c>
      <c r="E17" s="13" t="n">
        <v>3</v>
      </c>
      <c r="F17" s="13" t="n">
        <v>0</v>
      </c>
      <c r="G17" s="13" t="n">
        <v>0</v>
      </c>
      <c r="H17" s="13" t="n">
        <v>0</v>
      </c>
      <c r="I17" s="13" t="n">
        <v>2</v>
      </c>
      <c r="J17" s="13" t="n">
        <v>1</v>
      </c>
      <c r="K17" s="13" t="n">
        <v>0</v>
      </c>
      <c r="L17" s="13" t="n">
        <v>0</v>
      </c>
      <c r="M17" s="13">
        <f>($E16:$E89*1 + $F16:$F89*2 + $G16:$G89*3 + $H16:$H89*4)</f>
        <v/>
      </c>
      <c r="N17" s="13">
        <f>ROUND($D16:$D89 * ($M16:$M89 / $C16:$C89), 2)</f>
        <v/>
      </c>
      <c r="O17" s="13" t="n">
        <v>0.08</v>
      </c>
      <c r="P17" s="12">
        <f>(($E16:$E89 + 2 * $F16:$F89 + 3 * $G16:$G89 + 4 * $H16:$H89) / $C16:$C89)</f>
        <v/>
      </c>
      <c r="Q17" s="12">
        <f>(($D$1:$D$86 + $K$1:$K$86) / ($C$1:$C$86 + $K$1:$K$86))</f>
        <v/>
      </c>
      <c r="R17" s="14">
        <f>(($D$1:$D$75 + $K$1:$K$75) / ($C$1:$C$75 + $K$1:$K$104)) + ((($E$1:$E$116) + (2 * $F$1:$F$116) + (3 * $G$1:$G$116) + (4 * $H$1:$H$116)) / $C$1:$C$75)</f>
        <v/>
      </c>
      <c r="S17" s="17" t="n">
        <v>2</v>
      </c>
      <c r="T17" s="27" t="n"/>
      <c r="U17" s="27" t="n"/>
      <c r="V17" s="27" t="n"/>
      <c r="W17" s="27" t="n"/>
    </row>
    <row r="18" ht="14.25" customHeight="1">
      <c r="A18" s="26" t="inlineStr">
        <is>
          <t>Rob Gould</t>
        </is>
      </c>
      <c r="B18" s="29">
        <f>$D$1:$D$85/$C$1:$C$85</f>
        <v/>
      </c>
      <c r="C18" s="30" t="n">
        <v>3</v>
      </c>
      <c r="D18" s="30" t="n">
        <v>2</v>
      </c>
      <c r="E18" s="30" t="n">
        <v>2</v>
      </c>
      <c r="F18" s="30" t="n">
        <v>0</v>
      </c>
      <c r="G18" s="30" t="n">
        <v>0</v>
      </c>
      <c r="H18" s="30" t="n">
        <v>0</v>
      </c>
      <c r="I18" s="30" t="n">
        <v>1</v>
      </c>
      <c r="J18" s="30" t="n">
        <v>1</v>
      </c>
      <c r="K18" s="30" t="n">
        <v>0</v>
      </c>
      <c r="L18" s="30" t="n">
        <v>0</v>
      </c>
      <c r="M18" s="7">
        <f>($E17:$E90*1 + $F17:$F90*2 + $G17:$G90*3 + $H17:$H90*4)</f>
        <v/>
      </c>
      <c r="N18" s="7">
        <f>ROUND($D17:$D90 * ($M17:$M90 / $C17:$C90), 2)</f>
        <v/>
      </c>
      <c r="O18" s="7" t="n">
        <v>0.07000000000000001</v>
      </c>
      <c r="P18" s="6">
        <f>(($E17:$E90 + 2 * $F17:$F90 + 3 * $G17:$G90 + 4 * $H17:$H90) / $C17:$C90)</f>
        <v/>
      </c>
      <c r="Q18" s="6">
        <f>(($D$1:$D$86 + $K$1:$K$86) / ($C$1:$C$86 + $K$1:$K$86))</f>
        <v/>
      </c>
      <c r="R18" s="9">
        <f>(($D$1:$D$74 + $K$1:$K$74) / ($C$1:$C$74 + $K$1:$K$103)) + ((($E$1:$E$115) + (2 * $F$1:$F$115) + (3 * $G$1:$G$115) + (4 * $H$1:$H$115)) / $C$1:$C$74)</f>
        <v/>
      </c>
      <c r="S18" s="15" t="n">
        <v>1</v>
      </c>
      <c r="T18" s="27" t="n"/>
      <c r="U18" s="27" t="n"/>
      <c r="V18" s="27" t="n"/>
      <c r="W18" s="27" t="n"/>
    </row>
    <row r="19" ht="14.25" customHeight="1">
      <c r="A19" s="19" t="inlineStr">
        <is>
          <t>Mike Pawlowski</t>
        </is>
      </c>
      <c r="B19" s="12">
        <f>$D$1:$D$87/$C$1:$C$87</f>
        <v/>
      </c>
      <c r="C19" s="13" t="n">
        <v>6</v>
      </c>
      <c r="D19" s="13" t="n">
        <v>3</v>
      </c>
      <c r="E19" s="13" t="n">
        <v>3</v>
      </c>
      <c r="F19" s="13" t="n">
        <v>0</v>
      </c>
      <c r="G19" s="13" t="n">
        <v>0</v>
      </c>
      <c r="H19" s="13" t="n">
        <v>0</v>
      </c>
      <c r="I19" s="13" t="n">
        <v>0</v>
      </c>
      <c r="J19" s="13" t="n">
        <v>1</v>
      </c>
      <c r="K19" s="13" t="n">
        <v>0</v>
      </c>
      <c r="L19" s="13" t="n">
        <v>0</v>
      </c>
      <c r="M19" s="13">
        <f>($E18:$E91*1 + $F18:$F91*2 + $G18:$G91*3 + $H18:$H91*4)</f>
        <v/>
      </c>
      <c r="N19" s="13">
        <f>ROUND($D18:$D91 * ($M18:$M91 / $C18:$C91), 2)</f>
        <v/>
      </c>
      <c r="O19" s="13" t="n">
        <v>0.04</v>
      </c>
      <c r="P19" s="12">
        <f>(($E18:$E91 + 2 * $F18:$F91 + 3 * $G18:$G91 + 4 * $H18:$H91) / $C18:$C91)</f>
        <v/>
      </c>
      <c r="Q19" s="12">
        <f>(($D$1:$D$86 + $K$1:$K$86) / ($C$1:$C$86 + $K$1:$K$86))</f>
        <v/>
      </c>
      <c r="R19" s="14">
        <f>(($D$1:$D$76 + $K$1:$K$76) / ($C$1:$C$76 + $K$1:$K$105)) + ((($E$1:$E$117) + (2 * $F$1:$F$117) + (3 * $G$1:$G$117) + (4 * $H$1:$H$117)) / $C$1:$C$76)</f>
        <v/>
      </c>
      <c r="S19" s="17" t="n">
        <v>4</v>
      </c>
      <c r="T19" s="27" t="n"/>
      <c r="U19" s="27" t="n"/>
      <c r="V19" s="27" t="n"/>
      <c r="W19" s="27" t="n"/>
    </row>
    <row r="20" ht="14.25" customHeight="1">
      <c r="A20" s="5" t="inlineStr">
        <is>
          <t>Haley Zuritsky</t>
        </is>
      </c>
      <c r="B20" s="6">
        <f>$D$1:$D$86/$C$1:$C$86</f>
        <v/>
      </c>
      <c r="C20" s="7" t="n">
        <v>3</v>
      </c>
      <c r="D20" s="7" t="n">
        <v>1</v>
      </c>
      <c r="E20" s="7" t="n">
        <v>0</v>
      </c>
      <c r="F20" s="7" t="n">
        <v>1</v>
      </c>
      <c r="G20" s="7" t="n">
        <v>0</v>
      </c>
      <c r="H20" s="7" t="n">
        <v>0</v>
      </c>
      <c r="I20" s="7" t="n">
        <v>0</v>
      </c>
      <c r="J20" s="7" t="n">
        <v>0</v>
      </c>
      <c r="K20" s="7" t="n"/>
      <c r="L20" s="7" t="n"/>
      <c r="M20" s="7">
        <f>($E19:$E92*1 + $F19:$F92*2 + $G19:$G92*3 + $H19:$H92*4)</f>
        <v/>
      </c>
      <c r="N20" s="7">
        <f>ROUND($D19:$D92 * ($M19:$M92 / $C19:$C92), 2)</f>
        <v/>
      </c>
      <c r="O20" s="7" t="n">
        <v>0.01</v>
      </c>
      <c r="P20" s="6">
        <f>(($E19:$E92 + 2 * $F19:$F92 + 3 * $G19:$G92 + 4 * $H19:$H92) / $C19:$C92)</f>
        <v/>
      </c>
      <c r="Q20" s="6">
        <f>(($D$1:$D$86 + $K$1:$K$86) / ($C$1:$C$86 + $K$1:$K$86))</f>
        <v/>
      </c>
      <c r="R20" s="9">
        <f>(($D$1:$D$75 + $K$1:$K$75) / ($C$1:$C$75 + $K$1:$K$104)) + ((($E$1:$E$116) + (2 * $F$1:$F$116) + (3 * $G$1:$G$116) + (4 * $H$1:$H$116)) / $C$1:$C$75)</f>
        <v/>
      </c>
      <c r="S20" s="15" t="n">
        <v>2</v>
      </c>
      <c r="T20" s="27" t="n"/>
      <c r="U20" s="27" t="n"/>
      <c r="V20" s="27" t="n"/>
      <c r="W20" s="27" t="n"/>
    </row>
    <row r="21" ht="14.25" customHeight="1">
      <c r="A21" s="11" t="inlineStr">
        <is>
          <t>Dave Koiton</t>
        </is>
      </c>
      <c r="B21" s="12">
        <f>$D$1:$D$87/$C$1:$C$87</f>
        <v/>
      </c>
      <c r="C21" s="13" t="n">
        <v>2</v>
      </c>
      <c r="D21" s="13" t="n">
        <v>1</v>
      </c>
      <c r="E21" s="13" t="n">
        <v>1</v>
      </c>
      <c r="F21" s="13" t="n">
        <v>0</v>
      </c>
      <c r="G21" s="13" t="n">
        <v>0</v>
      </c>
      <c r="H21" s="13" t="n">
        <v>0</v>
      </c>
      <c r="I21" s="13" t="n">
        <v>1</v>
      </c>
      <c r="J21" s="13" t="n">
        <v>0</v>
      </c>
      <c r="K21" s="13" t="n">
        <v>0</v>
      </c>
      <c r="L21" s="13" t="n">
        <v>0</v>
      </c>
      <c r="M21" s="13">
        <f>($E20:$E93*1 + $F20:$F93*2 + $G20:$G93*3 + $H20:$H93*4)</f>
        <v/>
      </c>
      <c r="N21" s="13">
        <f>ROUND($D20:$D93 * ($M20:$M93 / $C20:$C93), 2)</f>
        <v/>
      </c>
      <c r="O21" s="13" t="n">
        <v>0.01</v>
      </c>
      <c r="P21" s="12">
        <f>(($E20:$E93 + 2 * $F20:$F93 + 3 * $G20:$G93 + 4 * $H20:$H93) / $C20:$C93)</f>
        <v/>
      </c>
      <c r="Q21" s="12">
        <f>(($D$1:$D$86 + $K$1:$K$86) / ($C$1:$C$86 + $K$1:$K$86))</f>
        <v/>
      </c>
      <c r="R21" s="14">
        <f>(($D$1:$D$76 + $K$1:$K$76) / ($C$1:$C$76 + $K$1:$K$105)) + ((($E$1:$E$117) + (2 * $F$1:$F$117) + (3 * $G$1:$G$117) + (4 * $H$1:$H$117)) / $C$1:$C$76)</f>
        <v/>
      </c>
      <c r="S21" s="17" t="n">
        <v>1</v>
      </c>
      <c r="T21" s="27" t="n"/>
      <c r="U21" s="27" t="n"/>
      <c r="V21" s="27" t="n"/>
      <c r="W21" s="27" t="n"/>
    </row>
    <row r="22" ht="14.25" customHeight="1">
      <c r="A22" s="22" t="inlineStr">
        <is>
          <t>Tom Cardwell</t>
        </is>
      </c>
      <c r="B22" s="23">
        <f>$D$1:$D$85/$C$1:$C$85</f>
        <v/>
      </c>
      <c r="C22" s="24" t="n">
        <v>2</v>
      </c>
      <c r="D22" s="24" t="n">
        <v>1</v>
      </c>
      <c r="E22" s="24" t="n">
        <v>1</v>
      </c>
      <c r="F22" s="24" t="n">
        <v>0</v>
      </c>
      <c r="G22" s="24" t="n">
        <v>0</v>
      </c>
      <c r="H22" s="24" t="n">
        <v>0</v>
      </c>
      <c r="I22" s="24" t="n">
        <v>2</v>
      </c>
      <c r="J22" s="24" t="n">
        <v>0</v>
      </c>
      <c r="K22" s="24" t="n">
        <v>0</v>
      </c>
      <c r="L22" s="24" t="n">
        <v>0</v>
      </c>
      <c r="M22" s="7">
        <f>($E21:$E94*1 + $F21:$F94*2 + $G21:$G94*3 + $H21:$H94*4)</f>
        <v/>
      </c>
      <c r="N22" s="7">
        <f>ROUND($D21:$D94 * ($M21:$M94 / $C21:$C94), 2)</f>
        <v/>
      </c>
      <c r="O22" s="7" t="n">
        <v>0.01</v>
      </c>
      <c r="P22" s="6">
        <f>(($E21:$E94 + 2 * $F21:$F94 + 3 * $G21:$G94 + 4 * $H21:$H94) / $C21:$C94)</f>
        <v/>
      </c>
      <c r="Q22" s="6">
        <f>(($D$1:$D$86 + $K$1:$K$86) / ($C$1:$C$86 + $K$1:$K$86))</f>
        <v/>
      </c>
      <c r="R22" s="9">
        <f>(($D$1:$D$74 + $K$1:$K$74) / ($C$1:$C$74 + $K$1:$K$103)) + ((($E$1:$E$115) + (2 * $F$1:$F$115) + (3 * $G$1:$G$115) + (4 * $H$1:$H$115)) / $C$1:$C$74)</f>
        <v/>
      </c>
      <c r="S22" s="15" t="n">
        <v>1</v>
      </c>
      <c r="T22" s="27" t="n"/>
      <c r="U22" s="27" t="n"/>
      <c r="V22" s="27" t="n"/>
      <c r="W22" s="27" t="n"/>
    </row>
    <row r="23" ht="14.25" customHeight="1">
      <c r="A23" s="11" t="inlineStr">
        <is>
          <t>Hannah Miller</t>
        </is>
      </c>
      <c r="B23" s="12">
        <f>$D$1:$D$86/$C$1:$C$86</f>
        <v/>
      </c>
      <c r="C23" s="13" t="n">
        <v>22</v>
      </c>
      <c r="D23" s="13" t="n">
        <v>9</v>
      </c>
      <c r="E23" s="13" t="n">
        <v>9</v>
      </c>
      <c r="F23" s="13" t="n">
        <v>0</v>
      </c>
      <c r="G23" s="13" t="n">
        <v>0</v>
      </c>
      <c r="H23" s="13" t="n">
        <v>0</v>
      </c>
      <c r="I23" s="13" t="n">
        <v>3</v>
      </c>
      <c r="J23" s="13" t="n">
        <v>7</v>
      </c>
      <c r="K23" s="13" t="n">
        <v>0</v>
      </c>
      <c r="L23" s="13" t="n">
        <v>0</v>
      </c>
      <c r="M23" s="13">
        <f>($E22:$E95*1 + $F22:$F95*2 + $G22:$G95*3 + $H22:$H95*4)</f>
        <v/>
      </c>
      <c r="N23" s="13">
        <f>ROUND($D22:$D95 * ($M22:$M95 / $C22:$C95), 2)</f>
        <v/>
      </c>
      <c r="O23" s="13" t="n">
        <v>-0.01</v>
      </c>
      <c r="P23" s="12">
        <f>(($E22:$E95 + 2 * $F22:$F95 + 3 * $G22:$G95 + 4 * $H22:$H95) / $C22:$C95)</f>
        <v/>
      </c>
      <c r="Q23" s="12">
        <f>(($D$1:$D$86 + $K$1:$K$86) / ($C$1:$C$86 + $K$1:$K$86))</f>
        <v/>
      </c>
      <c r="R23" s="14">
        <f>(($D$1:$D$75 + $K$1:$K$75) / ($C$1:$C$75 + $K$1:$K$104)) + ((($E$1:$E$116) + (2 * $F$1:$F$116) + (3 * $G$1:$G$116) + (4 * $H$1:$H$116)) / $C$1:$C$75)</f>
        <v/>
      </c>
      <c r="S23" s="10" t="n">
        <v>7</v>
      </c>
      <c r="T23" s="27" t="n"/>
      <c r="U23" s="27" t="n"/>
      <c r="V23" s="27" t="n"/>
      <c r="W23" s="27" t="n"/>
    </row>
    <row r="24" ht="14.25" customHeight="1">
      <c r="A24" s="26" t="inlineStr">
        <is>
          <t>Emma Moroski</t>
        </is>
      </c>
      <c r="B24" s="12">
        <f>$D$1:$D$86/$C$1:$C$86</f>
        <v/>
      </c>
      <c r="C24" s="13" t="n">
        <v>1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/>
      <c r="L24" s="13" t="n"/>
      <c r="M24" s="7">
        <f>($E23:$E96*1 + $F23:$F96*2 + $G23:$G96*3 + $H23:$H96*4)</f>
        <v/>
      </c>
      <c r="N24" s="7">
        <f>ROUND($D23:$D96 * ($M23:$M96 / $C23:$C96), 2)</f>
        <v/>
      </c>
      <c r="O24" s="7" t="n">
        <v>-0.01</v>
      </c>
      <c r="P24" s="6">
        <f>(($E23:$E96 + 2 * $F23:$F96 + 3 * $G23:$G96 + 4 * $H23:$H96) / $C23:$C96)</f>
        <v/>
      </c>
      <c r="Q24" s="6">
        <f>(($D$1:$D$86 + $K$1:$K$86) / ($C$1:$C$86 + $K$1:$K$86))</f>
        <v/>
      </c>
      <c r="R24" s="9">
        <f>(($D$1:$D$75 + $K$1:$K$75) / ($C$1:$C$75 + $K$1:$K$104)) + ((($E$1:$E$116) + (2 * $F$1:$F$116) + (3 * $G$1:$G$116) + (4 * $H$1:$H$116)) / $C$1:$C$75)</f>
        <v/>
      </c>
      <c r="S24" s="15" t="n">
        <v>2</v>
      </c>
      <c r="T24" s="27" t="n"/>
      <c r="U24" s="27" t="n"/>
      <c r="V24" s="27" t="n"/>
      <c r="W24" s="27" t="n"/>
    </row>
    <row r="25" ht="14.25" customHeight="1">
      <c r="A25" s="11" t="inlineStr">
        <is>
          <t>Ayo Falae</t>
        </is>
      </c>
      <c r="B25" s="12">
        <f>$D$1:$D$86/$C$1:$C$86</f>
        <v/>
      </c>
      <c r="C25" s="13" t="n">
        <v>1</v>
      </c>
      <c r="D25" s="13" t="n">
        <v>0</v>
      </c>
      <c r="E25" s="13" t="n">
        <v>0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>
        <f>($E24:$E93*1 + $F24:$F93*2 + $G24:$G93*3 + $H24:$H93*4)</f>
        <v/>
      </c>
      <c r="N25" s="13">
        <f>ROUND($D24:$D94 * ($M24:$M94 / $C24:$C94), 2)</f>
        <v/>
      </c>
      <c r="O25" s="13" t="n">
        <v>-0.01</v>
      </c>
      <c r="P25" s="12">
        <f>(($E25 + 2 * $F25 + 3 * $G25 + 4 * $H25) / $C25)</f>
        <v/>
      </c>
      <c r="Q25" s="12">
        <f>(($D$1:$D$86 + $K$1:$K$86) / ($C$1:$C$86 + $K$1:$K$86))</f>
        <v/>
      </c>
      <c r="R25" s="14">
        <f>(($D$14:$D$75 + $K$14:$K$75) / ($C$14:$C$75 + $K$1:$K$104)) + ((($E25:$E123) + (2 * $F25:$F123) + (3 * $G25:$G123) + (4 * $H25:$H123)) / $C$14:$C$75)</f>
        <v/>
      </c>
      <c r="S25" s="17" t="n">
        <v>1</v>
      </c>
      <c r="T25" s="27" t="n"/>
      <c r="U25" s="27" t="n"/>
      <c r="V25" s="27" t="n"/>
      <c r="W25" s="27" t="n"/>
    </row>
    <row r="26" ht="14.25" customHeight="1">
      <c r="A26" s="19" t="inlineStr">
        <is>
          <t>Travis D'Onofrio</t>
        </is>
      </c>
      <c r="B26" s="12">
        <f>$D$1:$D$87/$C$1:$C$87</f>
        <v/>
      </c>
      <c r="C26" s="13" t="n">
        <v>2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/>
      <c r="L26" s="13" t="n"/>
      <c r="M26" s="7" t="n">
        <v>0</v>
      </c>
      <c r="N26" s="7">
        <f>ROUND($D22:$D95 * ($M22:$M95 / $C22:$C95), 2)</f>
        <v/>
      </c>
      <c r="O26" s="7" t="n">
        <v>-0.03</v>
      </c>
      <c r="P26" s="12">
        <f>(($E26:$E39 + 2 * $F26:$F39 + 3 * $G26:$G39 + 4 * $H26:$H39) / $C26:$C39)</f>
        <v/>
      </c>
      <c r="Q26" s="6">
        <f>(($D$1:$D$87 + $K$1:$K$87) / ($C$1:$C$87 + $K$1:$K$87))</f>
        <v/>
      </c>
      <c r="R26" s="9">
        <f>(($D$1:$D$76 + $K$1:$K$76) / ($C$1:$C$76 + $K$1:$K$105)) + ((($E$1:$E$117) + (2 * $F$1:$F$117) + (3 * $G$1:$G$117) + (4 * $H$1:$H$117)) / $C$1:$C$76)</f>
        <v/>
      </c>
      <c r="S26" s="15" t="n">
        <v>1</v>
      </c>
      <c r="T26" s="27" t="n"/>
      <c r="U26" s="27" t="n"/>
      <c r="V26" s="27" t="n"/>
      <c r="W26" s="27" t="n"/>
    </row>
    <row r="27" ht="14.25" customHeight="1">
      <c r="A27" s="11" t="inlineStr">
        <is>
          <t>Rizzo</t>
        </is>
      </c>
      <c r="B27" s="12">
        <f>$D$1:$D$86/$C$1:$C$86</f>
        <v/>
      </c>
      <c r="C27" s="13" t="n">
        <v>4</v>
      </c>
      <c r="D27" s="13" t="n">
        <v>1</v>
      </c>
      <c r="E27" s="13" t="n">
        <v>1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1</v>
      </c>
      <c r="K27" s="13" t="n">
        <v>0</v>
      </c>
      <c r="L27" s="13" t="n">
        <v>0</v>
      </c>
      <c r="M27" s="13">
        <f>($E25:$E98*1 + $F25:$F98*2 + $G25:$G98*3 + $H25:$H98*4)</f>
        <v/>
      </c>
      <c r="N27" s="13">
        <f>ROUND($D25:$D98 * ($M25:$M98 / $C25:$C98), 2)</f>
        <v/>
      </c>
      <c r="O27" s="13" t="n">
        <v>-0.04</v>
      </c>
      <c r="P27" s="12">
        <f>(($E25:$E98 + 2 * $F25:$F98 + 3 * $G25:$G98 + 4 * $H25:$H98) / $C25:$C98)</f>
        <v/>
      </c>
      <c r="Q27" s="12">
        <f>(($D$1:$D$86 + $K$1:$K$86) / ($C$1:$C$86 + $K$1:$K$86))</f>
        <v/>
      </c>
      <c r="R27" s="14">
        <f>(($D$1:$D$75 + $K$1:$K$75) / ($C$1:$C$75 + $K$1:$K$104)) + ((($E$1:$E$116) + (2 * $F$1:$F$116) + (3 * $G$1:$G$116) + (4 * $H$1:$H$116)) / $C$1:$C$75)</f>
        <v/>
      </c>
      <c r="S27" s="17" t="n">
        <v>2</v>
      </c>
      <c r="T27" s="27" t="n"/>
      <c r="U27" s="27" t="n"/>
      <c r="V27" s="27" t="n"/>
      <c r="W27" s="27" t="n"/>
    </row>
    <row r="28" ht="14.25" customHeight="1">
      <c r="A28" s="18" t="inlineStr">
        <is>
          <t>Riley Davidson</t>
        </is>
      </c>
      <c r="B28" s="6">
        <f>$D$1:$D$87/$C$1:$C$87</f>
        <v/>
      </c>
      <c r="C28" s="7" t="n">
        <v>17</v>
      </c>
      <c r="D28" s="7" t="n">
        <v>6</v>
      </c>
      <c r="E28" s="7" t="n">
        <v>6</v>
      </c>
      <c r="F28" s="7" t="n">
        <v>0</v>
      </c>
      <c r="G28" s="7" t="n">
        <v>0</v>
      </c>
      <c r="H28" s="7" t="n">
        <v>0</v>
      </c>
      <c r="I28" s="7" t="n">
        <v>1</v>
      </c>
      <c r="J28" s="7" t="n">
        <v>1</v>
      </c>
      <c r="K28" s="7" t="n">
        <v>0</v>
      </c>
      <c r="L28" s="7" t="n">
        <v>0</v>
      </c>
      <c r="M28" s="7">
        <f>($E23:$E96*1 + $F23:$F96*2 + $G23:$G96*3 + $H23:$H96*4)</f>
        <v/>
      </c>
      <c r="N28" s="7">
        <f>ROUND($D24:$D97 * ($M24:$M97 / $C24:$C97), 2)</f>
        <v/>
      </c>
      <c r="O28" s="7" t="n">
        <v>-0.07000000000000001</v>
      </c>
      <c r="P28" s="6">
        <f>(($E28:$E41 + 2 * $F28:$F41 + 3 * $G28:$G41 + 4 * $H28:$H41) / $C28:$C41)</f>
        <v/>
      </c>
      <c r="Q28" s="6">
        <f>(($D$1:$D$87 + $K$1:$K$87) / ($C$1:$C$87 + $K$1:$K$87))</f>
        <v/>
      </c>
      <c r="R28" s="9">
        <f>(($D$1:$D$76 + $K$1:$K$76) / ($C$1:$C$76 + $K$1:$K$105)) + ((($E$1:$E$117) + (2 * $F$1:$F$117) + (3 * $G$1:$G$117) + (4 * $H$1:$H$117)) / $C$1:$C$76)</f>
        <v/>
      </c>
      <c r="S28" s="15" t="n">
        <v>6</v>
      </c>
      <c r="T28" s="27" t="n"/>
      <c r="U28" s="27" t="n"/>
    </row>
    <row r="29" ht="14.25" customHeight="1">
      <c r="A29" s="31" t="inlineStr">
        <is>
          <t>Kaleigh Ewing</t>
        </is>
      </c>
      <c r="B29" s="32">
        <f>$D$1:$D$86/$C$1:$C$86</f>
        <v/>
      </c>
      <c r="C29" s="33" t="n">
        <v>10</v>
      </c>
      <c r="D29" s="33" t="n">
        <v>2</v>
      </c>
      <c r="E29" s="33" t="n">
        <v>2</v>
      </c>
      <c r="F29" s="33" t="n">
        <v>0</v>
      </c>
      <c r="G29" s="33" t="n">
        <v>0</v>
      </c>
      <c r="H29" s="33" t="n">
        <v>0</v>
      </c>
      <c r="I29" s="33" t="n">
        <v>2</v>
      </c>
      <c r="J29" s="33" t="n">
        <v>2</v>
      </c>
      <c r="K29" s="33" t="n">
        <v>0</v>
      </c>
      <c r="L29" s="33" t="n">
        <v>0</v>
      </c>
      <c r="M29" s="34">
        <f>($E28:$E97*1 + $F28:$F97*2 + $G28:$G97*3 + $H28:$H97*4)</f>
        <v/>
      </c>
      <c r="N29" s="34">
        <f>ROUND($D28:$D97 * ($M28:$M97 / $C28:$C97), 2)</f>
        <v/>
      </c>
      <c r="O29" s="34" t="n">
        <v>-0.11</v>
      </c>
      <c r="P29" s="32">
        <f>(($E28:$E97 + 2 * $F28:$F97 + 3 * $G28:$G97 + 4 * $H28:$H97) / $C28:$C97)</f>
        <v/>
      </c>
      <c r="Q29" s="32">
        <f>(($D$1:$D$86 + $K$1:$K$86) / ($C$1:$C$86 + $K$1:$K$86))</f>
        <v/>
      </c>
      <c r="R29" s="35">
        <f>(($D$1:$D$75 + $K$1:$K$75) / ($C$1:$C$75 + $K$1:$K$104)) + ((($E$1:$E$116) + (2 * $F$1:$F$116) + (3 * $G$1:$G$116) + (4 * $H$1:$H$116)) / $C$1:$C$75)</f>
        <v/>
      </c>
      <c r="S29" s="36" t="n">
        <v>3</v>
      </c>
      <c r="T29" s="27" t="n"/>
      <c r="U29" s="27" t="n"/>
    </row>
    <row r="30" ht="14.25" customHeight="1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S30" s="27" t="n"/>
      <c r="T30" s="27" t="n"/>
      <c r="U30" s="27" t="n"/>
    </row>
    <row r="31" ht="14.25" customHeight="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S31" s="27" t="n"/>
      <c r="T31" s="27" t="n"/>
      <c r="U31" s="27" t="n"/>
    </row>
    <row r="32" ht="14.25" customHeight="1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S32" s="27" t="n"/>
      <c r="T32" s="27" t="n"/>
      <c r="U32" s="27" t="n"/>
    </row>
    <row r="33" ht="14.2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S33" s="27" t="n"/>
      <c r="T33" s="27" t="n"/>
      <c r="U33" s="27" t="n"/>
    </row>
    <row r="34" ht="14.25" customHeight="1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S34" s="27" t="n"/>
      <c r="T34" s="27" t="n"/>
      <c r="U34" s="27" t="n"/>
    </row>
    <row r="35" ht="14.25" customHeight="1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S35" s="27" t="n"/>
      <c r="T35" s="27" t="n"/>
      <c r="U35" s="27" t="n"/>
    </row>
    <row r="36" ht="14.25" customHeight="1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S36" s="27" t="n"/>
      <c r="T36" s="27" t="n"/>
      <c r="U36" s="27" t="n"/>
    </row>
    <row r="37" ht="14.25" customHeight="1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S37" s="27" t="n"/>
      <c r="T37" s="27" t="n"/>
      <c r="U37" s="27" t="n"/>
    </row>
    <row r="38" ht="14.25" customHeight="1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S38" s="27" t="n"/>
      <c r="T38" s="27" t="n"/>
      <c r="U38" s="27" t="n"/>
    </row>
    <row r="39" ht="14.25" customHeight="1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S39" s="27" t="n"/>
      <c r="T39" s="27" t="n"/>
      <c r="U39" s="27" t="n"/>
    </row>
    <row r="40" ht="14.25" customHeight="1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S40" s="27" t="n"/>
      <c r="T40" s="27" t="n"/>
      <c r="U40" s="27" t="n"/>
    </row>
    <row r="41" ht="14.25" customHeight="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S41" s="27" t="n"/>
    </row>
    <row r="42" ht="14.25" customHeight="1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S42" s="27" t="n"/>
    </row>
    <row r="43" ht="14.25" customHeight="1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S43" s="27" t="n"/>
    </row>
    <row r="44" ht="14.25" customHeight="1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S44" s="27" t="n"/>
    </row>
    <row r="45" ht="12.75" customHeight="1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</row>
    <row r="46" ht="12.75" customHeight="1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</row>
    <row r="47" ht="12.75" customHeigh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</row>
    <row r="48" ht="12.75" customHeight="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</row>
    <row r="49" ht="12.75" customHeight="1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</row>
    <row r="50" ht="12.75" customHeight="1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</row>
    <row r="51" ht="12.75" customHeight="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</row>
    <row r="52" ht="12.75" customHeight="1"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</row>
    <row r="53" ht="12.75" customHeight="1"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</row>
    <row r="54" ht="12.75" customHeight="1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</row>
    <row r="55" ht="12.75" customHeight="1"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</row>
    <row r="56" ht="12.75" customHeight="1"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</row>
    <row r="57" ht="12.75" customHeight="1"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</row>
    <row r="58" ht="12.75" customHeight="1"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</row>
    <row r="59" ht="12.75" customHeight="1"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</row>
    <row r="60" ht="12.75" customHeight="1"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</row>
    <row r="61" ht="12.75" customHeight="1"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</row>
    <row r="62" ht="12.75" customHeight="1"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</row>
    <row r="63" ht="12.75" customHeight="1"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</row>
    <row r="64" ht="12.75" customHeight="1"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</row>
    <row r="65" ht="12.75" customHeight="1"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</row>
    <row r="66" ht="12.75" customHeight="1"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</row>
    <row r="67" ht="12.75" customHeight="1"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</row>
    <row r="68" ht="12.75" customHeight="1"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</row>
    <row r="69" ht="12.75" customHeight="1"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</row>
    <row r="70" ht="12.75" customHeight="1"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</row>
    <row r="71" ht="12.75" customHeight="1"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</row>
    <row r="72" ht="12.75" customHeight="1"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</row>
    <row r="73" ht="12.75" customHeight="1"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</row>
    <row r="995" ht="12.75" customHeight="1"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</row>
    <row r="996" ht="12.75" customHeight="1"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</row>
    <row r="997" ht="12.75" customHeight="1"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</row>
    <row r="998" ht="12.75" customHeight="1"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</row>
    <row r="999" ht="12.75" customHeight="1"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</row>
    <row r="1000" ht="12.75" customHeight="1"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</row>
    <row r="1001" ht="12.75" customHeight="1"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  <c r="P1001" s="25" t="n"/>
      <c r="Q1001" s="25" t="n"/>
    </row>
    <row r="1002" ht="12.75" customHeight="1"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  <c r="P1002" s="25" t="n"/>
      <c r="Q1002" s="25" t="n"/>
    </row>
    <row r="1003" ht="12.75" customHeight="1">
      <c r="B1003" s="25" t="n"/>
      <c r="C1003" s="2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  <c r="P1003" s="25" t="n"/>
      <c r="Q1003" s="25" t="n"/>
    </row>
    <row r="1004" ht="12.75" customHeight="1">
      <c r="B1004" s="25" t="n"/>
      <c r="C1004" s="2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  <c r="P1004" s="25" t="n"/>
      <c r="Q1004" s="25" t="n"/>
    </row>
  </sheetData>
  <dataValidations count="1">
    <dataValidation sqref="B2:L29 P2:R29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005"/>
  <sheetViews>
    <sheetView workbookViewId="0">
      <pane ySplit="1" topLeftCell="A12" activePane="bottomLeft" state="frozen"/>
      <selection pane="bottomLeft" activeCell="O19" sqref="A19:O49"/>
    </sheetView>
  </sheetViews>
  <sheetFormatPr baseColWidth="8" defaultColWidth="12.5703125" defaultRowHeight="15.75" customHeight="1"/>
  <cols>
    <col width="13.42578125" customWidth="1" min="13" max="13"/>
    <col width="13.5703125" customWidth="1" min="14" max="15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  <c r="S1" s="27" t="n"/>
      <c r="T1" s="27" t="n"/>
      <c r="U1" s="27" t="n"/>
      <c r="V1" s="27" t="n"/>
      <c r="W1" s="27" t="n"/>
      <c r="X1" s="27" t="n"/>
    </row>
    <row r="2" ht="15.75" customHeight="1">
      <c r="A2" s="5" t="inlineStr">
        <is>
          <t>Louie</t>
        </is>
      </c>
      <c r="B2" s="6">
        <f>$D$1:$D$87/$C$1:$C$87</f>
        <v/>
      </c>
      <c r="C2" s="7" t="n">
        <v>3</v>
      </c>
      <c r="D2" s="7" t="n">
        <v>2</v>
      </c>
      <c r="E2" s="7" t="n">
        <v>2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2</v>
      </c>
      <c r="K2" s="7" t="n">
        <v>0</v>
      </c>
      <c r="L2" s="7" t="n">
        <v>0</v>
      </c>
      <c r="M2" s="6">
        <f>(($E2:$E16 + 2 * $F2:$F16 + 3 * $G2:$G16 + 4 * $H2:$H16) / $C2:$C16)</f>
        <v/>
      </c>
      <c r="N2" s="6">
        <f>(($D$1:$D$87 + $K$1:$K$87) / ($C$1:$C$87 + $K$1:$K$87))</f>
        <v/>
      </c>
      <c r="O2" s="9">
        <f>(($D$1:$D$76 + $K$1:$K$76) / ($C$1:$C$76 + $K$1:$K$105)) + ((($E$1:$E$117) + (2 * $F$1:$F$117) + (3 * $G$1:$G$117) + (4 * $H$1:$H$117)) / $C$1:$C$76)</f>
        <v/>
      </c>
      <c r="P2" s="38" t="n">
        <v>0</v>
      </c>
      <c r="Q2" s="38" t="n">
        <v>0</v>
      </c>
      <c r="R2" s="39" t="n"/>
      <c r="S2" s="27" t="n"/>
      <c r="T2" s="27" t="n"/>
      <c r="U2" s="27" t="n"/>
      <c r="V2" s="27" t="n"/>
      <c r="W2" s="27" t="n"/>
      <c r="X2" s="27" t="n"/>
    </row>
    <row r="3" ht="15.75" customHeight="1">
      <c r="A3" s="11" t="inlineStr">
        <is>
          <t>PJ</t>
        </is>
      </c>
      <c r="B3" s="12">
        <f>$D$1:$D$87/$C$1:$C$87</f>
        <v/>
      </c>
      <c r="C3" s="13" t="n">
        <v>3</v>
      </c>
      <c r="D3" s="13" t="n">
        <v>2</v>
      </c>
      <c r="E3" s="13" t="n">
        <v>2</v>
      </c>
      <c r="F3" s="13" t="n">
        <v>0</v>
      </c>
      <c r="G3" s="13" t="n">
        <v>0</v>
      </c>
      <c r="H3" s="13" t="n">
        <v>0</v>
      </c>
      <c r="I3" s="13" t="n">
        <v>2</v>
      </c>
      <c r="J3" s="13" t="n">
        <v>1</v>
      </c>
      <c r="K3" s="13" t="n">
        <v>0</v>
      </c>
      <c r="L3" s="13" t="n">
        <v>0</v>
      </c>
      <c r="M3" s="12">
        <f>(($E3:$E17 + 2 * $F3:$F17 + 3 * $G3:$G17 + 4 * $H3:$H17) / $C3:$C17)</f>
        <v/>
      </c>
      <c r="N3" s="12">
        <f>(($D$1:$D$87 + $K$1:$K$87) / ($C$1:$C$87 + $K$1:$K$87))</f>
        <v/>
      </c>
      <c r="O3" s="14">
        <f>(($D$1:$D$76 + $K$1:$K$76) / ($C$1:$C$76 + $K$1:$K$105)) + ((($E$1:$E$117) + (2 * $F$1:$F$117) + (3 * $G$1:$G$117) + (4 * $H$1:$H$117)) / $C$1:$C$76)</f>
        <v/>
      </c>
      <c r="P3" s="40" t="n">
        <v>1</v>
      </c>
      <c r="Q3" s="40" t="n">
        <v>1</v>
      </c>
      <c r="R3" s="41">
        <f>$Q$1:$Q$87/$P$1:$P$87</f>
        <v/>
      </c>
      <c r="S3" s="27" t="n"/>
      <c r="T3" s="27" t="n"/>
      <c r="U3" s="27" t="n"/>
      <c r="V3" s="27" t="n"/>
      <c r="W3" s="27" t="n"/>
      <c r="X3" s="27" t="n"/>
    </row>
    <row r="4" ht="14.25" customHeight="1">
      <c r="A4" s="5" t="inlineStr">
        <is>
          <t>Colman</t>
        </is>
      </c>
      <c r="B4" s="6">
        <f>$D$1:$D$87/$C$1:$C$87</f>
        <v/>
      </c>
      <c r="C4" s="7" t="n">
        <v>3</v>
      </c>
      <c r="D4" s="7" t="n">
        <v>3</v>
      </c>
      <c r="E4" s="7" t="n">
        <v>2</v>
      </c>
      <c r="F4" s="7" t="n">
        <v>0</v>
      </c>
      <c r="G4" s="7" t="n">
        <v>1</v>
      </c>
      <c r="H4" s="7" t="n">
        <v>0</v>
      </c>
      <c r="I4" s="7" t="n">
        <v>2</v>
      </c>
      <c r="J4" s="7" t="n">
        <v>2</v>
      </c>
      <c r="K4" s="7" t="n">
        <v>0</v>
      </c>
      <c r="L4" s="7" t="n">
        <v>0</v>
      </c>
      <c r="M4" s="6">
        <f>(($E4:$E14 + 2 * $F4:$F14 + 3 * $G4:$G14 + 4 * $H4:$H14) / $C4:$C14)</f>
        <v/>
      </c>
      <c r="N4" s="6">
        <f>(($D$1:$D$87 + $K$1:$K$87) / ($C$1:$C$87 + $K$1:$K$87))</f>
        <v/>
      </c>
      <c r="O4" s="9">
        <f>(($D$1:$D$76 + $K$1:$K$76) / ($C$1:$C$76 + $K$1:$K$105)) + ((($E$1:$E$117) + (2 * $F$1:$F$117) + (3 * $G$1:$G$117) + (4 * $H$1:$H$117)) / $C$1:$C$76)</f>
        <v/>
      </c>
      <c r="P4" s="38" t="n">
        <v>1</v>
      </c>
      <c r="Q4" s="38" t="n">
        <v>1</v>
      </c>
      <c r="R4" s="39">
        <f>$Q$1:$Q$87/$P$1:$P$87</f>
        <v/>
      </c>
      <c r="S4" s="27" t="n"/>
      <c r="T4" s="27" t="n"/>
      <c r="U4" s="27" t="n"/>
      <c r="V4" s="27" t="n"/>
      <c r="W4" s="27" t="n"/>
      <c r="X4" s="27" t="n"/>
    </row>
    <row r="5" ht="14.25" customHeight="1">
      <c r="A5" s="11" t="inlineStr">
        <is>
          <t>Chris C</t>
        </is>
      </c>
      <c r="B5" s="12">
        <f>$D$1:$D$87/$C$1:$C$87</f>
        <v/>
      </c>
      <c r="C5" s="13" t="n">
        <v>3</v>
      </c>
      <c r="D5" s="13" t="n">
        <v>1</v>
      </c>
      <c r="E5" s="13" t="n">
        <v>0</v>
      </c>
      <c r="F5" s="13" t="n">
        <v>0</v>
      </c>
      <c r="G5" s="13" t="n">
        <v>1</v>
      </c>
      <c r="H5" s="13" t="n">
        <v>0</v>
      </c>
      <c r="I5" s="13" t="n">
        <v>1</v>
      </c>
      <c r="J5" s="13" t="n">
        <v>1</v>
      </c>
      <c r="K5" s="13" t="n">
        <v>0</v>
      </c>
      <c r="L5" s="13" t="n">
        <v>0</v>
      </c>
      <c r="M5" s="12">
        <f>(($E5:$E17 + 2 * $F5:$F17 + 3 * $G5:$G17 + 4 * $H5:$H17) / $C5:$C17)</f>
        <v/>
      </c>
      <c r="N5" s="12">
        <f>(($D$1:$D$87 + $K$1:$K$87) / ($C$1:$C$87 + $K$1:$K$87))</f>
        <v/>
      </c>
      <c r="O5" s="14">
        <f>(($D$1:$D$76 + $K$1:$K$76) / ($C$1:$C$76 + $K$1:$K$105)) + ((($E$1:$E$117) + (2 * $F$1:$F$117) + (3 * $G$1:$G$117) + (4 * $H$1:$H$117)) / $C$1:$C$76)</f>
        <v/>
      </c>
      <c r="P5" s="40" t="n">
        <v>2</v>
      </c>
      <c r="Q5" s="40" t="n">
        <v>1</v>
      </c>
      <c r="R5" s="41">
        <f>$Q$1:$Q$87/$P$1:$P$87</f>
        <v/>
      </c>
      <c r="S5" s="27" t="n"/>
      <c r="T5" s="27" t="n"/>
      <c r="U5" s="27" t="n"/>
      <c r="V5" s="27" t="n"/>
      <c r="W5" s="27" t="n"/>
      <c r="X5" s="27" t="n"/>
    </row>
    <row r="6" ht="14.25" customHeight="1">
      <c r="A6" s="5" t="inlineStr">
        <is>
          <t>Eli</t>
        </is>
      </c>
      <c r="B6" s="6">
        <f>$D$1:$D$87/$C$1:$C$87</f>
        <v/>
      </c>
      <c r="C6" s="7" t="n">
        <v>3</v>
      </c>
      <c r="D6" s="7" t="n">
        <v>2</v>
      </c>
      <c r="E6" s="7" t="n">
        <v>2</v>
      </c>
      <c r="F6" s="7" t="n">
        <v>0</v>
      </c>
      <c r="G6" s="7" t="n">
        <v>0</v>
      </c>
      <c r="H6" s="7" t="n">
        <v>0</v>
      </c>
      <c r="I6" s="7" t="n">
        <v>2</v>
      </c>
      <c r="J6" s="7" t="n">
        <v>1</v>
      </c>
      <c r="K6" s="7" t="n">
        <v>0</v>
      </c>
      <c r="L6" s="7" t="n">
        <v>0</v>
      </c>
      <c r="M6" s="6">
        <f>(($E6:$E18 + 2 * $F6:$F18 + 3 * $G6:$G18 + 4 * $H6:$H18) / $C6:$C18)</f>
        <v/>
      </c>
      <c r="N6" s="6">
        <f>(($D$1:$D$87 + $K$1:$K$87) / ($C$1:$C$87 + $K$1:$K$87))</f>
        <v/>
      </c>
      <c r="O6" s="9">
        <f>(($D$1:$D$76 + $K$1:$K$76) / ($C$1:$C$76 + $K$1:$K$105)) + ((($E$1:$E$117) + (2 * $F$1:$F$117) + (3 * $G$1:$G$117) + (4 * $H$1:$H$117)) / $C$1:$C$76)</f>
        <v/>
      </c>
      <c r="P6" s="38" t="n">
        <v>2</v>
      </c>
      <c r="Q6" s="38" t="n">
        <v>2</v>
      </c>
      <c r="R6" s="39">
        <f>$Q$1:$Q$87/$P$1:$P$87</f>
        <v/>
      </c>
      <c r="S6" s="27" t="n"/>
      <c r="T6" s="27" t="n"/>
      <c r="U6" s="27" t="n"/>
      <c r="V6" s="27" t="n"/>
      <c r="W6" s="27" t="n"/>
      <c r="X6" s="27" t="n"/>
    </row>
    <row r="7" ht="14.25" customHeight="1">
      <c r="A7" s="11" t="inlineStr">
        <is>
          <t>Kayleigh</t>
        </is>
      </c>
      <c r="B7" s="12">
        <f>$D$1:$D$87/$C$1:$C$87</f>
        <v/>
      </c>
      <c r="C7" s="13" t="n">
        <v>2</v>
      </c>
      <c r="D7" s="13" t="n">
        <v>1</v>
      </c>
      <c r="E7" s="13" t="n">
        <v>1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2">
        <f>(($E7:$E20 + 2 * $F7:$F20 + 3 * $G7:$G20 + 4 * $H7:$H20) / $C7:$C20)</f>
        <v/>
      </c>
      <c r="N7" s="12">
        <f>(($D$1:$D$87 + $K$1:$K$87) / ($C$1:$C$87 + $K$1:$K$87))</f>
        <v/>
      </c>
      <c r="O7" s="14">
        <f>(($D$1:$D$76 + $K$1:$K$76) / ($C$1:$C$76 + $K$1:$K$105)) + ((($E$1:$E$117) + (2 * $F$1:$F$117) + (3 * $G$1:$G$117) + (4 * $H$1:$H$117)) / $C$1:$C$76)</f>
        <v/>
      </c>
      <c r="P7" s="40" t="n">
        <v>1</v>
      </c>
      <c r="Q7" s="40" t="n">
        <v>1</v>
      </c>
      <c r="R7" s="41">
        <f>$Q$1:$Q$87/$P$1:$P$87</f>
        <v/>
      </c>
      <c r="S7" s="27" t="n"/>
      <c r="T7" s="27" t="n"/>
      <c r="U7" s="27" t="n"/>
      <c r="V7" s="27" t="n"/>
      <c r="W7" s="27" t="n"/>
      <c r="X7" s="27" t="n"/>
    </row>
    <row r="8" ht="14.25" customHeight="1">
      <c r="A8" s="5" t="inlineStr">
        <is>
          <t>Zach</t>
        </is>
      </c>
      <c r="B8" s="6">
        <f>$D$1:$D$87/$C$1:$C$87</f>
        <v/>
      </c>
      <c r="C8" s="7" t="n">
        <v>2</v>
      </c>
      <c r="D8" s="7" t="n">
        <v>2</v>
      </c>
      <c r="E8" s="7" t="n">
        <v>2</v>
      </c>
      <c r="F8" s="7" t="n">
        <v>0</v>
      </c>
      <c r="G8" s="7" t="n">
        <v>0</v>
      </c>
      <c r="H8" s="7" t="n">
        <v>0</v>
      </c>
      <c r="I8" s="7" t="n">
        <v>2</v>
      </c>
      <c r="J8" s="7" t="n">
        <v>1</v>
      </c>
      <c r="K8" s="7" t="n">
        <v>0</v>
      </c>
      <c r="L8" s="7" t="n">
        <v>0</v>
      </c>
      <c r="M8" s="6">
        <f>(($E8:$E14 + 2 * $F8:$F14 + 3 * $G8:$G14 + 4 * $H8:$H14) / $C8:$C14)</f>
        <v/>
      </c>
      <c r="N8" s="6">
        <f>(($D$1:$D$87 + $K$1:$K$87) / ($C$1:$C$87 + $K$1:$K$87))</f>
        <v/>
      </c>
      <c r="O8" s="9">
        <f>(($D$1:$D$76 + $K$1:$K$76) / ($C$1:$C$76 + $K$1:$K$105)) + ((($E$1:$E$117) + (2 * $F$1:$F$117) + (3 * $G$1:$G$117) + (4 * $H$1:$H$117)) / $C$1:$C$76)</f>
        <v/>
      </c>
      <c r="P8" s="38" t="n">
        <v>1</v>
      </c>
      <c r="Q8" s="38" t="n">
        <v>1</v>
      </c>
      <c r="R8" s="39">
        <f>$Q$1:$Q$87/$P$1:$P$87</f>
        <v/>
      </c>
      <c r="S8" s="27" t="n"/>
      <c r="T8" s="27" t="n"/>
      <c r="U8" s="27" t="n"/>
      <c r="V8" s="27" t="n"/>
      <c r="W8" s="27" t="n"/>
      <c r="X8" s="27" t="n"/>
    </row>
    <row r="9" ht="14.25" customHeight="1">
      <c r="A9" s="11" t="inlineStr">
        <is>
          <t>Hannah</t>
        </is>
      </c>
      <c r="B9" s="12">
        <f>$D$1:$D$87/$C$1:$C$87</f>
        <v/>
      </c>
      <c r="C9" s="13" t="n">
        <v>2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1</v>
      </c>
      <c r="K9" s="13" t="n">
        <v>0</v>
      </c>
      <c r="L9" s="13" t="n">
        <v>0</v>
      </c>
      <c r="M9" s="12">
        <f>(($E9:$E29 + 2 * $F9:$F29 + 3 * $G9:$G22 + 4 * $H9:$H22) / $C9:$C21)</f>
        <v/>
      </c>
      <c r="N9" s="12">
        <f>(($D$1:$D$87 + $K$1:$K$87) / ($C$1:$C$87 + $K$1:$K$87))</f>
        <v/>
      </c>
      <c r="O9" s="14">
        <f>(($D$1:$D$76 + $K$1:$K$76) / ($C$1:$C$76 + $K$1:$K$105)) + ((($E$1:$E$117) + (2 * $F$1:$F$117) + (3 * $G$1:$G$117) + (4 * $H$1:$H$117)) / $C$1:$C$76)</f>
        <v/>
      </c>
      <c r="P9" s="40" t="n">
        <v>1</v>
      </c>
      <c r="Q9" s="40" t="n">
        <v>0</v>
      </c>
      <c r="R9" s="41">
        <f>$Q$1:$Q$87/$P$1:$P$87</f>
        <v/>
      </c>
      <c r="S9" s="27" t="n"/>
      <c r="T9" s="27" t="n"/>
      <c r="U9" s="27" t="n"/>
      <c r="V9" s="27" t="n"/>
      <c r="W9" s="27" t="n"/>
      <c r="X9" s="27" t="n"/>
    </row>
    <row r="10" ht="14.25" customHeight="1">
      <c r="A10" s="5" t="inlineStr">
        <is>
          <t>Robbie</t>
        </is>
      </c>
      <c r="B10" s="6">
        <f>$D$1:$D$87/$C$1:$C$87</f>
        <v/>
      </c>
      <c r="C10" s="7" t="n">
        <v>2</v>
      </c>
      <c r="D10" s="7" t="n">
        <v>2</v>
      </c>
      <c r="E10" s="7" t="n">
        <v>1</v>
      </c>
      <c r="F10" s="7" t="n">
        <v>1</v>
      </c>
      <c r="G10" s="7" t="n">
        <v>0</v>
      </c>
      <c r="H10" s="7" t="n">
        <v>0</v>
      </c>
      <c r="I10" s="7" t="n">
        <v>1</v>
      </c>
      <c r="J10" s="7" t="n">
        <v>2</v>
      </c>
      <c r="K10" s="7" t="n">
        <v>0</v>
      </c>
      <c r="L10" s="7" t="n">
        <v>0</v>
      </c>
      <c r="M10" s="6">
        <f>(($E10:$E14 + 2 * $F10:$F14 + 3 * $G10:$G14 + 4 * $H10:$H14) / $C10:$C14)</f>
        <v/>
      </c>
      <c r="N10" s="6">
        <f>(($D$1:$D$87 + $K$1:$K$87) / ($C$1:$C$87 + $K$1:$K$87))</f>
        <v/>
      </c>
      <c r="O10" s="9">
        <f>(($D$1:$D$76 + $K$1:$K$76) / ($C$1:$C$76 + $K$1:$K$105)) + ((($E$1:$E$117) + (2 * $F$1:$F$117) + (3 * $G$1:$G$117) + (4 * $H$1:$H$117)) / $C$1:$C$76)</f>
        <v/>
      </c>
      <c r="P10" s="38" t="n">
        <v>1</v>
      </c>
      <c r="Q10" s="38" t="n">
        <v>1</v>
      </c>
      <c r="R10" s="39">
        <f>$Q$1:$Q$87/$P$1:$P$87</f>
        <v/>
      </c>
      <c r="S10" s="27" t="n"/>
      <c r="T10" s="27" t="n"/>
      <c r="U10" s="27" t="n"/>
      <c r="V10" s="27" t="n"/>
      <c r="W10" s="27" t="n"/>
      <c r="X10" s="27" t="n"/>
    </row>
    <row r="11" ht="14.25" customHeight="1">
      <c r="A11" s="11" t="inlineStr">
        <is>
          <t>Mark</t>
        </is>
      </c>
      <c r="B11" s="12">
        <f>$D$1:$D$87/$C$1:$C$87</f>
        <v/>
      </c>
      <c r="C11" s="13" t="n">
        <v>2</v>
      </c>
      <c r="D11" s="13" t="n">
        <v>2</v>
      </c>
      <c r="E11" s="13" t="n">
        <v>2</v>
      </c>
      <c r="F11" s="13" t="n">
        <v>0</v>
      </c>
      <c r="G11" s="13" t="n">
        <v>0</v>
      </c>
      <c r="H11" s="13" t="n">
        <v>0</v>
      </c>
      <c r="I11" s="13" t="n">
        <v>2</v>
      </c>
      <c r="J11" s="13" t="n">
        <v>0</v>
      </c>
      <c r="K11" s="13" t="n">
        <v>0</v>
      </c>
      <c r="L11" s="13" t="n">
        <v>0</v>
      </c>
      <c r="M11" s="12">
        <f>(($E11:$E14 + 2 * $F11:$F14 + 3 * $G11:$G14 + 4 * $H11:$H14) / $C11:$C14)</f>
        <v/>
      </c>
      <c r="N11" s="12">
        <f>(($D$1:$D$87 + $K$1:$K$87) / ($C$1:$C$87 + $K$1:$K$87))</f>
        <v/>
      </c>
      <c r="O11" s="14">
        <f>(($D$1:$D$76 + $K$1:$K$76) / ($C$1:$C$76 + $K$1:$K$105)) + ((($E$1:$E$117) + (2 * $F$1:$F$117) + (3 * $G$1:$G$117) + (4 * $H$1:$H$117)) / $C$1:$C$76)</f>
        <v/>
      </c>
      <c r="P11" s="40" t="n">
        <v>2</v>
      </c>
      <c r="Q11" s="40" t="n">
        <v>2</v>
      </c>
      <c r="R11" s="41">
        <f>$Q$1:$Q$87/$P$1:$P$87</f>
        <v/>
      </c>
      <c r="S11" s="27" t="n"/>
      <c r="T11" s="27" t="n"/>
      <c r="U11" s="27" t="n"/>
      <c r="V11" s="27" t="n"/>
      <c r="W11" s="27" t="n"/>
      <c r="X11" s="27" t="n"/>
    </row>
    <row r="12" ht="14.25" customHeight="1">
      <c r="A12" s="5" t="inlineStr">
        <is>
          <t>Amanda</t>
        </is>
      </c>
      <c r="B12" s="6">
        <f>$D$1:$D$87/$C$1:$C$87</f>
        <v/>
      </c>
      <c r="C12" s="7" t="n">
        <v>2</v>
      </c>
      <c r="D12" s="7" t="n">
        <v>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0</v>
      </c>
      <c r="L12" s="7" t="n">
        <v>0</v>
      </c>
      <c r="M12" s="6">
        <f>(($E12:$E20 + 2 * $F12:$F20 + 3 * $G12:$G20 + 4 * $H12:$H20) / $C12:$C20)</f>
        <v/>
      </c>
      <c r="N12" s="6">
        <f>(($D$1:$D$87 + $K$1:$K$87) / ($C$1:$C$87 + $K$1:$K$87))</f>
        <v/>
      </c>
      <c r="O12" s="9">
        <f>(($D$1:$D$76 + $K$1:$K$76) / ($C$1:$C$76 + $K$1:$K$105)) + ((($E$1:$E$117) + (2 * $F$1:$F$117) + (3 * $G$1:$G$117) + (4 * $H$1:$H$117)) / $C$1:$C$76)</f>
        <v/>
      </c>
      <c r="P12" s="38" t="n">
        <v>1</v>
      </c>
      <c r="Q12" s="38" t="n">
        <v>1</v>
      </c>
      <c r="R12" s="39">
        <f>$Q$1:$Q$87/$P$1:$P$87</f>
        <v/>
      </c>
      <c r="S12" s="27" t="n"/>
      <c r="T12" s="27" t="n"/>
      <c r="U12" s="27" t="n"/>
      <c r="V12" s="27" t="n"/>
      <c r="W12" s="27" t="n"/>
      <c r="X12" s="27" t="n"/>
    </row>
    <row r="13" ht="14.25" customHeight="1">
      <c r="A13" s="11" t="inlineStr">
        <is>
          <t>Rizzo</t>
        </is>
      </c>
      <c r="B13" s="12">
        <f>$D$1:$D$87/$C$1:$C$87</f>
        <v/>
      </c>
      <c r="C13" s="13" t="n">
        <v>2</v>
      </c>
      <c r="D13" s="13" t="n">
        <v>1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1</v>
      </c>
      <c r="K13" s="13" t="n">
        <v>0</v>
      </c>
      <c r="L13" s="13" t="n">
        <v>0</v>
      </c>
      <c r="M13" s="12">
        <f>(($E13:$E20 + 2 * $F13:$F20 + 3 * $G13:$G20 + 4 * $H13:$H20) / $C13:$C20)</f>
        <v/>
      </c>
      <c r="N13" s="12">
        <f>(($D$1:$D$87 + $K$1:$K$87) / ($C$1:$C$87 + $K$1:$K$87))</f>
        <v/>
      </c>
      <c r="O13" s="14">
        <f>(($D$1:$D$76 + $K$1:$K$76) / ($C$1:$C$76 + $K$1:$K$105)) + ((($E$1:$E$117) + (2 * $F$1:$F$117) + (3 * $G$1:$G$117) + (4 * $H$1:$H$117)) / $C$1:$C$76)</f>
        <v/>
      </c>
      <c r="P13" s="40" t="n">
        <v>2</v>
      </c>
      <c r="Q13" s="40" t="n">
        <v>1</v>
      </c>
      <c r="R13" s="41">
        <f>$Q$1:$Q$87/$P$1:$P$87</f>
        <v/>
      </c>
      <c r="S13" s="27" t="n"/>
      <c r="T13" s="27" t="n"/>
      <c r="U13" s="27" t="n"/>
      <c r="V13" s="27" t="n"/>
      <c r="W13" s="27" t="n"/>
      <c r="X13" s="27" t="n"/>
    </row>
    <row r="14" ht="14.25" customHeight="1">
      <c r="A14" s="5" t="inlineStr">
        <is>
          <t>Phil</t>
        </is>
      </c>
      <c r="B14" s="6">
        <f>$D$1:$D$87/$C$1:$C$87</f>
        <v/>
      </c>
      <c r="C14" s="7" t="n">
        <v>2</v>
      </c>
      <c r="D14" s="7" t="n">
        <v>2</v>
      </c>
      <c r="E14" s="7" t="n">
        <v>0</v>
      </c>
      <c r="F14" s="7" t="n">
        <v>0</v>
      </c>
      <c r="G14" s="7" t="n">
        <v>1</v>
      </c>
      <c r="H14" s="7" t="n">
        <v>1</v>
      </c>
      <c r="I14" s="7" t="n">
        <v>3</v>
      </c>
      <c r="J14" s="7" t="n">
        <v>1</v>
      </c>
      <c r="K14" s="7" t="n">
        <v>0</v>
      </c>
      <c r="L14" s="7" t="n">
        <v>0</v>
      </c>
      <c r="M14" s="6">
        <f>(($E14 + 2 * $F14 + 3 * $G14 + 4 * $H14) / $C14)</f>
        <v/>
      </c>
      <c r="N14" s="6">
        <f>(($D$1:$D$87 + $K$1:$K$87) / ($C$1:$C$87 + $K$1:$K$87))</f>
        <v/>
      </c>
      <c r="O14" s="9">
        <f>(($D$14:$D$76 + $K$14:$K$76) / ($C$14:$C$76 + $K$1:$K$105)) + ((($E14:$E105) + (2 * $F14:$F105) + (3 * $G14:$G105) + (4 * $H14:$H105)) / $C$14:$C$76)</f>
        <v/>
      </c>
      <c r="P14" s="38" t="n">
        <v>1</v>
      </c>
      <c r="Q14" s="38" t="n">
        <v>1</v>
      </c>
      <c r="R14" s="39">
        <f>$Q$1:$Q$87/$P$1:$P$87</f>
        <v/>
      </c>
      <c r="S14" s="27" t="n"/>
      <c r="T14" s="27" t="n"/>
      <c r="U14" s="27" t="n"/>
      <c r="V14" s="27" t="n"/>
      <c r="W14" s="27" t="n"/>
      <c r="X14" s="27" t="n"/>
    </row>
    <row r="15" ht="14.25" customHeight="1">
      <c r="A15" s="11" t="inlineStr">
        <is>
          <t>Daniel</t>
        </is>
      </c>
      <c r="B15" s="12">
        <f>$D$1:$D$87/$C$1:$C$87</f>
        <v/>
      </c>
      <c r="C15" s="13" t="n">
        <v>2</v>
      </c>
      <c r="D15" s="13" t="n">
        <v>1</v>
      </c>
      <c r="E15" s="13" t="n">
        <v>1</v>
      </c>
      <c r="F15" s="13" t="n">
        <v>0</v>
      </c>
      <c r="G15" s="13" t="n">
        <v>0</v>
      </c>
      <c r="H15" s="13" t="n">
        <v>0</v>
      </c>
      <c r="I15" s="13" t="n">
        <v>1</v>
      </c>
      <c r="J15" s="13" t="n">
        <v>1</v>
      </c>
      <c r="K15" s="13" t="n">
        <v>0</v>
      </c>
      <c r="L15" s="13" t="n">
        <v>0</v>
      </c>
      <c r="M15" s="12">
        <f>(($E15:$E18 + 2 * $F15:$F18 + 3 * $G15:$G18 + 4 * $H15:$H18) / $C15:$C18)</f>
        <v/>
      </c>
      <c r="N15" s="12">
        <f>(($D$1:$D$87 + $K$1:$K$87) / ($C$1:$C$87 + $K$1:$K$87))</f>
        <v/>
      </c>
      <c r="O15" s="14">
        <f>(($D$14:$D$76 + $K$14:$K$76) / ($C$14:$C$76 + $K$1:$K$105)) + ((($E15:$E118) + (2 * $F15:$F118) + (3 * $G15:$G118) + (4 * $H15:$H118)) / $C$14:$C$76)</f>
        <v/>
      </c>
      <c r="P15" s="40" t="n">
        <v>1</v>
      </c>
      <c r="Q15" s="40" t="n">
        <v>1</v>
      </c>
      <c r="R15" s="41">
        <f>$Q$1:$Q$87/$P$1:$P$87</f>
        <v/>
      </c>
      <c r="S15" s="27" t="n"/>
      <c r="T15" s="27" t="n"/>
      <c r="U15" s="27" t="n"/>
      <c r="V15" s="27" t="n"/>
      <c r="W15" s="27" t="n"/>
      <c r="X15" s="27" t="n"/>
    </row>
    <row r="16" ht="14.25" customHeight="1">
      <c r="A16" s="31" t="inlineStr">
        <is>
          <t>Ayo</t>
        </is>
      </c>
      <c r="B16" s="32">
        <f>$D$1:$D$87/$C$1:$C$87</f>
        <v/>
      </c>
      <c r="C16" s="33" t="n">
        <v>1</v>
      </c>
      <c r="D16" s="33" t="n">
        <v>0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2">
        <f>(($E16:$E18 + 2 * $F16:$F18 + 3 * $G16:$G18 + 4 * $H16:$H18) / $C16:$C18)</f>
        <v/>
      </c>
      <c r="N16" s="32">
        <f>(($D$1:$D$87 + $K$1:$K$87) / ($C$1:$C$87 + $K$1:$K$87))</f>
        <v/>
      </c>
      <c r="O16" s="42">
        <f>(($D$14:$D$76 + $K$14:$K$76) / ($C$14:$C$76 + $K$1:$K$105)) + ((($E16:$E119) + (2 * $F16:$F119) + (3 * $G16:$G119) + (4 * $H16:$H119)) / $C$14:$C$76)</f>
        <v/>
      </c>
      <c r="P16" s="43" t="n">
        <v>0</v>
      </c>
      <c r="Q16" s="43" t="n">
        <v>0</v>
      </c>
      <c r="R16" s="44" t="n"/>
      <c r="S16" s="27" t="n"/>
      <c r="T16" s="27" t="n"/>
      <c r="U16" s="27" t="n"/>
      <c r="V16" s="27" t="n"/>
      <c r="W16" s="27" t="n"/>
      <c r="X16" s="27" t="n"/>
    </row>
    <row r="17" ht="14.25" customHeight="1"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</row>
    <row r="18" ht="14.25" customHeight="1"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</row>
    <row r="19" ht="14.25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S21" s="27" t="n"/>
      <c r="T21" s="27" t="n"/>
      <c r="U21" s="27" t="n"/>
      <c r="V21" s="27" t="n"/>
      <c r="W21" s="27" t="n"/>
      <c r="X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S22" s="27" t="n"/>
      <c r="T22" s="27" t="n"/>
      <c r="U22" s="27" t="n"/>
      <c r="V22" s="27" t="n"/>
      <c r="W22" s="27" t="n"/>
      <c r="X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S23" s="27" t="n"/>
      <c r="T23" s="27" t="n"/>
      <c r="U23" s="27" t="n"/>
      <c r="V23" s="27" t="n"/>
      <c r="W23" s="27" t="n"/>
      <c r="X23" s="27" t="n"/>
    </row>
    <row r="24" ht="14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S24" s="27" t="n"/>
      <c r="T24" s="27" t="n"/>
      <c r="U24" s="27" t="n"/>
      <c r="V24" s="27" t="n"/>
      <c r="W24" s="27" t="n"/>
      <c r="X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S25" s="27" t="n"/>
      <c r="T25" s="27" t="n"/>
      <c r="U25" s="27" t="n"/>
      <c r="V25" s="27" t="n"/>
      <c r="W25" s="27" t="n"/>
      <c r="X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</row>
    <row r="37" ht="14.2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</row>
    <row r="50" ht="12.75" customHeight="1"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2.75" customHeight="1"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2.75" customHeight="1"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2.75" customHeight="1"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2.75" customHeight="1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2.75" customHeight="1"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2.75" customHeight="1"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2.75" customHeight="1"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2.75" customHeight="1"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2.75" customHeight="1"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2.75" customHeight="1"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2.75" customHeight="1"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2.75" customHeight="1"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2.75" customHeight="1"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2.75" customHeight="1"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2.75" customHeight="1"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2.75" customHeight="1"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2.75" customHeight="1"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2.75" customHeight="1"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2.75" customHeight="1"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2.75" customHeight="1"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2.75" customHeight="1"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2.75" customHeight="1"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2.75" customHeight="1"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2.75" customHeight="1"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2.75" customHeight="1"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2.75" customHeight="1"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2.75" customHeight="1"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2.75" customHeight="1"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2.75" customHeight="1"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  <row r="1001" ht="12.75" customHeight="1"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</row>
    <row r="1002" ht="12.75" customHeight="1"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</row>
    <row r="1003" ht="12.75" customHeight="1">
      <c r="B1003" s="25" t="n"/>
      <c r="C1003" s="2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</row>
    <row r="1004" ht="12.75" customHeight="1">
      <c r="B1004" s="25" t="n"/>
      <c r="C1004" s="2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</row>
    <row r="1005" ht="12.75" customHeight="1">
      <c r="B1005" s="25" t="n"/>
      <c r="C1005" s="25" t="n"/>
      <c r="D1005" s="25" t="n"/>
      <c r="E1005" s="25" t="n"/>
      <c r="F1005" s="25" t="n"/>
      <c r="G1005" s="25" t="n"/>
      <c r="H1005" s="25" t="n"/>
      <c r="I1005" s="25" t="n"/>
      <c r="J1005" s="25" t="n"/>
      <c r="K1005" s="25" t="n"/>
      <c r="L1005" s="25" t="n"/>
      <c r="M1005" s="25" t="n"/>
      <c r="N1005" s="25" t="n"/>
      <c r="O1005" s="25" t="n"/>
    </row>
  </sheetData>
  <dataValidations count="1">
    <dataValidation sqref="B2:O16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2"/>
  <sheetViews>
    <sheetView zoomScaleNormal="100" workbookViewId="0">
      <pane ySplit="1" topLeftCell="A2" activePane="bottomLeft" state="frozen"/>
      <selection pane="bottomLeft" activeCell="T14" sqref="A13:T14"/>
    </sheetView>
  </sheetViews>
  <sheetFormatPr baseColWidth="8" defaultColWidth="12.5703125" defaultRowHeight="15.75" customHeight="1"/>
  <cols>
    <col width="13.42578125" customWidth="1" min="13" max="13"/>
    <col width="13.5703125" customWidth="1" min="14" max="15"/>
  </cols>
  <sheetData>
    <row r="1" ht="12.7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</row>
    <row r="2" ht="15.75" customHeight="1">
      <c r="A2" s="5" t="inlineStr">
        <is>
          <t>Louie</t>
        </is>
      </c>
      <c r="B2" s="6">
        <f>$D$1:$D$84/$C$1:$C$84</f>
        <v/>
      </c>
      <c r="C2" s="7" t="n">
        <v>3</v>
      </c>
      <c r="D2" s="7" t="n">
        <v>2</v>
      </c>
      <c r="E2" s="7" t="n">
        <v>2</v>
      </c>
      <c r="F2" s="7" t="n">
        <v>0</v>
      </c>
      <c r="G2" s="7" t="n">
        <v>0</v>
      </c>
      <c r="H2" s="7" t="n">
        <v>0</v>
      </c>
      <c r="I2" s="7" t="n">
        <v>2</v>
      </c>
      <c r="J2" s="7" t="n">
        <v>2</v>
      </c>
      <c r="K2" s="7" t="n">
        <v>0</v>
      </c>
      <c r="L2" s="7" t="n">
        <v>0</v>
      </c>
      <c r="M2" s="6">
        <f>(($E2:$E16 + 2 * $F2:$F16 + 3 * $G2:$G16 + 4 * $H2:$H16) / $C2:$C16)</f>
        <v/>
      </c>
      <c r="N2" s="6">
        <f>(($D$1:$D$84 + $K$1:$K$84) / ($C$1:$C$84 + $K$1:$K$84))</f>
        <v/>
      </c>
      <c r="O2" s="9">
        <f>(($D$1:$D$73 + $K$1:$K$73) / ($C$1:$C$73 + $K$1:$K$102)) + ((($E$1:$E$114) + (2 * $F$1:$F$114) + (3 * $G$1:$G$114) + (4 * $H$1:$H$114)) / $C$1:$C$73)</f>
        <v/>
      </c>
      <c r="P2" s="38" t="n">
        <v>2</v>
      </c>
      <c r="Q2" s="38" t="n">
        <v>2</v>
      </c>
      <c r="R2" s="39">
        <f>$Q$1:$Q$84/$P$1:$P$84</f>
        <v/>
      </c>
      <c r="S2" s="27" t="n"/>
    </row>
    <row r="3" ht="15.75" customHeight="1">
      <c r="A3" s="11" t="inlineStr">
        <is>
          <t>Zach Sparano</t>
        </is>
      </c>
      <c r="B3" s="12">
        <f>$D$1:$D$84/$C$1:$C$84</f>
        <v/>
      </c>
      <c r="C3" s="13" t="n">
        <v>3</v>
      </c>
      <c r="D3" s="13" t="n">
        <v>2</v>
      </c>
      <c r="E3" s="13" t="n">
        <v>2</v>
      </c>
      <c r="F3" s="13" t="n">
        <v>0</v>
      </c>
      <c r="G3" s="13" t="n">
        <v>0</v>
      </c>
      <c r="H3" s="13" t="n">
        <v>0</v>
      </c>
      <c r="I3" s="13" t="n">
        <v>2</v>
      </c>
      <c r="J3" s="13" t="n">
        <v>1</v>
      </c>
      <c r="K3" s="13" t="n">
        <v>0</v>
      </c>
      <c r="L3" s="13" t="n">
        <v>0</v>
      </c>
      <c r="M3" s="12">
        <f>(($E3:$E15 + 2 * $F3:$F15 + 3 * $G3:$G15 + 4 * $H3:$H15) / $C3:$C15)</f>
        <v/>
      </c>
      <c r="N3" s="12">
        <f>(($D$1:$D$84 + $K$1:$K$84) / ($C$1:$C$84 + $K$1:$K$84))</f>
        <v/>
      </c>
      <c r="O3" s="14">
        <f>(($D$1:$D$73 + $K$1:$K$73) / ($C$1:$C$73 + $K$1:$K$102)) + ((($E$1:$E$114) + (2 * $F$1:$F$114) + (3 * $G$1:$G$114) + (4 * $H$1:$H$114)) / $C$1:$C$73)</f>
        <v/>
      </c>
      <c r="P3" s="40" t="n">
        <v>1</v>
      </c>
      <c r="Q3" s="40" t="n">
        <v>1</v>
      </c>
      <c r="R3" s="41">
        <f>$Q$1:$Q$84/$P$1:$P$84</f>
        <v/>
      </c>
      <c r="S3" s="27" t="n"/>
    </row>
    <row r="4" ht="14.25" customHeight="1">
      <c r="A4" s="5" t="inlineStr">
        <is>
          <t>PJ Vorgic</t>
        </is>
      </c>
      <c r="B4" s="6">
        <f>$D$1:$D$84/$C$1:$C$84</f>
        <v/>
      </c>
      <c r="C4" s="7" t="n">
        <v>3</v>
      </c>
      <c r="D4" s="7" t="n">
        <v>2</v>
      </c>
      <c r="E4" s="7" t="n">
        <v>1</v>
      </c>
      <c r="F4" s="7" t="n">
        <v>0</v>
      </c>
      <c r="G4" s="7" t="n">
        <v>1</v>
      </c>
      <c r="H4" s="7" t="n">
        <v>0</v>
      </c>
      <c r="I4" s="7" t="n">
        <v>2</v>
      </c>
      <c r="J4" s="7" t="n">
        <v>1</v>
      </c>
      <c r="K4" s="7" t="n">
        <v>0</v>
      </c>
      <c r="L4" s="7" t="n">
        <v>0</v>
      </c>
      <c r="M4" s="6">
        <f>(($E4:$E14 + 2 * $F4:$F14 + 3 * $G4:$G14 + 4 * $H4:$H14) / $C4:$C14)</f>
        <v/>
      </c>
      <c r="N4" s="6">
        <f>(($D$1:$D$84 + $K$1:$K$84) / ($C$1:$C$84 + $K$1:$K$84))</f>
        <v/>
      </c>
      <c r="O4" s="9">
        <f>(($D$1:$D$73 + $K$1:$K$73) / ($C$1:$C$73 + $K$1:$K$102)) + ((($E$1:$E$114) + (2 * $F$1:$F$114) + (3 * $G$1:$G$114) + (4 * $H$1:$H$114)) / $C$1:$C$73)</f>
        <v/>
      </c>
      <c r="P4" s="38" t="n">
        <v>2</v>
      </c>
      <c r="Q4" s="38" t="n">
        <v>2</v>
      </c>
      <c r="R4" s="39">
        <f>$Q$1:$Q$84/$P$1:$P$84</f>
        <v/>
      </c>
      <c r="S4" s="27" t="n"/>
    </row>
    <row r="5" ht="14.25" customHeight="1">
      <c r="A5" s="11" t="inlineStr">
        <is>
          <t>Mark McWilliams</t>
        </is>
      </c>
      <c r="B5" s="12">
        <f>$D$1:$D$84/$C$1:$C$84</f>
        <v/>
      </c>
      <c r="C5" s="13" t="n">
        <v>3</v>
      </c>
      <c r="D5" s="13" t="n">
        <v>2</v>
      </c>
      <c r="E5" s="13" t="n">
        <v>2</v>
      </c>
      <c r="F5" s="13" t="n">
        <v>0</v>
      </c>
      <c r="G5" s="13" t="n">
        <v>0</v>
      </c>
      <c r="H5" s="13" t="n">
        <v>0</v>
      </c>
      <c r="I5" s="13" t="n">
        <v>1</v>
      </c>
      <c r="J5" s="13" t="n">
        <v>1</v>
      </c>
      <c r="K5" s="13" t="n">
        <v>0</v>
      </c>
      <c r="L5" s="13" t="n">
        <v>0</v>
      </c>
      <c r="M5" s="12">
        <f>(($E5:$E17 + 2 * $F5:$F17 + 3 * $G5:$G17 + 4 * $H5:$H17) / $C5:$C17)</f>
        <v/>
      </c>
      <c r="N5" s="12">
        <f>(($D$1:$D$84 + $K$1:$K$84) / ($C$1:$C$84 + $K$1:$K$84))</f>
        <v/>
      </c>
      <c r="O5" s="14">
        <f>(($D$1:$D$73 + $K$1:$K$73) / ($C$1:$C$73 + $K$1:$K$102)) + ((($E$1:$E$114) + (2 * $F$1:$F$114) + (3 * $G$1:$G$114) + (4 * $H$1:$H$114)) / $C$1:$C$73)</f>
        <v/>
      </c>
      <c r="P5" s="40" t="n">
        <v>2</v>
      </c>
      <c r="Q5" s="40" t="n">
        <v>2</v>
      </c>
      <c r="R5" s="41">
        <f>$Q$1:$Q$84/$P$1:$P$84</f>
        <v/>
      </c>
      <c r="S5" s="27" t="n"/>
    </row>
    <row r="6" ht="12.75" customHeight="1">
      <c r="A6" s="5" t="inlineStr">
        <is>
          <t>Riley Davidson</t>
        </is>
      </c>
      <c r="B6" s="6">
        <f>$D$1:$D$84/$C$1:$C$84</f>
        <v/>
      </c>
      <c r="C6" s="7" t="n">
        <v>3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6">
        <f>(($E6:$E18 + 2 * $F6:$F18 + 3 * $G6:$G18 + 4 * $H6:$H18) / $C6:$C18)</f>
        <v/>
      </c>
      <c r="N6" s="6">
        <f>(($D$1:$D$84 + $K$1:$K$84) / ($C$1:$C$84 + $K$1:$K$84))</f>
        <v/>
      </c>
      <c r="O6" s="9">
        <f>(($D$1:$D$73 + $K$1:$K$73) / ($C$1:$C$73 + $K$1:$K$102)) + ((($E$1:$E$114) + (2 * $F$1:$F$114) + (3 * $G$1:$G$114) + (4 * $H$1:$H$114)) / $C$1:$C$73)</f>
        <v/>
      </c>
      <c r="P6" s="38" t="n">
        <v>1</v>
      </c>
      <c r="Q6" s="38" t="n">
        <v>0</v>
      </c>
      <c r="R6" s="39">
        <f>$Q$1:$Q$84/$P$1:$P$84</f>
        <v/>
      </c>
    </row>
    <row r="7" ht="12.75" customHeight="1">
      <c r="A7" s="11" t="inlineStr">
        <is>
          <t>Chris Carbone</t>
        </is>
      </c>
      <c r="B7" s="12">
        <f>$D$1:$D$84/$C$1:$C$84</f>
        <v/>
      </c>
      <c r="C7" s="13" t="n">
        <v>3</v>
      </c>
      <c r="D7" s="13" t="n">
        <v>1</v>
      </c>
      <c r="E7" s="13" t="n">
        <v>1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1</v>
      </c>
      <c r="K7" s="13" t="n">
        <v>0</v>
      </c>
      <c r="L7" s="13" t="n">
        <v>0</v>
      </c>
      <c r="M7" s="12">
        <f>(($E7:$E21 + 2 * $F7:$F21 + 3 * $G7:$G21 + 4 * $H7:$H21) / $C7:$C21)</f>
        <v/>
      </c>
      <c r="N7" s="12">
        <f>(($D$1:$D$84 + $K$1:$K$84) / ($C$1:$C$84 + $K$1:$K$84))</f>
        <v/>
      </c>
      <c r="O7" s="14">
        <f>(($D$1:$D$73 + $K$1:$K$73) / ($C$1:$C$73 + $K$1:$K$102)) + ((($E$1:$E$114) + (2 * $F$1:$F$114) + (3 * $G$1:$G$114) + (4 * $H$1:$H$114)) / $C$1:$C$73)</f>
        <v/>
      </c>
      <c r="P7" s="40" t="n">
        <v>1</v>
      </c>
      <c r="Q7" s="40" t="n">
        <v>0</v>
      </c>
      <c r="R7" s="41">
        <f>$Q$1:$Q$84/$P$1:$P$84</f>
        <v/>
      </c>
    </row>
    <row r="8" ht="12.75" customHeight="1">
      <c r="A8" s="5" t="inlineStr">
        <is>
          <t>Robbie Wilson</t>
        </is>
      </c>
      <c r="B8" s="6">
        <f>$D$1:$D$84/$C$1:$C$84</f>
        <v/>
      </c>
      <c r="C8" s="7" t="n">
        <v>3</v>
      </c>
      <c r="D8" s="7" t="n">
        <v>2</v>
      </c>
      <c r="E8" s="7" t="n">
        <v>2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</v>
      </c>
      <c r="K8" s="7" t="n">
        <v>0</v>
      </c>
      <c r="L8" s="7" t="n">
        <v>0</v>
      </c>
      <c r="M8" s="6">
        <f>(($E8:$E14 + 2 * $F8:$F14 + 3 * $G8:$G14 + 4 * $H8:$H14) / $C8:$C14)</f>
        <v/>
      </c>
      <c r="N8" s="6">
        <f>(($D$1:$D$84 + $K$1:$K$84) / ($C$1:$C$84 + $K$1:$K$84))</f>
        <v/>
      </c>
      <c r="O8" s="9">
        <f>(($D$1:$D$73 + $K$1:$K$73) / ($C$1:$C$73 + $K$1:$K$102)) + ((($E$1:$E$114) + (2 * $F$1:$F$114) + (3 * $G$1:$G$114) + (4 * $H$1:$H$114)) / $C$1:$C$73)</f>
        <v/>
      </c>
      <c r="P8" s="38" t="n">
        <v>1</v>
      </c>
      <c r="Q8" s="38" t="n">
        <v>0</v>
      </c>
      <c r="R8" s="39">
        <f>$Q$1:$Q$84/$P$1:$P$84</f>
        <v/>
      </c>
    </row>
    <row r="9" ht="12.75" customHeight="1">
      <c r="A9" s="11" t="inlineStr">
        <is>
          <t>Hannah Miller</t>
        </is>
      </c>
      <c r="B9" s="12">
        <f>$D$1:$D$84/$C$1:$C$84</f>
        <v/>
      </c>
      <c r="C9" s="13" t="n">
        <v>3</v>
      </c>
      <c r="D9" s="13" t="n">
        <v>2</v>
      </c>
      <c r="E9" s="13" t="n">
        <v>2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1</v>
      </c>
      <c r="K9" s="13" t="n">
        <v>0</v>
      </c>
      <c r="L9" s="13" t="n">
        <v>0</v>
      </c>
      <c r="M9" s="12">
        <f>(($E9:$E22 + 2 * $F9:$F22 + 3 * $G9:$G22 + 4 * $H9:$H22) / $C9:$C22)</f>
        <v/>
      </c>
      <c r="N9" s="12">
        <f>(($D$1:$D$84 + $K$1:$K$84) / ($C$1:$C$84 + $K$1:$K$84))</f>
        <v/>
      </c>
      <c r="O9" s="14">
        <f>(($D$1:$D$73 + $K$1:$K$73) / ($C$1:$C$73 + $K$1:$K$102)) + ((($E$1:$E$114) + (2 * $F$1:$F$114) + (3 * $G$1:$G$114) + (4 * $H$1:$H$114)) / $C$1:$C$73)</f>
        <v/>
      </c>
      <c r="P9" s="40" t="n">
        <v>1</v>
      </c>
      <c r="Q9" s="40" t="n">
        <v>0</v>
      </c>
      <c r="R9" s="41">
        <f>$Q$1:$Q$84/$P$1:$P$84</f>
        <v/>
      </c>
    </row>
    <row r="10" ht="12.75" customHeight="1">
      <c r="A10" s="5" t="inlineStr">
        <is>
          <t>Nikola Loncar</t>
        </is>
      </c>
      <c r="B10" s="6">
        <f>$D$1:$D$84/$C$1:$C$84</f>
        <v/>
      </c>
      <c r="C10" s="7" t="n">
        <v>2</v>
      </c>
      <c r="D10" s="7" t="n">
        <v>2</v>
      </c>
      <c r="E10" s="7" t="n">
        <v>2</v>
      </c>
      <c r="F10" s="7" t="n">
        <v>0</v>
      </c>
      <c r="G10" s="7" t="n">
        <v>0</v>
      </c>
      <c r="H10" s="7" t="n">
        <v>0</v>
      </c>
      <c r="I10" s="7" t="n">
        <v>2</v>
      </c>
      <c r="J10" s="7" t="n">
        <v>1</v>
      </c>
      <c r="K10" s="7" t="n">
        <v>0</v>
      </c>
      <c r="L10" s="7" t="n">
        <v>0</v>
      </c>
      <c r="M10" s="6">
        <f>(($E10:$E14 + 2 * $F10:$F14 + 3 * $G10:$G14 + 4 * $H10:$H14) / $C10:$C14)</f>
        <v/>
      </c>
      <c r="N10" s="6">
        <f>(($D$1:$D$84 + $K$1:$K$84) / ($C$1:$C$84 + $K$1:$K$84))</f>
        <v/>
      </c>
      <c r="O10" s="9">
        <f>(($D$1:$D$73 + $K$1:$K$73) / ($C$1:$C$73 + $K$1:$K$102)) + ((($E$1:$E$114) + (2 * $F$1:$F$114) + (3 * $G$1:$G$114) + (4 * $H$1:$H$114)) / $C$1:$C$73)</f>
        <v/>
      </c>
      <c r="P10" s="38" t="n">
        <v>1</v>
      </c>
      <c r="Q10" s="38" t="n">
        <v>1</v>
      </c>
      <c r="R10" s="39">
        <f>$Q$1:$Q$84/$P$1:$P$84</f>
        <v/>
      </c>
    </row>
    <row r="11" ht="12.75" customHeight="1">
      <c r="A11" s="11" t="inlineStr">
        <is>
          <t>Mike Pawlowski</t>
        </is>
      </c>
      <c r="B11" s="12">
        <f>$D$1:$D$84/$C$1:$C$84</f>
        <v/>
      </c>
      <c r="C11" s="13" t="n">
        <v>2</v>
      </c>
      <c r="D11" s="13" t="n">
        <v>1</v>
      </c>
      <c r="E11" s="13" t="n">
        <v>1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2">
        <f>(($E11:$E14 + 2 * $F11:$F14 + 3 * $G11:$G14 + 4 * $H11:$H14) / $C11:$C14)</f>
        <v/>
      </c>
      <c r="N11" s="12">
        <f>(($D$1:$D$84 + $K$1:$K$84) / ($C$1:$C$84 + $K$1:$K$84))</f>
        <v/>
      </c>
      <c r="O11" s="14">
        <f>(($D$1:$D$73 + $K$1:$K$73) / ($C$1:$C$73 + $K$1:$K$102)) + ((($E$1:$E$114) + (2 * $F$1:$F$114) + (3 * $G$1:$G$114) + (4 * $H$1:$H$114)) / $C$1:$C$73)</f>
        <v/>
      </c>
      <c r="P11" s="40" t="n">
        <v>1</v>
      </c>
      <c r="Q11" s="40" t="n">
        <v>1</v>
      </c>
      <c r="R11" s="41">
        <f>$Q$1:$Q$84/$P$1:$P$84</f>
        <v/>
      </c>
    </row>
    <row r="12" ht="12.75" customHeight="1">
      <c r="A12" s="5" t="inlineStr">
        <is>
          <t>Amanda Fricker</t>
        </is>
      </c>
      <c r="B12" s="6">
        <f>$D$1:$D$84/$C$1:$C$84</f>
        <v/>
      </c>
      <c r="C12" s="7" t="n">
        <v>2</v>
      </c>
      <c r="D12" s="7" t="n">
        <v>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1</v>
      </c>
      <c r="J12" s="7" t="n">
        <v>0</v>
      </c>
      <c r="K12" s="7" t="n">
        <v>0</v>
      </c>
      <c r="L12" s="7" t="n">
        <v>0</v>
      </c>
      <c r="M12" s="6">
        <f>(($E12:$E21 + 2 * $F12:$F21 + 3 * $G12:$G21 + 4 * $H12:$H21) / $C12:$C21)</f>
        <v/>
      </c>
      <c r="N12" s="6">
        <f>(($D$1:$D$84 + $K$1:$K$84) / ($C$1:$C$84 + $K$1:$K$84))</f>
        <v/>
      </c>
      <c r="O12" s="9">
        <f>(($D$1:$D$73 + $K$1:$K$73) / ($C$1:$C$73 + $K$1:$K$102)) + ((($E$1:$E$114) + (2 * $F$1:$F$114) + (3 * $G$1:$G$114) + (4 * $H$1:$H$114)) / $C$1:$C$73)</f>
        <v/>
      </c>
      <c r="P12" s="38" t="n">
        <v>1</v>
      </c>
      <c r="Q12" s="38" t="n">
        <v>1</v>
      </c>
      <c r="R12" s="39">
        <f>$Q$1:$Q$84/$P$1:$P$84</f>
        <v/>
      </c>
    </row>
    <row r="13" ht="12.75" customHeight="1">
      <c r="A13" s="11" t="inlineStr">
        <is>
          <t>Dave Koiton</t>
        </is>
      </c>
      <c r="B13" s="12">
        <f>$D$1:$D$84/$C$1:$C$84</f>
        <v/>
      </c>
      <c r="C13" s="13" t="n">
        <v>2</v>
      </c>
      <c r="D13" s="13" t="n">
        <v>1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1</v>
      </c>
      <c r="J13" s="13" t="n">
        <v>0</v>
      </c>
      <c r="K13" s="13" t="n">
        <v>0</v>
      </c>
      <c r="L13" s="13" t="n">
        <v>0</v>
      </c>
      <c r="M13" s="12">
        <f>(($E13:$E22 + 2 * $F13:$F22 + 3 * $G13:$G22 + 4 * $H13:$H22) / $C13:$C22)</f>
        <v/>
      </c>
      <c r="N13" s="12">
        <f>(($D$1:$D$84 + $K$1:$K$84) / ($C$1:$C$84 + $K$1:$K$84))</f>
        <v/>
      </c>
      <c r="O13" s="14">
        <f>(($D$1:$D$73 + $K$1:$K$73) / ($C$1:$C$73 + $K$1:$K$102)) + ((($E$1:$E$114) + (2 * $F$1:$F$114) + (3 * $G$1:$G$114) + (4 * $H$1:$H$114)) / $C$1:$C$73)</f>
        <v/>
      </c>
      <c r="P13" s="40" t="n">
        <v>1</v>
      </c>
      <c r="Q13" s="40" t="n">
        <v>1</v>
      </c>
      <c r="R13" s="41">
        <f>$Q$1:$Q$84/$P$1:$P$84</f>
        <v/>
      </c>
    </row>
    <row r="14" ht="12.75" customHeight="1">
      <c r="A14" s="5" t="inlineStr">
        <is>
          <t>Anthony Rizzo</t>
        </is>
      </c>
      <c r="B14" s="6">
        <f>$D$1:$D$84/$C$1:$C$84</f>
        <v/>
      </c>
      <c r="C14" s="7" t="n">
        <v>2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6">
        <f>(($E14:$E23 + 2 * $F14:$F23 + 3 * $G14:$G23 + 4 * $H14:$H23) / $C14:$C23)</f>
        <v/>
      </c>
      <c r="N14" s="6">
        <f>(($D$1:$D$84 + $K$1:$K$84) / ($C$1:$C$84 + $K$1:$K$84))</f>
        <v/>
      </c>
      <c r="O14" s="9">
        <f>(($D$1:$D$73 + $K$1:$K$73) / ($C$1:$C$73 + $K$1:$K$102)) + ((($E$1:$E$114) + (2 * $F$1:$F$114) + (3 * $G$1:$G$114) + (4 * $H$1:$H$114)) / $C$1:$C$73)</f>
        <v/>
      </c>
      <c r="P14" s="38" t="n">
        <v>1</v>
      </c>
      <c r="Q14" s="38" t="n">
        <v>0</v>
      </c>
      <c r="R14" s="39">
        <f>$Q$1:$Q$84/$P$1:$P$84</f>
        <v/>
      </c>
    </row>
    <row r="15" ht="12.75" customHeight="1">
      <c r="A15" s="11" t="inlineStr">
        <is>
          <t>Daniel Hassel</t>
        </is>
      </c>
      <c r="B15" s="12">
        <f>$D$1:$D$84/$C$1:$C$84</f>
        <v/>
      </c>
      <c r="C15" s="13" t="n">
        <v>2</v>
      </c>
      <c r="D15" s="13" t="n">
        <v>2</v>
      </c>
      <c r="E15" s="13" t="n">
        <v>2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1</v>
      </c>
      <c r="K15" s="13" t="n">
        <v>0</v>
      </c>
      <c r="L15" s="13" t="n">
        <v>0</v>
      </c>
      <c r="M15" s="12">
        <f>(($E15:$E24 + 2 * $F15:$F24 + 3 * $G15:$G24 + 4 * $H15:$H24) / $C15:$C24)</f>
        <v/>
      </c>
      <c r="N15" s="12">
        <f>(($D$1:$D$84 + $K$1:$K$84) / ($C$1:$C$84 + $K$1:$K$84))</f>
        <v/>
      </c>
      <c r="O15" s="14">
        <f>(($D$1:$D$73 + $K$1:$K$73) / ($C$1:$C$73 + $K$1:$K$102)) + ((($E$1:$E$114) + (2 * $F$1:$F$114) + (3 * $G$1:$G$114) + (4 * $H$1:$H$114)) / $C$1:$C$73)</f>
        <v/>
      </c>
      <c r="P15" s="40" t="n">
        <v>0</v>
      </c>
      <c r="Q15" s="40" t="n">
        <v>0</v>
      </c>
      <c r="R15" s="41" t="n"/>
    </row>
    <row r="16" ht="12.75" customHeight="1">
      <c r="A16" s="5" t="inlineStr">
        <is>
          <t>Mike Moroski</t>
        </is>
      </c>
      <c r="B16" s="6">
        <f>$D$1:$D$84/$C$1:$C$84</f>
        <v/>
      </c>
      <c r="C16" s="7" t="n">
        <v>2</v>
      </c>
      <c r="D16" s="7" t="n">
        <v>1</v>
      </c>
      <c r="E16" s="7" t="n">
        <v>0</v>
      </c>
      <c r="F16" s="7" t="n">
        <v>1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0</v>
      </c>
      <c r="L16" s="7" t="n">
        <v>0</v>
      </c>
      <c r="M16" s="6">
        <f>(($E16:$E25 + 2 * $F16:$F25 + 3 * $G16:$G25 + 4 * $H16:$H25) / $C16:$C25)</f>
        <v/>
      </c>
      <c r="N16" s="6">
        <f>(($D$1:$D$84 + $K$1:$K$84) / ($C$1:$C$84 + $K$1:$K$84))</f>
        <v/>
      </c>
      <c r="O16" s="9">
        <f>(($D$1:$D$73 + $K$1:$K$73) / ($C$1:$C$73 + $K$1:$K$102)) + ((($E$1:$E$114) + (2 * $F$1:$F$114) + (3 * $G$1:$G$114) + (4 * $H$1:$H$114)) / $C$1:$C$73)</f>
        <v/>
      </c>
      <c r="P16" s="38" t="n">
        <v>0</v>
      </c>
      <c r="Q16" s="38" t="n">
        <v>0</v>
      </c>
      <c r="R16" s="39" t="n"/>
    </row>
    <row r="17" ht="12.75" customHeight="1">
      <c r="A17" s="45" t="inlineStr">
        <is>
          <t>Phil Matranga</t>
        </is>
      </c>
      <c r="B17" s="46">
        <f>$D$1:$D$84/$C$1:$C$84</f>
        <v/>
      </c>
      <c r="C17" s="34" t="n">
        <v>2</v>
      </c>
      <c r="D17" s="34" t="n">
        <v>1</v>
      </c>
      <c r="E17" s="34" t="n">
        <v>1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1</v>
      </c>
      <c r="K17" s="34" t="n">
        <v>0</v>
      </c>
      <c r="L17" s="34" t="n">
        <v>0</v>
      </c>
      <c r="M17" s="46">
        <f>(($E17:$E26 + 2 * $F17:$F26 + 3 * $G17:$G26 + 4 * $H17:$H26) / $C17:$C26)</f>
        <v/>
      </c>
      <c r="N17" s="46">
        <f>(($D$1:$D$84 + $K$1:$K$84) / ($C$1:$C$84 + $K$1:$K$84))</f>
        <v/>
      </c>
      <c r="O17" s="35">
        <f>(($D$1:$D$73 + $K$1:$K$73) / ($C$1:$C$73 + $K$1:$K$102)) + ((($E$1:$E$114) + (2 * $F$1:$F$114) + (3 * $G$1:$G$114) + (4 * $H$1:$H$114)) / $C$1:$C$73)</f>
        <v/>
      </c>
      <c r="P17" s="47" t="n">
        <v>1</v>
      </c>
      <c r="Q17" s="47" t="n">
        <v>0</v>
      </c>
      <c r="R17" s="48">
        <f>$Q$1:$Q$84/$P$1:$P$84</f>
        <v/>
      </c>
    </row>
    <row r="18" ht="12.75" customHeight="1"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 ht="14.25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7" t="n"/>
      <c r="Q19" s="27" t="n"/>
      <c r="R19" s="27" t="n"/>
      <c r="S19" s="25" t="n"/>
      <c r="T19" s="25" t="n"/>
      <c r="U19" s="25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4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4.2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4.25" customHeight="1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4.25" customHeight="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4.25" customHeight="1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4.25" customHeight="1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4.25" customHeight="1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4.25" customHeight="1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4.25" customHeight="1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4.25" customHeight="1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14.25" customHeight="1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14.25" customHeight="1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14.25" customHeight="1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14.25" customHeight="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4.25" customHeight="1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4.25" customHeight="1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14.25" customHeight="1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14.25" customHeight="1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14.25" customHeight="1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14.25" customHeight="1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4.25" customHeight="1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4.25" customHeight="1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4.25" customHeight="1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4.25" customHeight="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4.25" customHeight="1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4.25" customHeight="1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4.25" customHeight="1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4.25" customHeight="1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4.25" customHeight="1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4.25" customHeight="1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4.25" customHeight="1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4.25" customHeight="1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4.25" customHeight="1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4.25" customHeight="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4.25" customHeight="1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4.25" customHeight="1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4.25" customHeight="1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4.25" customHeight="1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4.25" customHeight="1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4.25" customHeight="1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4.25" customHeight="1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4.25" customHeight="1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4.25" customHeight="1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4.25" customHeight="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4.25" customHeight="1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4.25" customHeight="1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4.25" customHeight="1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4.25" customHeight="1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4.25" customHeight="1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4.25" customHeight="1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4.25" customHeight="1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4.25" customHeight="1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4.25" customHeight="1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4.25" customHeight="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4.25" customHeight="1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4.25" customHeight="1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4.25" customHeight="1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4.25" customHeight="1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4.25" customHeight="1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4.25" customHeight="1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4.25" customHeight="1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4.25" customHeight="1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2.75" customHeight="1"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2.75" customHeight="1"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2.75" customHeight="1"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2.75" customHeight="1"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2.75" customHeight="1"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2.75" customHeight="1"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  <row r="1001" ht="12.75" customHeight="1">
      <c r="B1001" s="25" t="n"/>
      <c r="C1001" s="2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</row>
    <row r="1002" ht="12.75" customHeight="1">
      <c r="B1002" s="25" t="n"/>
      <c r="C1002" s="2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</row>
  </sheetData>
  <dataValidations count="1">
    <dataValidation sqref="B2:O17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U1000"/>
  <sheetViews>
    <sheetView workbookViewId="0">
      <pane ySplit="1" topLeftCell="A2" activePane="bottomLeft" state="frozen"/>
      <selection pane="bottomLeft" activeCell="S7" sqref="S1:S7"/>
    </sheetView>
  </sheetViews>
  <sheetFormatPr baseColWidth="8" defaultColWidth="12.5703125" defaultRowHeight="15.75" customHeight="1"/>
  <cols>
    <col width="13.42578125" customWidth="1" min="13" max="13"/>
    <col width="13.5703125" customWidth="1" min="14" max="15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  <c r="S1" s="27" t="n"/>
    </row>
    <row r="2" ht="15.75" customHeight="1">
      <c r="A2" s="5" t="inlineStr">
        <is>
          <t>Louie</t>
        </is>
      </c>
      <c r="B2" s="6">
        <f>$D$1:$D$82/$C$1:$C$82</f>
        <v/>
      </c>
      <c r="C2" s="7" t="n">
        <v>3</v>
      </c>
      <c r="D2" s="7" t="n">
        <v>3</v>
      </c>
      <c r="E2" s="7" t="n">
        <v>3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1</v>
      </c>
      <c r="K2" s="7" t="n">
        <v>0</v>
      </c>
      <c r="L2" s="7" t="n">
        <v>0</v>
      </c>
      <c r="M2" s="6">
        <f>(($E2:$E16 + 2 * $F2:$F16 + 3 * $G2:$G16 + 4 * $H2:$H16) / $C2:$C16)</f>
        <v/>
      </c>
      <c r="N2" s="6">
        <f>(($D$1:$D$82 + $K$1:$K$82) / ($C$1:$C$82 + $K$1:$K$82))</f>
        <v/>
      </c>
      <c r="O2" s="9">
        <f>(($D$1:$D$71 + $K$1:$K$71) / ($C$1:$C$71 + $K$1:$K$100)) + ((($E$1:$E$112) + (2 * $F$1:$F$112) + (3 * $G$1:$G$112) + (4 * $H$1:$H$112)) / $C$1:$C$71)</f>
        <v/>
      </c>
      <c r="P2" s="38" t="n">
        <v>0</v>
      </c>
      <c r="Q2" s="38" t="n">
        <v>0</v>
      </c>
      <c r="R2" s="39" t="n"/>
      <c r="S2" s="27" t="n"/>
    </row>
    <row r="3" ht="15.75" customHeight="1">
      <c r="A3" s="11" t="inlineStr">
        <is>
          <t>Zach Sparano</t>
        </is>
      </c>
      <c r="B3" s="12">
        <f>$D$1:$D$82/$C$1:$C$82</f>
        <v/>
      </c>
      <c r="C3" s="13" t="n">
        <v>3</v>
      </c>
      <c r="D3" s="13" t="n">
        <v>0</v>
      </c>
      <c r="E3" s="13" t="n">
        <v>0</v>
      </c>
      <c r="F3" s="13" t="n">
        <v>0</v>
      </c>
      <c r="G3" s="13" t="n">
        <v>0</v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2">
        <f>(($E3:$E15 + 2 * $F3:$F15 + 3 * $G3:$G15 + 4 * $H3:$H15) / $C3:$C15)</f>
        <v/>
      </c>
      <c r="N3" s="12">
        <f>(($D$1:$D$82 + $K$1:$K$82) / ($C$1:$C$82 + $K$1:$K$82))</f>
        <v/>
      </c>
      <c r="O3" s="14">
        <f>(($D$1:$D$71 + $K$1:$K$71) / ($C$1:$C$71 + $K$1:$K$100)) + ((($E$1:$E$112) + (2 * $F$1:$F$112) + (3 * $G$1:$G$112) + (4 * $H$1:$H$112)) / $C$1:$C$71)</f>
        <v/>
      </c>
      <c r="P3" s="40" t="n">
        <v>1</v>
      </c>
      <c r="Q3" s="40" t="n">
        <v>0</v>
      </c>
      <c r="R3" s="41">
        <f>$Q$1:$Q$84/$P$1:$P$84</f>
        <v/>
      </c>
      <c r="S3" s="27" t="n"/>
    </row>
    <row r="4" ht="14.25" customHeight="1">
      <c r="A4" s="5" t="inlineStr">
        <is>
          <t>Phil Matranga</t>
        </is>
      </c>
      <c r="B4" s="6">
        <f>$D$1:$D$82/$C$1:$C$82</f>
        <v/>
      </c>
      <c r="C4" s="7" t="n">
        <v>3</v>
      </c>
      <c r="D4" s="7" t="n">
        <v>1</v>
      </c>
      <c r="E4" s="7" t="n">
        <v>0</v>
      </c>
      <c r="F4" s="7" t="n">
        <v>1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6">
        <f>(($E4:$E14 + 2 * $F4:$F14 + 3 * $G4:$G14 + 4 * $H4:$H14) / $C4:$C14)</f>
        <v/>
      </c>
      <c r="N4" s="6">
        <f>(($D$1:$D$82 + $K$1:$K$82) / ($C$1:$C$82 + $K$1:$K$82))</f>
        <v/>
      </c>
      <c r="O4" s="9">
        <f>(($D$1:$D$71 + $K$1:$K$71) / ($C$1:$C$71 + $K$1:$K$100)) + ((($E$1:$E$112) + (2 * $F$1:$F$112) + (3 * $G$1:$G$112) + (4 * $H$1:$H$112)) / $C$1:$C$71)</f>
        <v/>
      </c>
      <c r="P4" s="38" t="n">
        <v>2</v>
      </c>
      <c r="Q4" s="38" t="n">
        <v>0</v>
      </c>
      <c r="R4" s="39">
        <f>$Q$1:$Q$84/$P$1:$P$84</f>
        <v/>
      </c>
      <c r="S4" s="27" t="n"/>
    </row>
    <row r="5" ht="14.25" customHeight="1">
      <c r="A5" s="11" t="inlineStr">
        <is>
          <t>PJ Vorgic</t>
        </is>
      </c>
      <c r="B5" s="12">
        <f>$D$1:$D$82/$C$1:$C$82</f>
        <v/>
      </c>
      <c r="C5" s="13" t="n">
        <v>3</v>
      </c>
      <c r="D5" s="13" t="n">
        <v>1</v>
      </c>
      <c r="E5" s="13" t="n">
        <v>1</v>
      </c>
      <c r="F5" s="13" t="n">
        <v>0</v>
      </c>
      <c r="G5" s="13" t="n">
        <v>0</v>
      </c>
      <c r="H5" s="13" t="n">
        <v>0</v>
      </c>
      <c r="I5" s="13" t="n">
        <v>1</v>
      </c>
      <c r="J5" s="13" t="n">
        <v>1</v>
      </c>
      <c r="K5" s="13" t="n">
        <v>0</v>
      </c>
      <c r="L5" s="13" t="n">
        <v>0</v>
      </c>
      <c r="M5" s="12">
        <f>(($E5:$E16 + 2 * $F5:$F16 + 3 * $G5:$G16 + 4 * $H5:$H16) / $C5:$C16)</f>
        <v/>
      </c>
      <c r="N5" s="12">
        <f>(($D$1:$D$82 + $K$1:$K$82) / ($C$1:$C$82 + $K$1:$K$82))</f>
        <v/>
      </c>
      <c r="O5" s="14">
        <f>(($D$1:$D$71 + $K$1:$K$71) / ($C$1:$C$71 + $K$1:$K$100)) + ((($E$1:$E$112) + (2 * $F$1:$F$112) + (3 * $G$1:$G$112) + (4 * $H$1:$H$112)) / $C$1:$C$71)</f>
        <v/>
      </c>
      <c r="P5" s="40" t="n">
        <v>1</v>
      </c>
      <c r="Q5" s="40" t="n">
        <v>0</v>
      </c>
      <c r="R5" s="41">
        <f>$Q$1:$Q$84/$P$1:$P$84</f>
        <v/>
      </c>
      <c r="S5" s="27" t="n"/>
    </row>
    <row r="6" ht="14.25" customHeight="1">
      <c r="A6" s="5" t="inlineStr">
        <is>
          <t>Colman Closser</t>
        </is>
      </c>
      <c r="B6" s="6">
        <f>$D$1:$D$82/$C$1:$C$82</f>
        <v/>
      </c>
      <c r="C6" s="7" t="n">
        <v>3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6">
        <f>(($E6:$E17 + 2 * $F6:$F17 + 3 * $G6:$G17 + 4 * $H6:$H17) / $C6:$C17)</f>
        <v/>
      </c>
      <c r="N6" s="6">
        <f>(($D$1:$D$82 + $K$1:$K$82) / ($C$1:$C$82 + $K$1:$K$82))</f>
        <v/>
      </c>
      <c r="O6" s="9">
        <f>(($D$1:$D$71 + $K$1:$K$71) / ($C$1:$C$71 + $K$1:$K$100)) + ((($E$1:$E$112) + (2 * $F$1:$F$112) + (3 * $G$1:$G$112) + (4 * $H$1:$H$112)) / $C$1:$C$71)</f>
        <v/>
      </c>
      <c r="P6" s="38" t="n">
        <v>0</v>
      </c>
      <c r="Q6" s="38" t="n">
        <v>0</v>
      </c>
      <c r="R6" s="39" t="n"/>
      <c r="S6" s="27" t="n"/>
    </row>
    <row r="7" ht="14.25" customHeight="1">
      <c r="A7" s="11" t="inlineStr">
        <is>
          <t>Hannah Miller</t>
        </is>
      </c>
      <c r="B7" s="12">
        <f>$D$1:$D$82/$C$1:$C$82</f>
        <v/>
      </c>
      <c r="C7" s="13" t="n">
        <v>3</v>
      </c>
      <c r="D7" s="13" t="n">
        <v>2</v>
      </c>
      <c r="E7" s="13" t="n">
        <v>2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2</v>
      </c>
      <c r="K7" s="13" t="n">
        <v>0</v>
      </c>
      <c r="L7" s="13" t="n">
        <v>0</v>
      </c>
      <c r="M7" s="12">
        <f>(($E7:$E20 + 2 * $F7:$F20 + 3 * $G7:$G20 + 4 * $H7:$H20) / $C7:$C20)</f>
        <v/>
      </c>
      <c r="N7" s="12">
        <f>(($D$1:$D$82 + $K$1:$K$82) / ($C$1:$C$82 + $K$1:$K$82))</f>
        <v/>
      </c>
      <c r="O7" s="14">
        <f>(($D$1:$D$71 + $K$1:$K$71) / ($C$1:$C$71 + $K$1:$K$100)) + ((($E$1:$E$112) + (2 * $F$1:$F$112) + (3 * $G$1:$G$112) + (4 * $H$1:$H$112)) / $C$1:$C$71)</f>
        <v/>
      </c>
      <c r="P7" s="40" t="n">
        <v>0</v>
      </c>
      <c r="Q7" s="40" t="n">
        <v>0</v>
      </c>
      <c r="R7" s="41" t="n"/>
      <c r="S7" s="27" t="n"/>
    </row>
    <row r="8" ht="12.75" customHeight="1">
      <c r="A8" s="5" t="inlineStr">
        <is>
          <t>Daniel Hassel</t>
        </is>
      </c>
      <c r="B8" s="6">
        <f>$D$1:$D$82/$C$1:$C$82</f>
        <v/>
      </c>
      <c r="C8" s="7" t="n">
        <v>3</v>
      </c>
      <c r="D8" s="7" t="n">
        <v>3</v>
      </c>
      <c r="E8" s="7" t="n">
        <v>3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2</v>
      </c>
      <c r="K8" s="7" t="n">
        <v>0</v>
      </c>
      <c r="L8" s="7" t="n">
        <v>0</v>
      </c>
      <c r="M8" s="6">
        <f>(($E8:$E14 + 2 * $F8:$F14 + 3 * $G8:$G14 + 4 * $H8:$H14) / $C8:$C14)</f>
        <v/>
      </c>
      <c r="N8" s="6">
        <f>(($D$1:$D$82 + $K$1:$K$82) / ($C$1:$C$82 + $K$1:$K$82))</f>
        <v/>
      </c>
      <c r="O8" s="9">
        <f>(($D$1:$D$71 + $K$1:$K$71) / ($C$1:$C$71 + $K$1:$K$100)) + ((($E$1:$E$112) + (2 * $F$1:$F$112) + (3 * $G$1:$G$112) + (4 * $H$1:$H$112)) / $C$1:$C$71)</f>
        <v/>
      </c>
      <c r="P8" s="38" t="n">
        <v>0</v>
      </c>
      <c r="Q8" s="38" t="n">
        <v>0</v>
      </c>
      <c r="R8" s="39" t="n"/>
    </row>
    <row r="9" ht="12.75" customHeight="1">
      <c r="A9" s="11" t="inlineStr">
        <is>
          <t>Robbie Wilson</t>
        </is>
      </c>
      <c r="B9" s="12">
        <f>$D$1:$D$82/$C$1:$C$82</f>
        <v/>
      </c>
      <c r="C9" s="13" t="n">
        <v>3</v>
      </c>
      <c r="D9" s="13" t="n">
        <v>3</v>
      </c>
      <c r="E9" s="13" t="n">
        <v>3</v>
      </c>
      <c r="F9" s="13" t="n">
        <v>0</v>
      </c>
      <c r="G9" s="13" t="n">
        <v>0</v>
      </c>
      <c r="H9" s="13" t="n">
        <v>0</v>
      </c>
      <c r="I9" s="13" t="n">
        <v>1</v>
      </c>
      <c r="J9" s="13" t="n">
        <v>2</v>
      </c>
      <c r="K9" s="13" t="n">
        <v>0</v>
      </c>
      <c r="L9" s="13" t="n">
        <v>0</v>
      </c>
      <c r="M9" s="12">
        <f>(($E9:$E21 + 2 * $F9:$F21 + 3 * $G9:$G21 + 4 * $H9:$H21) / $C9:$C21)</f>
        <v/>
      </c>
      <c r="N9" s="12">
        <f>(($D$1:$D$82 + $K$1:$K$82) / ($C$1:$C$82 + $K$1:$K$82))</f>
        <v/>
      </c>
      <c r="O9" s="14">
        <f>(($D$1:$D$71 + $K$1:$K$71) / ($C$1:$C$71 + $K$1:$K$100)) + ((($E$1:$E$112) + (2 * $F$1:$F$112) + (3 * $G$1:$G$112) + (4 * $H$1:$H$112)) / $C$1:$C$71)</f>
        <v/>
      </c>
      <c r="P9" s="40" t="n">
        <v>3</v>
      </c>
      <c r="Q9" s="40" t="n">
        <v>3</v>
      </c>
      <c r="R9" s="41">
        <f>$Q$1:$Q$84/$P$1:$P$84</f>
        <v/>
      </c>
    </row>
    <row r="10" ht="12.75" customHeight="1">
      <c r="A10" s="5" t="inlineStr">
        <is>
          <t>Nikola Loncar</t>
        </is>
      </c>
      <c r="B10" s="6">
        <f>$D$1:$D$82/$C$1:$C$82</f>
        <v/>
      </c>
      <c r="C10" s="7" t="n">
        <v>3</v>
      </c>
      <c r="D10" s="7" t="n">
        <v>2</v>
      </c>
      <c r="E10" s="7" t="n">
        <v>1</v>
      </c>
      <c r="F10" s="7" t="n">
        <v>1</v>
      </c>
      <c r="G10" s="7" t="n">
        <v>0</v>
      </c>
      <c r="H10" s="7" t="n">
        <v>0</v>
      </c>
      <c r="I10" s="7" t="n">
        <v>3</v>
      </c>
      <c r="J10" s="7" t="n">
        <v>1</v>
      </c>
      <c r="K10" s="7" t="n">
        <v>0</v>
      </c>
      <c r="L10" s="7" t="n">
        <v>0</v>
      </c>
      <c r="M10" s="6">
        <f>(($E10:$E14 + 2 * $F10:$F14 + 3 * $G10:$G14 + 4 * $H10:$H14) / $C10:$C14)</f>
        <v/>
      </c>
      <c r="N10" s="6">
        <f>(($D$1:$D$82 + $K$1:$K$82) / ($C$1:$C$82 + $K$1:$K$82))</f>
        <v/>
      </c>
      <c r="O10" s="9">
        <f>(($D$1:$D$71 + $K$1:$K$71) / ($C$1:$C$71 + $K$1:$K$100)) + ((($E$1:$E$112) + (2 * $F$1:$F$112) + (3 * $G$1:$G$112) + (4 * $H$1:$H$112)) / $C$1:$C$71)</f>
        <v/>
      </c>
      <c r="P10" s="38" t="n">
        <v>3</v>
      </c>
      <c r="Q10" s="38" t="n">
        <v>2</v>
      </c>
      <c r="R10" s="39">
        <f>$Q$1:$Q$84/$P$1:$P$84</f>
        <v/>
      </c>
    </row>
    <row r="11" ht="12.75" customHeight="1">
      <c r="A11" s="11" t="inlineStr">
        <is>
          <t>Chris Carbone</t>
        </is>
      </c>
      <c r="B11" s="12">
        <f>$D$1:$D$82/$C$1:$C$82</f>
        <v/>
      </c>
      <c r="C11" s="13" t="n">
        <v>3</v>
      </c>
      <c r="D11" s="13" t="n">
        <v>2</v>
      </c>
      <c r="E11" s="13" t="n">
        <v>1</v>
      </c>
      <c r="F11" s="13" t="n">
        <v>1</v>
      </c>
      <c r="G11" s="13" t="n">
        <v>0</v>
      </c>
      <c r="H11" s="13" t="n">
        <v>0</v>
      </c>
      <c r="I11" s="13" t="n">
        <v>3</v>
      </c>
      <c r="J11" s="13" t="n">
        <v>1</v>
      </c>
      <c r="K11" s="13" t="n">
        <v>0</v>
      </c>
      <c r="L11" s="13" t="n">
        <v>0</v>
      </c>
      <c r="M11" s="12">
        <f>(($E11:$E14 + 2 * $F11:$F14 + 3 * $G11:$G14 + 4 * $H11:$H14) / $C11:$C14)</f>
        <v/>
      </c>
      <c r="N11" s="12">
        <f>(($D$1:$D$82 + $K$1:$K$82) / ($C$1:$C$82 + $K$1:$K$82))</f>
        <v/>
      </c>
      <c r="O11" s="14">
        <f>(($D$1:$D$71 + $K$1:$K$71) / ($C$1:$C$71 + $K$1:$K$100)) + ((($E$1:$E$112) + (2 * $F$1:$F$112) + (3 * $G$1:$G$112) + (4 * $H$1:$H$112)) / $C$1:$C$71)</f>
        <v/>
      </c>
      <c r="P11" s="40" t="n">
        <v>2</v>
      </c>
      <c r="Q11" s="40" t="n">
        <v>2</v>
      </c>
      <c r="R11" s="41">
        <f>$Q$1:$Q$84/$P$1:$P$84</f>
        <v/>
      </c>
    </row>
    <row r="12" ht="12.75" customHeight="1">
      <c r="A12" s="5" t="inlineStr">
        <is>
          <t>Mike Moroski</t>
        </is>
      </c>
      <c r="B12" s="6">
        <f>$D$1:$D$82/$C$1:$C$82</f>
        <v/>
      </c>
      <c r="C12" s="7" t="n">
        <v>3</v>
      </c>
      <c r="D12" s="7" t="n">
        <v>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0</v>
      </c>
      <c r="L12" s="7" t="n">
        <v>0</v>
      </c>
      <c r="M12" s="6">
        <f>(($E12:$E20 + 2 * $F12:$F20 + 3 * $G12:$G20 + 4 * $H12:$H20) / $C12:$C20)</f>
        <v/>
      </c>
      <c r="N12" s="6">
        <f>(($D$1:$D$82 + $K$1:$K$82) / ($C$1:$C$82 + $K$1:$K$82))</f>
        <v/>
      </c>
      <c r="O12" s="9">
        <f>(($D$1:$D$71 + $K$1:$K$71) / ($C$1:$C$71 + $K$1:$K$100)) + ((($E$1:$E$112) + (2 * $F$1:$F$112) + (3 * $G$1:$G$112) + (4 * $H$1:$H$112)) / $C$1:$C$71)</f>
        <v/>
      </c>
      <c r="P12" s="38" t="n">
        <v>2</v>
      </c>
      <c r="Q12" s="38" t="n">
        <v>1</v>
      </c>
      <c r="R12" s="39">
        <f>$Q$1:$Q$84/$P$1:$P$84</f>
        <v/>
      </c>
    </row>
    <row r="13" ht="12.75" customHeight="1">
      <c r="A13" s="11" t="inlineStr">
        <is>
          <t>Rob Gould</t>
        </is>
      </c>
      <c r="B13" s="12">
        <f>$D$1:$D$82/$C$1:$C$82</f>
        <v/>
      </c>
      <c r="C13" s="13" t="n">
        <v>3</v>
      </c>
      <c r="D13" s="13" t="n">
        <v>2</v>
      </c>
      <c r="E13" s="13" t="n">
        <v>2</v>
      </c>
      <c r="F13" s="13" t="n">
        <v>0</v>
      </c>
      <c r="G13" s="13" t="n">
        <v>0</v>
      </c>
      <c r="H13" s="13" t="n">
        <v>0</v>
      </c>
      <c r="I13" s="13" t="n">
        <v>1</v>
      </c>
      <c r="J13" s="13" t="n">
        <v>1</v>
      </c>
      <c r="K13" s="13" t="n">
        <v>0</v>
      </c>
      <c r="L13" s="13" t="n">
        <v>0</v>
      </c>
      <c r="M13" s="12">
        <f>(($E13:$E21 + 2 * $F13:$F21 + 3 * $G13:$G21 + 4 * $H13:$H21) / $C13:$C21)</f>
        <v/>
      </c>
      <c r="N13" s="12">
        <f>(($D$1:$D$82 + $K$1:$K$82) / ($C$1:$C$82 + $K$1:$K$82))</f>
        <v/>
      </c>
      <c r="O13" s="14">
        <f>(($D$1:$D$71 + $K$1:$K$71) / ($C$1:$C$71 + $K$1:$K$100)) + ((($E$1:$E$112) + (2 * $F$1:$F$112) + (3 * $G$1:$G$112) + (4 * $H$1:$H$112)) / $C$1:$C$71)</f>
        <v/>
      </c>
      <c r="P13" s="40" t="n">
        <v>1</v>
      </c>
      <c r="Q13" s="40" t="n">
        <v>1</v>
      </c>
      <c r="R13" s="41">
        <f>$Q$1:$Q$84/$P$1:$P$84</f>
        <v/>
      </c>
    </row>
    <row r="14" ht="12.75" customHeight="1">
      <c r="A14" s="5" t="inlineStr">
        <is>
          <t>Chris Holloway</t>
        </is>
      </c>
      <c r="B14" s="6">
        <f>$D$1:$D$82/$C$1:$C$82</f>
        <v/>
      </c>
      <c r="C14" s="7" t="n">
        <v>3</v>
      </c>
      <c r="D14" s="7" t="n">
        <v>2</v>
      </c>
      <c r="E14" s="7" t="n">
        <v>1</v>
      </c>
      <c r="F14" s="7" t="n">
        <v>1</v>
      </c>
      <c r="G14" s="7" t="n">
        <v>0</v>
      </c>
      <c r="H14" s="7" t="n">
        <v>0</v>
      </c>
      <c r="I14" s="7" t="n">
        <v>1</v>
      </c>
      <c r="J14" s="7" t="n">
        <v>1</v>
      </c>
      <c r="K14" s="7" t="n">
        <v>0</v>
      </c>
      <c r="L14" s="7" t="n">
        <v>0</v>
      </c>
      <c r="M14" s="6">
        <f>(($E14:$E22 + 2 * $F14:$F22 + 3 * $G14:$G22 + 4 * $H14:$H22) / $C14:$C22)</f>
        <v/>
      </c>
      <c r="N14" s="6">
        <f>(($D$1:$D$82 + $K$1:$K$82) / ($C$1:$C$82 + $K$1:$K$82))</f>
        <v/>
      </c>
      <c r="O14" s="9">
        <f>(($D$1:$D$71 + $K$1:$K$71) / ($C$1:$C$71 + $K$1:$K$100)) + ((($E$1:$E$112) + (2 * $F$1:$F$112) + (3 * $G$1:$G$112) + (4 * $H$1:$H$112)) / $C$1:$C$71)</f>
        <v/>
      </c>
      <c r="P14" s="38" t="n">
        <v>1</v>
      </c>
      <c r="Q14" s="38" t="n">
        <v>1</v>
      </c>
      <c r="R14" s="39">
        <f>$Q$1:$Q$84/$P$1:$P$84</f>
        <v/>
      </c>
    </row>
    <row r="15" ht="12.75" customHeight="1">
      <c r="A15" s="11" t="inlineStr">
        <is>
          <t>Riley Davidson</t>
        </is>
      </c>
      <c r="B15" s="12">
        <f>$D$1:$D$82/$C$1:$C$82</f>
        <v/>
      </c>
      <c r="C15" s="13" t="n">
        <v>3</v>
      </c>
      <c r="D15" s="13" t="n">
        <v>1</v>
      </c>
      <c r="E15" s="13" t="n">
        <v>1</v>
      </c>
      <c r="F15" s="13" t="n">
        <v>0</v>
      </c>
      <c r="G15" s="13" t="n">
        <v>0</v>
      </c>
      <c r="H15" s="13" t="n">
        <v>0</v>
      </c>
      <c r="I15" s="13" t="n">
        <v>1</v>
      </c>
      <c r="J15" s="13" t="n">
        <v>0</v>
      </c>
      <c r="K15" s="13" t="n">
        <v>0</v>
      </c>
      <c r="L15" s="13" t="n">
        <v>0</v>
      </c>
      <c r="M15" s="12">
        <f>(($E15:$E31 + 2 * $F15:$F31 + 3 * $G15:$G31 + 4 * $H15:$H31) / $C15:$C31)</f>
        <v/>
      </c>
      <c r="N15" s="12">
        <f>(($D$1:$D$82 + $K$1:$K$82) / ($C$1:$C$82 + $K$1:$K$82))</f>
        <v/>
      </c>
      <c r="O15" s="14">
        <f>(($D$1:$D$71 + $K$1:$K$71) / ($C$1:$C$71 + $K$1:$K$100)) + ((($E$1:$E$112) + (2 * $F$1:$F$112) + (3 * $G$1:$G$112) + (4 * $H$1:$H$112)) / $C$1:$C$71)</f>
        <v/>
      </c>
      <c r="P15" s="40" t="n">
        <v>2</v>
      </c>
      <c r="Q15" s="40" t="n">
        <v>1</v>
      </c>
      <c r="R15" s="41">
        <f>$Q$1:$Q$84/$P$1:$P$84</f>
        <v/>
      </c>
    </row>
    <row r="16" ht="12.75" customHeight="1">
      <c r="A16" s="31" t="inlineStr">
        <is>
          <t>Tom Cardwell</t>
        </is>
      </c>
      <c r="B16" s="32">
        <f>$D$1:$D$82/$C$1:$C$82</f>
        <v/>
      </c>
      <c r="C16" s="33" t="n">
        <v>2</v>
      </c>
      <c r="D16" s="33" t="n">
        <v>1</v>
      </c>
      <c r="E16" s="33" t="n">
        <v>1</v>
      </c>
      <c r="F16" s="33" t="n">
        <v>0</v>
      </c>
      <c r="G16" s="33" t="n">
        <v>0</v>
      </c>
      <c r="H16" s="33" t="n">
        <v>0</v>
      </c>
      <c r="I16" s="33" t="n">
        <v>2</v>
      </c>
      <c r="J16" s="33" t="n">
        <v>0</v>
      </c>
      <c r="K16" s="33" t="n">
        <v>0</v>
      </c>
      <c r="L16" s="33" t="n">
        <v>0</v>
      </c>
      <c r="M16" s="32">
        <f>(($E16:$E24 + 2 * $F16:$F24 + 3 * $G16:$G24 + 4 * $H16:$H24) / $C16:$C24)</f>
        <v/>
      </c>
      <c r="N16" s="32">
        <f>(($D$1:$D$82 + $K$1:$K$82) / ($C$1:$C$82 + $K$1:$K$82))</f>
        <v/>
      </c>
      <c r="O16" s="42">
        <f>(($D$1:$D$71 + $K$1:$K$71) / ($C$1:$C$71 + $K$1:$K$100)) + ((($E$1:$E$112) + (2 * $F$1:$F$112) + (3 * $G$1:$G$112) + (4 * $H$1:$H$112)) / $C$1:$C$71)</f>
        <v/>
      </c>
      <c r="P16" s="43" t="n">
        <v>1</v>
      </c>
      <c r="Q16" s="43" t="n">
        <v>1</v>
      </c>
      <c r="R16" s="44">
        <f>$Q$1:$Q$84/$P$1:$P$84</f>
        <v/>
      </c>
    </row>
    <row r="17" ht="12.75" customHeight="1"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</row>
    <row r="18" ht="14.25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</row>
    <row r="19" ht="14.25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</row>
    <row r="24" ht="14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</row>
    <row r="37" ht="14.2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</row>
    <row r="50" ht="14.25" customHeight="1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</row>
    <row r="51" ht="14.25" customHeight="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</row>
    <row r="52" ht="14.25" customHeight="1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</row>
    <row r="53" ht="14.25" customHeight="1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</row>
    <row r="54" ht="14.25" customHeight="1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</row>
    <row r="55" ht="14.25" customHeight="1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</row>
    <row r="56" ht="14.25" customHeight="1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</row>
    <row r="57" ht="14.25" customHeight="1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</row>
    <row r="58" ht="14.25" customHeight="1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</row>
    <row r="59" ht="14.25" customHeight="1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</row>
    <row r="60" ht="14.25" customHeight="1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</row>
    <row r="61" ht="14.25" customHeight="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</row>
    <row r="62" ht="14.25" customHeight="1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</row>
    <row r="63" ht="14.25" customHeight="1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</row>
    <row r="64" ht="14.25" customHeight="1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</row>
    <row r="65" ht="14.25" customHeight="1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</row>
    <row r="66" ht="14.25" customHeight="1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</row>
    <row r="67" ht="14.25" customHeight="1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</row>
    <row r="68" ht="14.25" customHeight="1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</row>
    <row r="69" ht="14.25" customHeight="1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</row>
    <row r="70" ht="14.25" customHeight="1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</row>
    <row r="71" ht="14.25" customHeight="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</row>
    <row r="72" ht="14.25" customHeight="1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</row>
    <row r="73" ht="14.25" customHeight="1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2.75" customHeight="1"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2.75" customHeight="1"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2.75" customHeight="1"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2.75" customHeight="1"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2.75" customHeight="1"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2.75" customHeight="1"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dataValidations count="1">
    <dataValidation sqref="B2:O16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V997"/>
  <sheetViews>
    <sheetView topLeftCell="D1" workbookViewId="0">
      <pane ySplit="1" topLeftCell="A2" activePane="bottomLeft" state="frozen"/>
      <selection pane="bottomLeft" activeCell="S6" sqref="S1:S6"/>
    </sheetView>
  </sheetViews>
  <sheetFormatPr baseColWidth="8" defaultColWidth="12.5703125" defaultRowHeight="15.75" customHeight="1"/>
  <cols>
    <col width="15.140625" customWidth="1" min="1" max="1"/>
    <col width="13.42578125" customWidth="1" min="13" max="13"/>
    <col width="13.5703125" customWidth="1" min="14" max="15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  <c r="S1" s="27" t="n"/>
    </row>
    <row r="2" ht="14.25" customHeight="1">
      <c r="A2" s="5" t="inlineStr">
        <is>
          <t>Louie</t>
        </is>
      </c>
      <c r="B2" s="6">
        <f>$D$1:$D$79/$C$1:$C$79</f>
        <v/>
      </c>
      <c r="C2" s="7" t="n">
        <v>3</v>
      </c>
      <c r="D2" s="7" t="n">
        <v>1</v>
      </c>
      <c r="E2" s="7" t="n">
        <v>0</v>
      </c>
      <c r="F2" s="7" t="n">
        <v>0</v>
      </c>
      <c r="G2" s="7" t="n">
        <v>1</v>
      </c>
      <c r="H2" s="7" t="n">
        <v>0</v>
      </c>
      <c r="I2" s="7" t="n">
        <v>0</v>
      </c>
      <c r="J2" s="7" t="n">
        <v>2</v>
      </c>
      <c r="K2" s="7" t="n">
        <v>0</v>
      </c>
      <c r="L2" s="7" t="n">
        <v>0</v>
      </c>
      <c r="M2" s="6">
        <f>(($E2:$E14 + 2 * $F2:$F14 + 3 * $G2:$G14 + 4 * $H2:$H14) / $C2:$C14)</f>
        <v/>
      </c>
      <c r="N2" s="6">
        <f>(($D$1:$D$79 + $K$1:$K$79) / ($C$1:$C$79 + $K$1:$K$79))</f>
        <v/>
      </c>
      <c r="O2" s="9">
        <f>(($D$1:$D$68 + $K$1:$K$68) / ($C$1:$C$68 + $K$1:$K$97)) + ((($E$1:$E$109) + (2 * $F$1:$F$109) + (3 * $G$1:$G$109) + (4 * $H$1:$H$109)) / $C$1:$C$68)</f>
        <v/>
      </c>
      <c r="P2" s="38" t="n">
        <v>0</v>
      </c>
      <c r="Q2" s="38" t="n">
        <v>0</v>
      </c>
      <c r="R2" s="39" t="n"/>
      <c r="S2" s="27" t="n"/>
    </row>
    <row r="3" ht="15.75" customHeight="1">
      <c r="A3" s="11" t="inlineStr">
        <is>
          <t>Nikola Loncar</t>
        </is>
      </c>
      <c r="B3" s="12">
        <f>$D$1:$D$79/$C$1:$C$79</f>
        <v/>
      </c>
      <c r="C3" s="13" t="n">
        <v>3</v>
      </c>
      <c r="D3" s="13" t="n">
        <v>3</v>
      </c>
      <c r="E3" s="13" t="n">
        <v>3</v>
      </c>
      <c r="F3" s="13" t="n">
        <v>0</v>
      </c>
      <c r="G3" s="13" t="n">
        <v>0</v>
      </c>
      <c r="H3" s="13" t="n">
        <v>0</v>
      </c>
      <c r="I3" s="13" t="n">
        <v>1</v>
      </c>
      <c r="J3" s="13" t="n">
        <v>2</v>
      </c>
      <c r="K3" s="13" t="n">
        <v>0</v>
      </c>
      <c r="L3" s="13" t="n">
        <v>0</v>
      </c>
      <c r="M3" s="12">
        <f>(($E3:$E14 + 2 * $F3:$F14 + 3 * $G3:$G14 + 4 * $H3:$H14) / $C3:$C14)</f>
        <v/>
      </c>
      <c r="N3" s="12">
        <f>(($D$1:$D$79 + $K$1:$K$79) / ($C$1:$C$79 + $K$1:$K$79))</f>
        <v/>
      </c>
      <c r="O3" s="14">
        <f>(($D$1:$D$68 + $K$1:$K$68) / ($C$1:$C$68 + $K$1:$K$97)) + ((($E$1:$E$109) + (2 * $F$1:$F$109) + (3 * $G$1:$G$109) + (4 * $H$1:$H$109)) / $C$1:$C$68)</f>
        <v/>
      </c>
      <c r="P3" s="40" t="n">
        <v>1</v>
      </c>
      <c r="Q3" s="40" t="n">
        <v>1</v>
      </c>
      <c r="R3" s="41">
        <f>$Q$1:$Q$84/$P$1:$P$84</f>
        <v/>
      </c>
      <c r="S3" s="27" t="n"/>
    </row>
    <row r="4" ht="14.25" customHeight="1">
      <c r="A4" s="5" t="inlineStr">
        <is>
          <t>Daniel Hassel</t>
        </is>
      </c>
      <c r="B4" s="6">
        <f>$D$1:$D$79/$C$1:$C$79</f>
        <v/>
      </c>
      <c r="C4" s="7" t="n">
        <v>3</v>
      </c>
      <c r="D4" s="7" t="n">
        <v>2</v>
      </c>
      <c r="E4" s="7" t="n">
        <v>1</v>
      </c>
      <c r="F4" s="7" t="n">
        <v>1</v>
      </c>
      <c r="G4" s="7" t="n">
        <v>0</v>
      </c>
      <c r="H4" s="7" t="n">
        <v>0</v>
      </c>
      <c r="I4" s="7" t="n">
        <v>3</v>
      </c>
      <c r="J4" s="7" t="n">
        <v>2</v>
      </c>
      <c r="K4" s="7" t="n">
        <v>0</v>
      </c>
      <c r="L4" s="7" t="n">
        <v>0</v>
      </c>
      <c r="M4" s="6">
        <f>(($E4:$E14 + 2 * $F4:$F14 + 3 * $G4:$G14 + 4 * $H4:$H14) / $C4:$C14)</f>
        <v/>
      </c>
      <c r="N4" s="6">
        <f>(($D$1:$D$79 + $K$1:$K$79) / ($C$1:$C$79 + $K$1:$K$79))</f>
        <v/>
      </c>
      <c r="O4" s="9">
        <f>(($D$1:$D$68 + $K$1:$K$68) / ($C$1:$C$68 + $K$1:$K$97)) + ((($E$1:$E$109) + (2 * $F$1:$F$109) + (3 * $G$1:$G$109) + (4 * $H$1:$H$109)) / $C$1:$C$68)</f>
        <v/>
      </c>
      <c r="P4" s="38" t="n">
        <v>2</v>
      </c>
      <c r="Q4" s="38" t="n">
        <v>2</v>
      </c>
      <c r="R4" s="39">
        <f>$Q$1:$Q$84/$P$1:$P$84</f>
        <v/>
      </c>
      <c r="S4" s="27" t="n"/>
    </row>
    <row r="5" ht="14.25" customHeight="1">
      <c r="A5" s="11" t="inlineStr">
        <is>
          <t>Phil Matranga</t>
        </is>
      </c>
      <c r="B5" s="12">
        <f>$D$1:$D$79/$C$1:$C$79</f>
        <v/>
      </c>
      <c r="C5" s="13" t="n">
        <v>3</v>
      </c>
      <c r="D5" s="13" t="n">
        <v>3</v>
      </c>
      <c r="E5" s="13" t="n">
        <v>1</v>
      </c>
      <c r="F5" s="13" t="n">
        <v>2</v>
      </c>
      <c r="G5" s="13" t="n">
        <v>0</v>
      </c>
      <c r="H5" s="13" t="n">
        <v>0</v>
      </c>
      <c r="I5" s="13" t="n">
        <v>1</v>
      </c>
      <c r="J5" s="13" t="n">
        <v>2</v>
      </c>
      <c r="K5" s="13" t="n">
        <v>0</v>
      </c>
      <c r="L5" s="13" t="n">
        <v>0</v>
      </c>
      <c r="M5" s="12">
        <f>(($E5:$E14 + 2 * $F5:$F14 + 3 * $G5:$G14 + 4 * $H5:$H14) / $C5:$C14)</f>
        <v/>
      </c>
      <c r="N5" s="12">
        <f>(($D$1:$D$79 + $K$1:$K$79) / ($C$1:$C$79 + $K$1:$K$79))</f>
        <v/>
      </c>
      <c r="O5" s="14">
        <f>(($D$1:$D$68 + $K$1:$K$68) / ($C$1:$C$68 + $K$1:$K$97)) + ((($E$1:$E$109) + (2 * $F$1:$F$109) + (3 * $G$1:$G$109) + (4 * $H$1:$H$109)) / $C$1:$C$68)</f>
        <v/>
      </c>
      <c r="P5" s="40" t="n">
        <v>2</v>
      </c>
      <c r="Q5" s="40" t="n">
        <v>2</v>
      </c>
      <c r="R5" s="41">
        <f>$Q$1:$Q$84/$P$1:$P$84</f>
        <v/>
      </c>
      <c r="S5" s="27" t="n"/>
    </row>
    <row r="6" ht="14.25" customHeight="1">
      <c r="A6" s="5" t="inlineStr">
        <is>
          <t>PJ Vorgic</t>
        </is>
      </c>
      <c r="B6" s="6">
        <f>$D$1:$D$79/$C$1:$C$79</f>
        <v/>
      </c>
      <c r="C6" s="7" t="n">
        <v>3</v>
      </c>
      <c r="D6" s="7" t="n">
        <v>3</v>
      </c>
      <c r="E6" s="7" t="n">
        <v>2</v>
      </c>
      <c r="F6" s="7" t="n">
        <v>1</v>
      </c>
      <c r="G6" s="7" t="n">
        <v>0</v>
      </c>
      <c r="H6" s="7" t="n">
        <v>0</v>
      </c>
      <c r="I6" s="7" t="n">
        <v>2</v>
      </c>
      <c r="J6" s="7" t="n">
        <v>1</v>
      </c>
      <c r="K6" s="7" t="n">
        <v>0</v>
      </c>
      <c r="L6" s="7" t="n">
        <v>0</v>
      </c>
      <c r="M6" s="6">
        <f>(($E6:$E15 + 2 * $F6:$F15 + 3 * $G6:$G15 + 4 * $H6:$H15) / $C6:$C15)</f>
        <v/>
      </c>
      <c r="N6" s="6">
        <f>(($D$1:$D$79 + $K$1:$K$79) / ($C$1:$C$79 + $K$1:$K$79))</f>
        <v/>
      </c>
      <c r="O6" s="9">
        <f>(($D$1:$D$68 + $K$1:$K$68) / ($C$1:$C$68 + $K$1:$K$97)) + ((($E$1:$E$109) + (2 * $F$1:$F$109) + (3 * $G$1:$G$109) + (4 * $H$1:$H$109)) / $C$1:$C$68)</f>
        <v/>
      </c>
      <c r="P6" s="38" t="n">
        <v>3</v>
      </c>
      <c r="Q6" s="38" t="n">
        <v>3</v>
      </c>
      <c r="R6" s="39">
        <f>$Q$1:$Q$84/$P$1:$P$84</f>
        <v/>
      </c>
      <c r="S6" s="27" t="n"/>
    </row>
    <row r="7" ht="12.75" customHeight="1">
      <c r="A7" s="11" t="inlineStr">
        <is>
          <t>Hannah Miller</t>
        </is>
      </c>
      <c r="B7" s="12">
        <f>$D$1:$D$79/$C$1:$C$79</f>
        <v/>
      </c>
      <c r="C7" s="13" t="n">
        <v>3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2</v>
      </c>
      <c r="J7" s="13" t="n">
        <v>0</v>
      </c>
      <c r="K7" s="13" t="n">
        <v>0</v>
      </c>
      <c r="L7" s="13" t="n">
        <v>0</v>
      </c>
      <c r="M7" s="12">
        <f>(($E7:$E18 + 2 * $F7:$F18 + 3 * $G7:$G18 + 4 * $H7:$H18) / $C7:$C18)</f>
        <v/>
      </c>
      <c r="N7" s="12">
        <f>(($D$1:$D$79 + $K$1:$K$79) / ($C$1:$C$79 + $K$1:$K$79))</f>
        <v/>
      </c>
      <c r="O7" s="14">
        <f>(($D$1:$D$68 + $K$1:$K$68) / ($C$1:$C$68 + $K$1:$K$97)) + ((($E$1:$E$109) + (2 * $F$1:$F$109) + (3 * $G$1:$G$109) + (4 * $H$1:$H$109)) / $C$1:$C$68)</f>
        <v/>
      </c>
      <c r="P7" s="40" t="n">
        <v>3</v>
      </c>
      <c r="Q7" s="40" t="n">
        <v>1</v>
      </c>
      <c r="R7" s="41">
        <f>$Q$1:$Q$84/$P$1:$P$84</f>
        <v/>
      </c>
    </row>
    <row r="8" ht="12.75" customHeight="1">
      <c r="A8" s="5" t="inlineStr">
        <is>
          <t>Mark McWilliams</t>
        </is>
      </c>
      <c r="B8" s="6">
        <f>$D$1:$D$79/$C$1:$C$79</f>
        <v/>
      </c>
      <c r="C8" s="7" t="n">
        <v>3</v>
      </c>
      <c r="D8" s="7" t="n">
        <v>2</v>
      </c>
      <c r="E8" s="7" t="n">
        <v>2</v>
      </c>
      <c r="F8" s="7" t="n">
        <v>0</v>
      </c>
      <c r="G8" s="7" t="n">
        <v>0</v>
      </c>
      <c r="H8" s="7" t="n">
        <v>0</v>
      </c>
      <c r="I8" s="7" t="n">
        <v>1</v>
      </c>
      <c r="J8" s="7" t="n">
        <v>0</v>
      </c>
      <c r="K8" s="7" t="n">
        <v>0</v>
      </c>
      <c r="L8" s="7" t="n">
        <v>0</v>
      </c>
      <c r="M8" s="6">
        <f>(($E8:$E14 + 2 * $F8:$F14 + 3 * $G8:$G14 + 4 * $H8:$H14) / $C8:$C14)</f>
        <v/>
      </c>
      <c r="N8" s="6">
        <f>(($D$1:$D$79 + $K$1:$K$79) / ($C$1:$C$79 + $K$1:$K$79))</f>
        <v/>
      </c>
      <c r="O8" s="9">
        <f>(($D$1:$D$68 + $K$1:$K$68) / ($C$1:$C$68 + $K$1:$K$97)) + ((($E$1:$E$109) + (2 * $F$1:$F$109) + (3 * $G$1:$G$109) + (4 * $H$1:$H$109)) / $C$1:$C$68)</f>
        <v/>
      </c>
      <c r="P8" s="38" t="n">
        <v>1</v>
      </c>
      <c r="Q8" s="38" t="n">
        <v>1</v>
      </c>
      <c r="R8" s="39">
        <f>$Q$1:$Q$84/$P$1:$P$84</f>
        <v/>
      </c>
    </row>
    <row r="9" ht="12.75" customHeight="1">
      <c r="A9" s="11" t="inlineStr">
        <is>
          <t>Chris Carbone</t>
        </is>
      </c>
      <c r="B9" s="12">
        <f>$D$1:$D$79/$C$1:$C$79</f>
        <v/>
      </c>
      <c r="C9" s="13" t="n">
        <v>3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2">
        <f>(($E9:$E19 + 2 * $F9:$F19 + 3 * $G9:$G19 + 4 * $H9:$H19) / $C9:$C19)</f>
        <v/>
      </c>
      <c r="N9" s="12">
        <f>(($D$1:$D$79 + $K$1:$K$79) / ($C$1:$C$79 + $K$1:$K$79))</f>
        <v/>
      </c>
      <c r="O9" s="14">
        <f>(($D$1:$D$68 + $K$1:$K$68) / ($C$1:$C$68 + $K$1:$K$97)) + ((($E$1:$E$109) + (2 * $F$1:$F$109) + (3 * $G$1:$G$109) + (4 * $H$1:$H$109)) / $C$1:$C$68)</f>
        <v/>
      </c>
      <c r="P9" s="40" t="n">
        <v>1</v>
      </c>
      <c r="Q9" s="40" t="n">
        <v>0</v>
      </c>
      <c r="R9" s="41">
        <f>$Q$1:$Q$84/$P$1:$P$84</f>
        <v/>
      </c>
    </row>
    <row r="10" ht="12.75" customHeight="1">
      <c r="A10" s="5" t="inlineStr">
        <is>
          <t>Kaleigh Ewing</t>
        </is>
      </c>
      <c r="B10" s="6">
        <f>$D$1:$D$79/$C$1:$C$79</f>
        <v/>
      </c>
      <c r="C10" s="7" t="n">
        <v>3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6">
        <f>(($E10:$E14 + 2 * $F10:$F14 + 3 * $G10:$G14 + 4 * $H10:$H14) / $C10:$C14)</f>
        <v/>
      </c>
      <c r="N10" s="6">
        <f>(($D$1:$D$79 + $K$1:$K$79) / ($C$1:$C$79 + $K$1:$K$79))</f>
        <v/>
      </c>
      <c r="O10" s="9">
        <f>(($D$1:$D$68 + $K$1:$K$68) / ($C$1:$C$68 + $K$1:$K$97)) + ((($E$1:$E$109) + (2 * $F$1:$F$109) + (3 * $G$1:$G$109) + (4 * $H$1:$H$109)) / $C$1:$C$68)</f>
        <v/>
      </c>
      <c r="P10" s="38" t="n">
        <v>0</v>
      </c>
      <c r="Q10" s="38" t="n">
        <v>0</v>
      </c>
      <c r="R10" s="39" t="n"/>
    </row>
    <row r="11" ht="12.75" customHeight="1">
      <c r="A11" s="11" t="inlineStr">
        <is>
          <t>James Dunbar</t>
        </is>
      </c>
      <c r="B11" s="12">
        <f>$D$1:$D$79/$C$1:$C$79</f>
        <v/>
      </c>
      <c r="C11" s="13" t="n">
        <v>2</v>
      </c>
      <c r="D11" s="13" t="n">
        <v>1</v>
      </c>
      <c r="E11" s="13" t="n">
        <v>1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2">
        <f>(($E11:$E14 + 2 * $F11:$F14 + 3 * $G11:$G14 + 4 * $H11:$H14) / $C11:$C14)</f>
        <v/>
      </c>
      <c r="N11" s="12">
        <f>(($D$1:$D$79 + $K$1:$K$79) / ($C$1:$C$79 + $K$1:$K$79))</f>
        <v/>
      </c>
      <c r="O11" s="14">
        <f>(($D$1:$D$68 + $K$1:$K$68) / ($C$1:$C$68 + $K$1:$K$97)) + ((($E$1:$E$109) + (2 * $F$1:$F$109) + (3 * $G$1:$G$109) + (4 * $H$1:$H$109)) / $C$1:$C$68)</f>
        <v/>
      </c>
      <c r="P11" s="40" t="n">
        <v>0</v>
      </c>
      <c r="Q11" s="40" t="n">
        <v>0</v>
      </c>
      <c r="R11" s="41" t="n"/>
    </row>
    <row r="12" ht="12.75" customHeight="1">
      <c r="A12" s="5" t="inlineStr">
        <is>
          <t>Riley Davidson</t>
        </is>
      </c>
      <c r="B12" s="6">
        <f>$D$1:$D$79/$C$1:$C$79</f>
        <v/>
      </c>
      <c r="C12" s="7" t="n">
        <v>3</v>
      </c>
      <c r="D12" s="7" t="n">
        <v>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6">
        <f>(($E12:$E18 + 2 * $F12:$F18 + 3 * $G12:$G18 + 4 * $H12:$H18) / $C12:$C18)</f>
        <v/>
      </c>
      <c r="N12" s="6">
        <f>(($D$1:$D$79 + $K$1:$K$79) / ($C$1:$C$79 + $K$1:$K$79))</f>
        <v/>
      </c>
      <c r="O12" s="9">
        <f>(($D$1:$D$68 + $K$1:$K$68) / ($C$1:$C$68 + $K$1:$K$97)) + ((($E$1:$E$109) + (2 * $F$1:$F$109) + (3 * $G$1:$G$109) + (4 * $H$1:$H$109)) / $C$1:$C$68)</f>
        <v/>
      </c>
      <c r="P12" s="38" t="n">
        <v>0</v>
      </c>
      <c r="Q12" s="38" t="n">
        <v>0</v>
      </c>
      <c r="R12" s="39" t="n"/>
    </row>
    <row r="13" ht="12.75" customHeight="1">
      <c r="A13" s="11" t="inlineStr">
        <is>
          <t>Mike Moroski</t>
        </is>
      </c>
      <c r="B13" s="12">
        <f>$D$1:$D$79/$C$1:$C$79</f>
        <v/>
      </c>
      <c r="C13" s="13" t="n">
        <v>3</v>
      </c>
      <c r="D13" s="13" t="n">
        <v>1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2">
        <f>(($E13:$E19 + 2 * $F13:$F19 + 3 * $G13:$G19 + 4 * $H13:$H19) / $C13:$C19)</f>
        <v/>
      </c>
      <c r="N13" s="12">
        <f>(($D$1:$D$79 + $K$1:$K$79) / ($C$1:$C$79 + $K$1:$K$79))</f>
        <v/>
      </c>
      <c r="O13" s="14">
        <f>(($D$1:$D$68 + $K$1:$K$68) / ($C$1:$C$68 + $K$1:$K$97)) + ((($E$1:$E$109) + (2 * $F$1:$F$109) + (3 * $G$1:$G$109) + (4 * $H$1:$H$109)) / $C$1:$C$68)</f>
        <v/>
      </c>
      <c r="P13" s="40" t="n">
        <v>1</v>
      </c>
      <c r="Q13" s="40" t="n">
        <v>0</v>
      </c>
      <c r="R13" s="41">
        <f>$Q$1:$Q$84/$P$1:$P$84</f>
        <v/>
      </c>
    </row>
    <row r="14" ht="12.75" customHeight="1">
      <c r="A14" s="51" t="inlineStr">
        <is>
          <t>Mike Pawlowski</t>
        </is>
      </c>
      <c r="B14" s="32">
        <f>$D$1:$D$79/$C$1:$C$79</f>
        <v/>
      </c>
      <c r="C14" s="33" t="n">
        <v>3</v>
      </c>
      <c r="D14" s="33" t="n">
        <v>2</v>
      </c>
      <c r="E14" s="33" t="n">
        <v>2</v>
      </c>
      <c r="F14" s="33" t="n">
        <v>0</v>
      </c>
      <c r="G14" s="33" t="n">
        <v>0</v>
      </c>
      <c r="H14" s="33" t="n">
        <v>0</v>
      </c>
      <c r="I14" s="33" t="n">
        <v>0</v>
      </c>
      <c r="J14" s="33" t="n">
        <v>1</v>
      </c>
      <c r="K14" s="33" t="n">
        <v>0</v>
      </c>
      <c r="L14" s="33" t="n">
        <v>0</v>
      </c>
      <c r="M14" s="32">
        <f>(($E14:$E20 + 2 * $F14:$F20 + 3 * $G14:$G20 + 4 * $H14:$H20) / $C14:$C20)</f>
        <v/>
      </c>
      <c r="N14" s="32">
        <f>(($D$1:$D$79 + $K$1:$K$79) / ($C$1:$C$79 + $K$1:$K$79))</f>
        <v/>
      </c>
      <c r="O14" s="42">
        <f>(($D$1:$D$68 + $K$1:$K$68) / ($C$1:$C$68 + $K$1:$K$97)) + ((($E$1:$E$109) + (2 * $F$1:$F$109) + (3 * $G$1:$G$109) + (4 * $H$1:$H$109)) / $C$1:$C$68)</f>
        <v/>
      </c>
      <c r="P14" s="43" t="n">
        <v>0</v>
      </c>
      <c r="Q14" s="43" t="n">
        <v>0</v>
      </c>
      <c r="R14" s="44" t="n"/>
    </row>
    <row r="15" ht="14.25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</row>
    <row r="16" ht="14.25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</row>
    <row r="17" ht="14.25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4.25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</row>
    <row r="19" ht="14.25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4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</row>
    <row r="37" ht="14.2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</row>
    <row r="50" ht="12.75" customHeight="1"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2.75" customHeight="1"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2.75" customHeight="1"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2.75" customHeight="1"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2.75" customHeight="1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2.75" customHeight="1"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2.75" customHeight="1"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2.75" customHeight="1"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2.75" customHeight="1"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2.75" customHeight="1"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2.75" customHeight="1"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2.75" customHeight="1"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2.75" customHeight="1"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2.75" customHeight="1"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2.75" customHeight="1"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2.75" customHeight="1"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2.75" customHeight="1"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2.75" customHeight="1"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2.75" customHeight="1"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2.75" customHeight="1"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2.75" customHeight="1"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2.75" customHeight="1"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2.75" customHeight="1"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2.75" customHeight="1"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2.75" customHeight="1"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2.75" customHeight="1"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2.75" customHeight="1"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</sheetData>
  <dataValidations count="1">
    <dataValidation sqref="B2:O14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W994"/>
  <sheetViews>
    <sheetView workbookViewId="0">
      <pane ySplit="1" topLeftCell="A2" activePane="bottomLeft" state="frozen"/>
      <selection pane="bottomLeft" activeCell="G28" sqref="G28"/>
    </sheetView>
  </sheetViews>
  <sheetFormatPr baseColWidth="8" defaultColWidth="12.5703125" defaultRowHeight="15.75" customHeight="1"/>
  <cols>
    <col width="15.140625" customWidth="1" min="1" max="1"/>
    <col width="13.42578125" customWidth="1" min="13" max="13"/>
    <col width="13.5703125" customWidth="1" min="14" max="15"/>
  </cols>
  <sheetData>
    <row r="1" ht="12.7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</row>
    <row r="2" ht="14.25" customHeight="1">
      <c r="A2" s="5" t="inlineStr">
        <is>
          <t>Louie</t>
        </is>
      </c>
      <c r="B2" s="6">
        <f>$D$1:$D$76/$C$1:$C$76</f>
        <v/>
      </c>
      <c r="C2" s="7" t="n">
        <v>2</v>
      </c>
      <c r="D2" s="7" t="n">
        <v>1</v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1</v>
      </c>
      <c r="K2" s="7" t="n">
        <v>0</v>
      </c>
      <c r="L2" s="7" t="n">
        <v>0</v>
      </c>
      <c r="M2" s="6">
        <f>(($E2:$E13 + 2 * $F2:$F13 + 3 * $G2:$G13 + 4 * $H2:$H13) / $C2:$C13)</f>
        <v/>
      </c>
      <c r="N2" s="6">
        <f>(($D$1:$D$76 + $K$1:$K$76) / ($C$1:$C$76 + $K$1:$K$76))</f>
        <v/>
      </c>
      <c r="O2" s="9">
        <f>(($D$1:$D$65 + $K$1:$K$65) / ($C$1:$C$65 + $K$1:$K$94)) + ((($E$1:$E$106) + (2 * $F$1:$F$106) + (3 * $G$1:$G$106) + (4 * $H$1:$H$106)) / $C$1:$C$65)</f>
        <v/>
      </c>
      <c r="P2" s="38" t="n">
        <v>0</v>
      </c>
      <c r="Q2" s="38" t="n">
        <v>0</v>
      </c>
      <c r="R2" s="39" t="n"/>
      <c r="S2" s="27" t="n"/>
    </row>
    <row r="3" ht="15.75" customHeight="1">
      <c r="A3" s="19" t="inlineStr">
        <is>
          <t>Robbie Wilson</t>
        </is>
      </c>
      <c r="B3" s="12">
        <f>$D$1:$D$76/$C$1:$C$76</f>
        <v/>
      </c>
      <c r="C3" s="13" t="n">
        <v>2</v>
      </c>
      <c r="D3" s="13" t="n">
        <v>0</v>
      </c>
      <c r="E3" s="13" t="n">
        <v>0</v>
      </c>
      <c r="F3" s="13" t="n">
        <v>0</v>
      </c>
      <c r="G3" s="13" t="n">
        <v>0</v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2">
        <f>(($E3:$E13 + 2 * $F3:$F13 + 3 * $G3:$G13 + 4 * $H3:$H13) / $C3:$C13)</f>
        <v/>
      </c>
      <c r="N3" s="12">
        <f>(($D$1:$D$76 + $K$1:$K$76) / ($C$1:$C$76 + $K$1:$K$76))</f>
        <v/>
      </c>
      <c r="O3" s="14">
        <f>(($D$1:$D$65 + $K$1:$K$65) / ($C$1:$C$65 + $K$1:$K$94)) + ((($E$1:$E$106) + (2 * $F$1:$F$106) + (3 * $G$1:$G$106) + (4 * $H$1:$H$106)) / $C$1:$C$65)</f>
        <v/>
      </c>
      <c r="P3" s="40" t="n">
        <v>0</v>
      </c>
      <c r="Q3" s="40" t="n">
        <v>0</v>
      </c>
      <c r="R3" s="41" t="n"/>
      <c r="S3" s="27" t="n"/>
    </row>
    <row r="4" ht="14.25" customHeight="1">
      <c r="A4" s="5" t="inlineStr">
        <is>
          <t>Daniel Hassel</t>
        </is>
      </c>
      <c r="B4" s="6">
        <f>$D$1:$D$76/$C$1:$C$76</f>
        <v/>
      </c>
      <c r="C4" s="7" t="n">
        <v>2</v>
      </c>
      <c r="D4" s="7" t="n">
        <v>2</v>
      </c>
      <c r="E4" s="7" t="n">
        <v>2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6">
        <f>(($E4:$E13 + 2 * $F4:$F13 + 3 * $G4:$G13 + 4 * $H4:$H13) / $C4:$C13)</f>
        <v/>
      </c>
      <c r="N4" s="6">
        <f>(($D$1:$D$76 + $K$1:$K$76) / ($C$1:$C$76 + $K$1:$K$76))</f>
        <v/>
      </c>
      <c r="O4" s="9">
        <f>(($D$1:$D$65 + $K$1:$K$65) / ($C$1:$C$65 + $K$1:$K$94)) + ((($E$1:$E$106) + (2 * $F$1:$F$106) + (3 * $G$1:$G$106) + (4 * $H$1:$H$106)) / $C$1:$C$65)</f>
        <v/>
      </c>
      <c r="P4" s="38" t="n">
        <v>0</v>
      </c>
      <c r="Q4" s="38" t="n">
        <v>0</v>
      </c>
      <c r="R4" s="39" t="n"/>
      <c r="S4" s="27" t="n"/>
    </row>
    <row r="5" ht="14.25" customHeight="1">
      <c r="A5" s="11" t="inlineStr">
        <is>
          <t>Phil Matranga</t>
        </is>
      </c>
      <c r="B5" s="12">
        <f>$D$1:$D$76/$C$1:$C$76</f>
        <v/>
      </c>
      <c r="C5" s="13" t="n">
        <v>2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</v>
      </c>
      <c r="I5" s="13" t="n">
        <v>1</v>
      </c>
      <c r="J5" s="13" t="n">
        <v>0</v>
      </c>
      <c r="K5" s="13" t="n">
        <v>0</v>
      </c>
      <c r="L5" s="13" t="n">
        <v>0</v>
      </c>
      <c r="M5" s="12">
        <f>(($E5:$E13 + 2 * $F5:$F13 + 3 * $G5:$G13 + 4 * $H5:$H13) / $C5:$C13)</f>
        <v/>
      </c>
      <c r="N5" s="12">
        <f>(($D$1:$D$76 + $K$1:$K$76) / ($C$1:$C$76 + $K$1:$K$76))</f>
        <v/>
      </c>
      <c r="O5" s="14">
        <f>(($D$1:$D$65 + $K$1:$K$65) / ($C$1:$C$65 + $K$1:$K$94)) + ((($E$1:$E$106) + (2 * $F$1:$F$106) + (3 * $G$1:$G$106) + (4 * $H$1:$H$106)) / $C$1:$C$65)</f>
        <v/>
      </c>
      <c r="P5" s="40" t="n">
        <v>1</v>
      </c>
      <c r="Q5" s="40" t="n">
        <v>0</v>
      </c>
      <c r="R5" s="41">
        <f>$Q$1:$Q$83/$P$1:$P$83</f>
        <v/>
      </c>
      <c r="S5" s="27" t="n"/>
    </row>
    <row r="6" ht="14.25" customHeight="1">
      <c r="A6" s="5" t="inlineStr">
        <is>
          <t>PJ Vorgic</t>
        </is>
      </c>
      <c r="B6" s="6">
        <f>$D$1:$D$76/$C$1:$C$76</f>
        <v/>
      </c>
      <c r="C6" s="7" t="n">
        <v>2</v>
      </c>
      <c r="D6" s="7" t="n">
        <v>1</v>
      </c>
      <c r="E6" s="7" t="n">
        <v>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6">
        <f>(($E6:$E14 + 2 * $F6:$F14 + 3 * $G6:$G14 + 4 * $H6:$H14) / $C6:$C14)</f>
        <v/>
      </c>
      <c r="N6" s="6">
        <f>(($D$1:$D$76 + $K$1:$K$76) / ($C$1:$C$76 + $K$1:$K$76))</f>
        <v/>
      </c>
      <c r="O6" s="9">
        <f>(($D$1:$D$65 + $K$1:$K$65) / ($C$1:$C$65 + $K$1:$K$94)) + ((($E$1:$E$106) + (2 * $F$1:$F$106) + (3 * $G$1:$G$106) + (4 * $H$1:$H$106)) / $C$1:$C$65)</f>
        <v/>
      </c>
      <c r="P6" s="38" t="n">
        <v>1</v>
      </c>
      <c r="Q6" s="38" t="n">
        <v>1</v>
      </c>
      <c r="R6" s="39">
        <f>$Q$1:$Q$83/$P$1:$P$83</f>
        <v/>
      </c>
      <c r="S6" s="27" t="n"/>
    </row>
    <row r="7" ht="14.25" customHeight="1">
      <c r="A7" s="11" t="inlineStr">
        <is>
          <t>Hannah Miller</t>
        </is>
      </c>
      <c r="B7" s="12">
        <f>$D$1:$D$76/$C$1:$C$76</f>
        <v/>
      </c>
      <c r="C7" s="13" t="n">
        <v>2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2">
        <f>(($E7:$E14 + 2 * $F7:$F14 + 3 * $G7:$G14 + 4 * $H7:$H14) / $C7:$C14)</f>
        <v/>
      </c>
      <c r="N7" s="12">
        <f>(($D$1:$D$76 + $K$1:$K$76) / ($C$1:$C$76 + $K$1:$K$76))</f>
        <v/>
      </c>
      <c r="O7" s="14">
        <f>(($D$1:$D$65 + $K$1:$K$65) / ($C$1:$C$65 + $K$1:$K$94)) + ((($E$1:$E$106) + (2 * $F$1:$F$106) + (3 * $G$1:$G$106) + (4 * $H$1:$H$106)) / $C$1:$C$65)</f>
        <v/>
      </c>
      <c r="P7" s="40" t="n">
        <v>1</v>
      </c>
      <c r="Q7" s="40" t="n">
        <v>0</v>
      </c>
      <c r="R7" s="41">
        <f>$Q$1:$Q$83/$P$1:$P$83</f>
        <v/>
      </c>
      <c r="S7" s="27" t="n"/>
    </row>
    <row r="8" ht="12.75" customHeight="1">
      <c r="A8" s="5" t="inlineStr">
        <is>
          <t>Mark McWilliams</t>
        </is>
      </c>
      <c r="B8" s="6">
        <f>$D$1:$D$76/$C$1:$C$76</f>
        <v/>
      </c>
      <c r="C8" s="7" t="n">
        <v>1</v>
      </c>
      <c r="D8" s="7" t="n">
        <v>1</v>
      </c>
      <c r="E8" s="7" t="n">
        <v>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</v>
      </c>
      <c r="K8" s="7" t="n">
        <v>0</v>
      </c>
      <c r="L8" s="7" t="n">
        <v>0</v>
      </c>
      <c r="M8" s="6">
        <f>(($E8:$E13 + 2 * $F8:$F13 + 3 * $G8:$G13 + 4 * $H8:$H13) / $C8:$C13)</f>
        <v/>
      </c>
      <c r="N8" s="6">
        <f>(($D$1:$D$76 + $K$1:$K$76) / ($C$1:$C$76 + $K$1:$K$76))</f>
        <v/>
      </c>
      <c r="O8" s="9">
        <f>(($D$1:$D$65 + $K$1:$K$65) / ($C$1:$C$65 + $K$1:$K$94)) + ((($E$1:$E$106) + (2 * $F$1:$F$106) + (3 * $G$1:$G$106) + (4 * $H$1:$H$106)) / $C$1:$C$65)</f>
        <v/>
      </c>
      <c r="P8" s="38" t="n">
        <v>0</v>
      </c>
      <c r="Q8" s="38" t="n">
        <v>0</v>
      </c>
      <c r="R8" s="39" t="n"/>
    </row>
    <row r="9" ht="12.75" customHeight="1">
      <c r="A9" s="11" t="inlineStr">
        <is>
          <t>Chris Carbone</t>
        </is>
      </c>
      <c r="B9" s="12">
        <f>$D$1:$D$76/$C$1:$C$76</f>
        <v/>
      </c>
      <c r="C9" s="13" t="n">
        <v>1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2">
        <f>(($E9:$E14 + 2 * $F9:$F14 + 3 * $G9:$G14 + 4 * $H9:$H14) / $C9:$C14)</f>
        <v/>
      </c>
      <c r="N9" s="12">
        <f>(($D$1:$D$76 + $K$1:$K$76) / ($C$1:$C$76 + $K$1:$K$76))</f>
        <v/>
      </c>
      <c r="O9" s="14">
        <f>(($D$1:$D$65 + $K$1:$K$65) / ($C$1:$C$65 + $K$1:$K$94)) + ((($E$1:$E$106) + (2 * $F$1:$F$106) + (3 * $G$1:$G$106) + (4 * $H$1:$H$106)) / $C$1:$C$65)</f>
        <v/>
      </c>
      <c r="P9" s="40" t="n">
        <v>0</v>
      </c>
      <c r="Q9" s="40" t="n">
        <v>0</v>
      </c>
      <c r="R9" s="41" t="n"/>
    </row>
    <row r="10" ht="12.75" customHeight="1">
      <c r="A10" s="5" t="inlineStr">
        <is>
          <t>James Dunbar</t>
        </is>
      </c>
      <c r="B10" s="6">
        <f>$D$1:$D$76/$C$1:$C$76</f>
        <v/>
      </c>
      <c r="C10" s="7" t="n">
        <v>1</v>
      </c>
      <c r="D10" s="7" t="n">
        <v>1</v>
      </c>
      <c r="E10" s="7" t="n">
        <v>0</v>
      </c>
      <c r="F10" s="7" t="n">
        <v>1</v>
      </c>
      <c r="G10" s="7" t="n">
        <v>0</v>
      </c>
      <c r="H10" s="7" t="n">
        <v>0</v>
      </c>
      <c r="I10" s="7" t="n">
        <v>1</v>
      </c>
      <c r="J10" s="7" t="n">
        <v>0</v>
      </c>
      <c r="K10" s="7" t="n">
        <v>0</v>
      </c>
      <c r="L10" s="7" t="n">
        <v>0</v>
      </c>
      <c r="M10" s="6">
        <f>(($E10:$E13 + 2 * $F10:$F13 + 3 * $G10:$G13 + 4 * $H10:$H13) / $C10:$C13)</f>
        <v/>
      </c>
      <c r="N10" s="6">
        <f>(($D$1:$D$76 + $K$1:$K$76) / ($C$1:$C$76 + $K$1:$K$76))</f>
        <v/>
      </c>
      <c r="O10" s="9">
        <f>(($D$1:$D$65 + $K$1:$K$65) / ($C$1:$C$65 + $K$1:$K$94)) + ((($E$1:$E$106) + (2 * $F$1:$F$106) + (3 * $G$1:$G$106) + (4 * $H$1:$H$106)) / $C$1:$C$65)</f>
        <v/>
      </c>
      <c r="P10" s="38" t="n">
        <v>1</v>
      </c>
      <c r="Q10" s="38" t="n">
        <v>1</v>
      </c>
      <c r="R10" s="39">
        <f>$Q$1:$Q$83/$P$1:$P$83</f>
        <v/>
      </c>
    </row>
    <row r="11" ht="12.75" customHeight="1">
      <c r="A11" s="58" t="inlineStr">
        <is>
          <t>Riley Davidson</t>
        </is>
      </c>
      <c r="B11" s="12">
        <f>$D$1:$D$76/$C$1:$C$76</f>
        <v/>
      </c>
      <c r="C11" s="13" t="n">
        <v>1</v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2">
        <f>(($E11:$E13 + 2 * $F11:$F13 + 3 * $G11:$G13 + 4 * $H11:$H13) / $C11:$C13)</f>
        <v/>
      </c>
      <c r="N11" s="12">
        <f>(($D$1:$D$76 + $K$1:$K$76) / ($C$1:$C$76 + $K$1:$K$76))</f>
        <v/>
      </c>
      <c r="O11" s="14">
        <f>(($D$1:$D$65 + $K$1:$K$65) / ($C$1:$C$65 + $K$1:$K$94)) + ((($E$1:$E$106) + (2 * $F$1:$F$106) + (3 * $G$1:$G$106) + (4 * $H$1:$H$106)) / $C$1:$C$65)</f>
        <v/>
      </c>
      <c r="P11" s="40" t="n">
        <v>1</v>
      </c>
      <c r="Q11" s="40" t="n">
        <v>0</v>
      </c>
      <c r="R11" s="41">
        <f>$Q$1:$Q$83/$P$1:$P$83</f>
        <v/>
      </c>
    </row>
    <row r="12" ht="12.75" customHeight="1">
      <c r="A12" s="19" t="inlineStr">
        <is>
          <t>Mike Pawlowski</t>
        </is>
      </c>
      <c r="B12" s="6">
        <f>$D$1:$D$76/$C$1:$C$76</f>
        <v/>
      </c>
      <c r="C12" s="7" t="n">
        <v>1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6">
        <f>(($E12:$E14 + 2 * $F12:$F14 + 3 * $G12:$G14 + 4 * $H12:$H14) / $C12:$C14)</f>
        <v/>
      </c>
      <c r="N12" s="6">
        <f>(($D$1:$D$76 + $K$1:$K$76) / ($C$1:$C$76 + $K$1:$K$76))</f>
        <v/>
      </c>
      <c r="O12" s="9">
        <f>(($D$1:$D$65 + $K$1:$K$65) / ($C$1:$C$65 + $K$1:$K$94)) + ((($E$1:$E$106) + (2 * $F$1:$F$106) + (3 * $G$1:$G$106) + (4 * $H$1:$H$106)) / $C$1:$C$65)</f>
        <v/>
      </c>
      <c r="P12" s="38" t="n">
        <v>1</v>
      </c>
      <c r="Q12" s="38" t="n">
        <v>0</v>
      </c>
      <c r="R12" s="39">
        <f>$Q$1:$Q$83/$P$1:$P$83</f>
        <v/>
      </c>
    </row>
    <row r="13" ht="12.75" customHeight="1">
      <c r="A13" s="11" t="inlineStr">
        <is>
          <t>Michael Ferraioli</t>
        </is>
      </c>
      <c r="B13" s="12">
        <f>$D$1:$D$76/$C$1:$C$76</f>
        <v/>
      </c>
      <c r="C13" s="13" t="n">
        <v>1</v>
      </c>
      <c r="D13" s="13" t="n">
        <v>0</v>
      </c>
      <c r="E13" s="13" t="n">
        <v>0</v>
      </c>
      <c r="F13" s="13" t="n">
        <v>0</v>
      </c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2">
        <f>(($E13:$E14 + 2 * $F13:$F14 + 3 * $G13:$G14 + 4 * $H13:$H14) / $C13:$C14)</f>
        <v/>
      </c>
      <c r="N13" s="12">
        <f>(($D$1:$D$76 + $K$1:$K$76) / ($C$1:$C$76 + $K$1:$K$76))</f>
        <v/>
      </c>
      <c r="O13" s="14">
        <f>(($D$1:$D$65 + $K$1:$K$65) / ($C$1:$C$65 + $K$1:$K$94)) + ((($E$1:$E$106) + (2 * $F$1:$F$106) + (3 * $G$1:$G$106) + (4 * $H$1:$H$106)) / $C$1:$C$65)</f>
        <v/>
      </c>
      <c r="P13" s="40" t="n">
        <v>0</v>
      </c>
      <c r="Q13" s="40" t="n">
        <v>0</v>
      </c>
      <c r="R13" s="41" t="n"/>
    </row>
    <row r="14" ht="12.75" customHeight="1">
      <c r="A14" s="5" t="inlineStr">
        <is>
          <t>Haley Zuritsky</t>
        </is>
      </c>
      <c r="B14" s="6">
        <f>$D$1:$D$76/$C$1:$C$76</f>
        <v/>
      </c>
      <c r="C14" s="7" t="n">
        <v>1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6">
        <f>(($E14:$E16 + 2 * $F14:$F16 + 3 * $G14:$G16 + 4 * $H14:$H16) / $C14:$C16)</f>
        <v/>
      </c>
      <c r="N14" s="6">
        <f>(($D$1:$D$76 + $K$1:$K$76) / ($C$1:$C$76 + $K$1:$K$76))</f>
        <v/>
      </c>
      <c r="O14" s="9">
        <f>(($D$1:$D$65 + $K$1:$K$65) / ($C$1:$C$65 + $K$1:$K$94)) + ((($E$1:$E$106) + (2 * $F$1:$F$106) + (3 * $G$1:$G$106) + (4 * $H$1:$H$106)) / $C$1:$C$65)</f>
        <v/>
      </c>
      <c r="P14" s="38" t="n">
        <v>0</v>
      </c>
      <c r="Q14" s="38" t="n">
        <v>0</v>
      </c>
      <c r="R14" s="39" t="n"/>
    </row>
    <row r="15" ht="12.75" customHeight="1">
      <c r="A15" s="11" t="inlineStr">
        <is>
          <t>Emma Moroski</t>
        </is>
      </c>
      <c r="B15" s="12">
        <f>$D$1:$D$76/$C$1:$C$76</f>
        <v/>
      </c>
      <c r="C15" s="13" t="n">
        <v>1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2">
        <f>(($E15:$E16 + 2 * $F15:$F16 + 3 * $G15:$G16 + 4 * $H15:$H16) / $C15:$C16)</f>
        <v/>
      </c>
      <c r="N15" s="12">
        <f>(($D$1:$D$76 + $K$1:$K$76) / ($C$1:$C$76 + $K$1:$K$76))</f>
        <v/>
      </c>
      <c r="O15" s="14">
        <f>(($D$1:$D$65 + $K$1:$K$65) / ($C$1:$C$65 + $K$1:$K$94)) + ((($E$1:$E$106) + (2 * $F$1:$F$106) + (3 * $G$1:$G$106) + (4 * $H$1:$H$106)) / $C$1:$C$65)</f>
        <v/>
      </c>
      <c r="P15" s="40" t="n">
        <v>0</v>
      </c>
      <c r="Q15" s="40" t="n">
        <v>0</v>
      </c>
      <c r="R15" s="41" t="n"/>
    </row>
    <row r="16" ht="12.75" customHeight="1">
      <c r="A16" s="31" t="inlineStr">
        <is>
          <t>Mike Moroski</t>
        </is>
      </c>
      <c r="B16" s="32">
        <f>$D$1:$D$76/$C$1:$C$76</f>
        <v/>
      </c>
      <c r="C16" s="33" t="n">
        <v>1</v>
      </c>
      <c r="D16" s="33" t="n">
        <v>0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2">
        <f>(($E16 + 2 * $F16 + 3 * $G16 + 4 * $H16) / $C16)</f>
        <v/>
      </c>
      <c r="N16" s="32">
        <f>(($D$1:$D$76 + $K$1:$K$76) / ($C$1:$C$76 + $K$1:$K$76))</f>
        <v/>
      </c>
      <c r="O16" s="42">
        <f>(($D$1:$D$65 + $K$1:$K$65) / ($C$1:$C$65 + $K$1:$K$94)) + ((($E$1:$E$106) + (2 * $F$1:$F$106) + (3 * $G$1:$G$106) + (4 * $H$1:$H$106)) / $C$1:$C$65)</f>
        <v/>
      </c>
      <c r="P16" s="43" t="n">
        <v>0</v>
      </c>
      <c r="Q16" s="43" t="n">
        <v>0</v>
      </c>
      <c r="R16" s="44" t="n"/>
    </row>
    <row r="18" ht="14.25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</row>
    <row r="19" ht="15.75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</row>
    <row r="24" ht="14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</row>
    <row r="37" ht="15.7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5" t="n"/>
      <c r="O40" s="25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5" t="n"/>
      <c r="O41" s="25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5" t="n"/>
      <c r="O42" s="25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5" t="n"/>
      <c r="O43" s="25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5" t="n"/>
      <c r="O44" s="25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5" t="n"/>
      <c r="O45" s="25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5" t="n"/>
      <c r="O46" s="25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5" t="n"/>
      <c r="O47" s="25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5" t="n"/>
      <c r="O48" s="25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5" t="n"/>
      <c r="O49" s="25" t="n"/>
    </row>
    <row r="50" ht="14.25" customHeight="1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5" t="n"/>
      <c r="O50" s="25" t="n"/>
    </row>
    <row r="51" ht="14.25" customHeight="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5" t="n"/>
      <c r="O51" s="25" t="n"/>
    </row>
    <row r="52" ht="14.25" customHeight="1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5" t="n"/>
      <c r="O52" s="25" t="n"/>
    </row>
    <row r="53" ht="12.75" customHeight="1"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2.75" customHeight="1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2.75" customHeight="1"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2.75" customHeight="1"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2.75" customHeight="1"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2.75" customHeight="1"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2.75" customHeight="1"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2.75" customHeight="1"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2.75" customHeight="1"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2.75" customHeight="1"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2.75" customHeight="1"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2.75" customHeight="1"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2.75" customHeight="1"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2.75" customHeight="1"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2.75" customHeight="1"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2.75" customHeight="1"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2.75" customHeight="1"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2.75" customHeight="1"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2.75" customHeight="1"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2.75" customHeight="1"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2.75" customHeight="1"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2.75" customHeight="1"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2.75" customHeight="1"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2.75" customHeight="1"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2.75" customHeight="1"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2.75" customHeight="1"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</sheetData>
  <dataValidations count="1">
    <dataValidation sqref="B2:O16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X989"/>
  <sheetViews>
    <sheetView workbookViewId="0">
      <pane ySplit="1" topLeftCell="A2" activePane="bottomLeft" state="frozen"/>
      <selection pane="bottomLeft" activeCell="R28" sqref="A18:R28"/>
    </sheetView>
  </sheetViews>
  <sheetFormatPr baseColWidth="8" defaultColWidth="12.5703125" defaultRowHeight="15.75" customHeight="1"/>
  <cols>
    <col width="15.140625" customWidth="1" min="1" max="1"/>
    <col width="13.42578125" customWidth="1" min="13" max="13"/>
    <col width="13.5703125" customWidth="1" min="14" max="15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  <c r="S1" s="27" t="n"/>
    </row>
    <row r="2" ht="14.25" customHeight="1">
      <c r="A2" s="5" t="inlineStr">
        <is>
          <t>Louie</t>
        </is>
      </c>
      <c r="B2" s="6">
        <f>$D$1:$D$71/$C$1:$C$71</f>
        <v/>
      </c>
      <c r="C2" s="7" t="n">
        <v>6</v>
      </c>
      <c r="D2" s="7" t="n">
        <v>5</v>
      </c>
      <c r="E2" s="7" t="n">
        <v>4</v>
      </c>
      <c r="F2" s="7" t="n">
        <v>1</v>
      </c>
      <c r="G2" s="7" t="n">
        <v>0</v>
      </c>
      <c r="H2" s="7" t="n">
        <v>0</v>
      </c>
      <c r="I2" s="7" t="n">
        <v>1</v>
      </c>
      <c r="J2" s="7" t="n">
        <v>4</v>
      </c>
      <c r="K2" s="7" t="n">
        <v>0</v>
      </c>
      <c r="L2" s="7" t="n">
        <v>0</v>
      </c>
      <c r="M2" s="6">
        <f>(($E2:$E9 + 2 * $F2:$F9 + 3 * $G2:$G9 + 4 * $H2:$H9) / $C2:$C9)</f>
        <v/>
      </c>
      <c r="N2" s="6">
        <f>(($D$1:$D$71 + $K$1:$K$71) / ($C$1:$C$71 + $K$1:$K$71))</f>
        <v/>
      </c>
      <c r="O2" s="9">
        <f>(($D$1:$D$60 + $K$1:$K$60) / ($C$1:$C$60 + $K$1:$K$89)) + ((($E$1:$E$101) + (2 * $F$1:$F$101) + (3 * $G$1:$G$101) + (4 * $H$1:$H$101)) / $C$1:$C$60)</f>
        <v/>
      </c>
      <c r="P2" s="38" t="n">
        <v>2</v>
      </c>
      <c r="Q2" s="38" t="n">
        <v>1</v>
      </c>
      <c r="R2" s="39">
        <f>$Q$1:$Q$83/$P$1:$P$83</f>
        <v/>
      </c>
      <c r="S2" s="27" t="n"/>
    </row>
    <row r="3" ht="14.25" customHeight="1">
      <c r="A3" s="19" t="inlineStr">
        <is>
          <t>Robbie Wilson</t>
        </is>
      </c>
      <c r="B3" s="12">
        <f>$D$1:$D$71/$C$1:$C$71</f>
        <v/>
      </c>
      <c r="C3" s="13" t="n">
        <v>6</v>
      </c>
      <c r="D3" s="13" t="n">
        <v>4</v>
      </c>
      <c r="E3" s="13" t="n">
        <v>1</v>
      </c>
      <c r="F3" s="13" t="n">
        <v>3</v>
      </c>
      <c r="G3" s="13" t="n">
        <v>0</v>
      </c>
      <c r="H3" s="13" t="n">
        <v>0</v>
      </c>
      <c r="I3" s="13" t="n">
        <v>3</v>
      </c>
      <c r="J3" s="13" t="n">
        <v>4</v>
      </c>
      <c r="K3" s="13" t="n">
        <v>0</v>
      </c>
      <c r="L3" s="13" t="n">
        <v>0</v>
      </c>
      <c r="M3" s="12">
        <f>(($E3:$E9 + 2 * $F3:$F9 + 3 * $G3:$G9 + 4 * $H3:$H9) / $C3:$C9)</f>
        <v/>
      </c>
      <c r="N3" s="12">
        <f>(($D$1:$D$71 + $K$1:$K$71) / ($C$1:$C$71 + $K$1:$K$71))</f>
        <v/>
      </c>
      <c r="O3" s="14">
        <f>(($D$1:$D$60 + $K$1:$K$60) / ($C$1:$C$60 + $K$1:$K$89)) + ((($E$1:$E$101) + (2 * $F$1:$F$101) + (3 * $G$1:$G$101) + (4 * $H$1:$H$101)) / $C$1:$C$60)</f>
        <v/>
      </c>
      <c r="P3" s="40" t="n">
        <v>4</v>
      </c>
      <c r="Q3" s="40" t="n">
        <v>2</v>
      </c>
      <c r="R3" s="41">
        <f>$Q$1:$Q$83/$P$1:$P$83</f>
        <v/>
      </c>
      <c r="S3" s="27" t="n"/>
    </row>
    <row r="4" ht="14.25" customHeight="1">
      <c r="A4" s="5" t="inlineStr">
        <is>
          <t>Daniel Hassel</t>
        </is>
      </c>
      <c r="B4" s="6">
        <f>$D$1:$D$71/$C$1:$C$71</f>
        <v/>
      </c>
      <c r="C4" s="7" t="n">
        <v>6</v>
      </c>
      <c r="D4" s="7" t="n">
        <v>5</v>
      </c>
      <c r="E4" s="7" t="n">
        <v>3</v>
      </c>
      <c r="F4" s="7" t="n">
        <v>2</v>
      </c>
      <c r="G4" s="7" t="n">
        <v>0</v>
      </c>
      <c r="H4" s="7" t="n">
        <v>0</v>
      </c>
      <c r="I4" s="7" t="n">
        <v>3</v>
      </c>
      <c r="J4" s="7" t="n">
        <v>3</v>
      </c>
      <c r="K4" s="7" t="n">
        <v>0</v>
      </c>
      <c r="L4" s="7" t="n">
        <v>0</v>
      </c>
      <c r="M4" s="6">
        <f>(($E4:$E9 + 2 * $F4:$F9 + 3 * $G4:$G9 + 4 * $H4:$H9) / $C4:$C9)</f>
        <v/>
      </c>
      <c r="N4" s="6">
        <f>(($D$1:$D$71 + $K$1:$K$71) / ($C$1:$C$71 + $K$1:$K$71))</f>
        <v/>
      </c>
      <c r="O4" s="9">
        <f>(($D$1:$D$60 + $K$1:$K$60) / ($C$1:$C$60 + $K$1:$K$89)) + ((($E$1:$E$101) + (2 * $F$1:$F$101) + (3 * $G$1:$G$101) + (4 * $H$1:$H$101)) / $C$1:$C$60)</f>
        <v/>
      </c>
      <c r="P4" s="38" t="n">
        <v>6</v>
      </c>
      <c r="Q4" s="38" t="n">
        <v>5</v>
      </c>
      <c r="R4" s="39">
        <f>$Q$1:$Q$83/$P$1:$P$83</f>
        <v/>
      </c>
      <c r="S4" s="27" t="n"/>
    </row>
    <row r="5" ht="14.25" customHeight="1">
      <c r="A5" s="11" t="inlineStr">
        <is>
          <t>PJ Vorgic</t>
        </is>
      </c>
      <c r="B5" s="12">
        <f>$D$1:$D$71/$C$1:$C$71</f>
        <v/>
      </c>
      <c r="C5" s="13" t="n">
        <v>6</v>
      </c>
      <c r="D5" s="13" t="n">
        <v>4</v>
      </c>
      <c r="E5" s="13" t="n">
        <v>4</v>
      </c>
      <c r="F5" s="13" t="n">
        <v>0</v>
      </c>
      <c r="G5" s="13" t="n">
        <v>0</v>
      </c>
      <c r="H5" s="13" t="n">
        <v>0</v>
      </c>
      <c r="I5" s="13" t="n">
        <v>5</v>
      </c>
      <c r="J5" s="13" t="n">
        <v>3</v>
      </c>
      <c r="K5" s="13" t="n">
        <v>0</v>
      </c>
      <c r="L5" s="13" t="n">
        <v>0</v>
      </c>
      <c r="M5" s="12">
        <f>(($E5:$E10 + 2 * $F5:$F10 + 3 * $G5:$G10 + 4 * $H5:$H10) / $C5:$C10)</f>
        <v/>
      </c>
      <c r="N5" s="12">
        <f>(($D$1:$D$71 + $K$1:$K$71) / ($C$1:$C$71 + $K$1:$K$71))</f>
        <v/>
      </c>
      <c r="O5" s="14">
        <f>(($D$1:$D$60 + $K$1:$K$60) / ($C$1:$C$60 + $K$1:$K$89)) + ((($E$1:$E$101) + (2 * $F$1:$F$101) + (3 * $G$1:$G$101) + (4 * $H$1:$H$101)) / $C$1:$C$60)</f>
        <v/>
      </c>
      <c r="P5" s="40" t="n">
        <v>5</v>
      </c>
      <c r="Q5" s="40" t="n">
        <v>3</v>
      </c>
      <c r="R5" s="41">
        <f>$Q$1:$Q$83/$P$1:$P$83</f>
        <v/>
      </c>
      <c r="S5" s="27" t="n"/>
    </row>
    <row r="6" ht="14.25" customHeight="1">
      <c r="A6" s="5" t="inlineStr">
        <is>
          <t>Colman Closser</t>
        </is>
      </c>
      <c r="B6" s="6">
        <f>$D$1:$D$71/$C$1:$C$71</f>
        <v/>
      </c>
      <c r="C6" s="7" t="n">
        <v>6</v>
      </c>
      <c r="D6" s="7" t="n">
        <v>6</v>
      </c>
      <c r="E6" s="7" t="n">
        <v>5</v>
      </c>
      <c r="F6" s="7" t="n">
        <v>0</v>
      </c>
      <c r="G6" s="7" t="n">
        <v>0</v>
      </c>
      <c r="H6" s="7" t="n">
        <v>1</v>
      </c>
      <c r="I6" s="7" t="n">
        <v>5</v>
      </c>
      <c r="J6" s="7" t="n">
        <v>4</v>
      </c>
      <c r="K6" s="7" t="n">
        <v>0</v>
      </c>
      <c r="L6" s="7" t="n">
        <v>0</v>
      </c>
      <c r="M6" s="6">
        <f>(($E6:$E10 + 2 * $F6:$F10 + 3 * $G6:$G10 + 4 * $H6:$H10) / $C6:$C10)</f>
        <v/>
      </c>
      <c r="N6" s="6">
        <f>(($D$1:$D$71 + $K$1:$K$71) / ($C$1:$C$71 + $K$1:$K$71))</f>
        <v/>
      </c>
      <c r="O6" s="9">
        <f>(($D$1:$D$60 + $K$1:$K$60) / ($C$1:$C$60 + $K$1:$K$89)) + ((($E$1:$E$101) + (2 * $F$1:$F$101) + (3 * $G$1:$G$101) + (4 * $H$1:$H$101)) / $C$1:$C$60)</f>
        <v/>
      </c>
      <c r="P6" s="38" t="n">
        <v>4</v>
      </c>
      <c r="Q6" s="38" t="n">
        <v>4</v>
      </c>
      <c r="R6" s="39">
        <f>$Q$1:$Q$83/$P$1:$P$83</f>
        <v/>
      </c>
      <c r="S6" s="27" t="n"/>
    </row>
    <row r="7" ht="12.75" customHeight="1">
      <c r="A7" s="11" t="inlineStr">
        <is>
          <t>Hannah Miller</t>
        </is>
      </c>
      <c r="B7" s="12">
        <f>$D$1:$D$71/$C$1:$C$71</f>
        <v/>
      </c>
      <c r="C7" s="13" t="n">
        <v>6</v>
      </c>
      <c r="D7" s="13" t="n">
        <v>4</v>
      </c>
      <c r="E7" s="13" t="n">
        <v>4</v>
      </c>
      <c r="F7" s="13" t="n">
        <v>0</v>
      </c>
      <c r="G7" s="13" t="n">
        <v>0</v>
      </c>
      <c r="H7" s="13" t="n">
        <v>0</v>
      </c>
      <c r="I7" s="13" t="n">
        <v>1</v>
      </c>
      <c r="J7" s="13" t="n">
        <v>3</v>
      </c>
      <c r="K7" s="13" t="n">
        <v>0</v>
      </c>
      <c r="L7" s="13" t="n">
        <v>0</v>
      </c>
      <c r="M7" s="12">
        <f>(($E7:$E10 + 2 * $F7:$F10 + 3 * $G7:$G10 + 4 * $H7:$H10) / $C7:$C10)</f>
        <v/>
      </c>
      <c r="N7" s="12">
        <f>(($D$1:$D$71 + $K$1:$K$71) / ($C$1:$C$71 + $K$1:$K$71))</f>
        <v/>
      </c>
      <c r="O7" s="14">
        <f>(($D$1:$D$60 + $K$1:$K$60) / ($C$1:$C$60 + $K$1:$K$89)) + ((($E$1:$E$101) + (2 * $F$1:$F$101) + (3 * $G$1:$G$101) + (4 * $H$1:$H$101)) / $C$1:$C$60)</f>
        <v/>
      </c>
      <c r="P7" s="40" t="n">
        <v>4</v>
      </c>
      <c r="Q7" s="40" t="n">
        <v>3</v>
      </c>
      <c r="R7" s="41">
        <f>$Q$1:$Q$83/$P$1:$P$83</f>
        <v/>
      </c>
    </row>
    <row r="8" ht="12.75" customHeight="1">
      <c r="A8" s="5" t="inlineStr">
        <is>
          <t>James Dunbar</t>
        </is>
      </c>
      <c r="B8" s="6">
        <f>$D$1:$D$71/$C$1:$C$71</f>
        <v/>
      </c>
      <c r="C8" s="7" t="n">
        <v>6</v>
      </c>
      <c r="D8" s="7" t="n">
        <v>6</v>
      </c>
      <c r="E8" s="7" t="n">
        <v>4</v>
      </c>
      <c r="F8" s="7" t="n">
        <v>2</v>
      </c>
      <c r="G8" s="7" t="n">
        <v>0</v>
      </c>
      <c r="H8" s="7" t="n">
        <v>0</v>
      </c>
      <c r="I8" s="7" t="n">
        <v>4</v>
      </c>
      <c r="J8" s="7" t="n">
        <v>2</v>
      </c>
      <c r="K8" s="7" t="n">
        <v>0</v>
      </c>
      <c r="L8" s="7" t="n">
        <v>0</v>
      </c>
      <c r="M8" s="6">
        <f>(($E8:$E9 + 2 * $F8:$F9 + 3 * $G8:$G9 + 4 * $H8:$H9) / $C8:$C9)</f>
        <v/>
      </c>
      <c r="N8" s="6">
        <f>(($D$1:$D$71 + $K$1:$K$71) / ($C$1:$C$71 + $K$1:$K$71))</f>
        <v/>
      </c>
      <c r="O8" s="9">
        <f>(($D$1:$D$60 + $K$1:$K$60) / ($C$1:$C$60 + $K$1:$K$89)) + ((($E$1:$E$101) + (2 * $F$1:$F$101) + (3 * $G$1:$G$101) + (4 * $H$1:$H$101)) / $C$1:$C$60)</f>
        <v/>
      </c>
      <c r="P8" s="38" t="n">
        <v>4</v>
      </c>
      <c r="Q8" s="38" t="n">
        <v>4</v>
      </c>
      <c r="R8" s="39">
        <f>$Q$1:$Q$83/$P$1:$P$83</f>
        <v/>
      </c>
    </row>
    <row r="9" ht="12.75" customHeight="1">
      <c r="A9" s="11" t="inlineStr">
        <is>
          <t>Kaleigh Ewing</t>
        </is>
      </c>
      <c r="B9" s="12">
        <f>$D$1:$D$71/$C$1:$C$71</f>
        <v/>
      </c>
      <c r="C9" s="13" t="n">
        <v>5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2</v>
      </c>
      <c r="J9" s="13" t="n">
        <v>2</v>
      </c>
      <c r="K9" s="13" t="n">
        <v>0</v>
      </c>
      <c r="L9" s="13" t="n">
        <v>0</v>
      </c>
      <c r="M9" s="12">
        <f>(($E9:$E10 + 2 * $F9:$F10 + 3 * $G9:$G10 + 4 * $H9:$H10) / $C9:$C10)</f>
        <v/>
      </c>
      <c r="N9" s="12">
        <f>(($D$1:$D$71 + $K$1:$K$71) / ($C$1:$C$71 + $K$1:$K$71))</f>
        <v/>
      </c>
      <c r="O9" s="14">
        <f>(($D$1:$D$60 + $K$1:$K$60) / ($C$1:$C$60 + $K$1:$K$89)) + ((($E$1:$E$101) + (2 * $F$1:$F$101) + (3 * $G$1:$G$101) + (4 * $H$1:$H$101)) / $C$1:$C$60)</f>
        <v/>
      </c>
      <c r="P9" s="40" t="n">
        <v>5</v>
      </c>
      <c r="Q9" s="40" t="n">
        <v>3</v>
      </c>
      <c r="R9" s="41">
        <f>$Q$1:$Q$83/$P$1:$P$83</f>
        <v/>
      </c>
    </row>
    <row r="10" ht="12.75" customHeight="1">
      <c r="A10" s="5" t="inlineStr">
        <is>
          <t>Mike Moroski</t>
        </is>
      </c>
      <c r="B10" s="6">
        <f>$D$1:$D$71/$C$1:$C$71</f>
        <v/>
      </c>
      <c r="C10" s="7" t="n">
        <v>5</v>
      </c>
      <c r="D10" s="7" t="n">
        <v>2</v>
      </c>
      <c r="E10" s="7" t="n">
        <v>1</v>
      </c>
      <c r="F10" s="7" t="n">
        <v>1</v>
      </c>
      <c r="G10" s="7" t="n">
        <v>0</v>
      </c>
      <c r="H10" s="7" t="n">
        <v>0</v>
      </c>
      <c r="I10" s="7" t="n">
        <v>3</v>
      </c>
      <c r="J10" s="7" t="n">
        <v>1</v>
      </c>
      <c r="K10" s="7" t="n">
        <v>0</v>
      </c>
      <c r="L10" s="7" t="n">
        <v>0</v>
      </c>
      <c r="M10" s="6">
        <f>(($E10:$E11 + 2 * $F10:$F11 + 3 * $G10:$G11 + 4 * $H10:$H11) / $C10:$C11)</f>
        <v/>
      </c>
      <c r="N10" s="6">
        <f>(($D$1:$D$71 + $K$1:$K$71) / ($C$1:$C$71 + $K$1:$K$71))</f>
        <v/>
      </c>
      <c r="O10" s="9">
        <f>(($D$1:$D$60 + $K$1:$K$60) / ($C$1:$C$60 + $K$1:$K$89)) + ((($E$1:$E$101) + (2 * $F$1:$F$101) + (3 * $G$1:$G$101) + (4 * $H$1:$H$101)) / $C$1:$C$60)</f>
        <v/>
      </c>
      <c r="P10" s="38" t="n">
        <v>4</v>
      </c>
      <c r="Q10" s="38" t="n">
        <v>2</v>
      </c>
      <c r="R10" s="39">
        <f>$Q$1:$Q$83/$P$1:$P$83</f>
        <v/>
      </c>
    </row>
    <row r="11" ht="12.75" customHeight="1">
      <c r="A11" s="59" t="inlineStr">
        <is>
          <t>Riley Davidson</t>
        </is>
      </c>
      <c r="B11" s="46">
        <f>$D$1:$D$71/$C$1:$C$71</f>
        <v/>
      </c>
      <c r="C11" s="34" t="n">
        <v>5</v>
      </c>
      <c r="D11" s="34" t="n">
        <v>4</v>
      </c>
      <c r="E11" s="34" t="n">
        <v>4</v>
      </c>
      <c r="F11" s="34" t="n">
        <v>0</v>
      </c>
      <c r="G11" s="34" t="n">
        <v>0</v>
      </c>
      <c r="H11" s="34" t="n">
        <v>0</v>
      </c>
      <c r="I11" s="34" t="n">
        <v>0</v>
      </c>
      <c r="J11" s="34" t="n">
        <v>1</v>
      </c>
      <c r="K11" s="34" t="n">
        <v>0</v>
      </c>
      <c r="L11" s="34" t="n">
        <v>0</v>
      </c>
      <c r="M11" s="46">
        <f>(($E11 + 2 * $F11 + 3 * $G11 + 4 * $H11) / $C11)</f>
        <v/>
      </c>
      <c r="N11" s="46">
        <f>(($D$1:$D$71 + $K$1:$K$71) / ($C$1:$C$71 + $K$1:$K$71))</f>
        <v/>
      </c>
      <c r="O11" s="35">
        <f>(($D$1:$D$60 + $K$1:$K$60) / ($C$1:$C$60 + $K$1:$K$89)) + ((($E$1:$E$101) + (2 * $F$1:$F$101) + (3 * $G$1:$G$101) + (4 * $H$1:$H$101)) / $C$1:$C$60)</f>
        <v/>
      </c>
      <c r="P11" s="47" t="n">
        <v>1</v>
      </c>
      <c r="Q11" s="47" t="n">
        <v>0</v>
      </c>
      <c r="R11" s="48">
        <f>$Q$1:$Q$83/$P$1:$P$83</f>
        <v/>
      </c>
    </row>
    <row r="12" ht="15.75" customHeight="1">
      <c r="O12" s="27" t="n"/>
      <c r="P12" s="27" t="n"/>
      <c r="Q12" s="27" t="n"/>
      <c r="R12" s="27" t="n"/>
      <c r="S12" s="27" t="n"/>
    </row>
    <row r="13" ht="14.25" customHeight="1">
      <c r="O13" s="27" t="n"/>
      <c r="P13" s="27" t="n"/>
      <c r="Q13" s="27" t="n"/>
      <c r="R13" s="27" t="n"/>
      <c r="S13" s="27" t="n"/>
    </row>
    <row r="14" ht="15.75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</row>
    <row r="15" ht="14.25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</row>
    <row r="16" ht="14.25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</row>
    <row r="17" ht="14.25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</row>
    <row r="18" ht="14.25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</row>
    <row r="19" ht="14.25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</row>
    <row r="20" ht="14.25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</row>
    <row r="21" ht="14.25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</row>
    <row r="23" ht="14.2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</row>
    <row r="24" ht="17.2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</row>
    <row r="25" ht="14.2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</row>
    <row r="32" ht="15.7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</row>
    <row r="34" ht="15.7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</row>
    <row r="37" ht="12.75" customHeight="1"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2.75" customHeight="1"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2.75" customHeight="1"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2.75" customHeight="1"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2.75" customHeight="1"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2.75" customHeight="1"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2.75" customHeight="1"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2.75" customHeight="1"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2.75" customHeight="1"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2.75" customHeight="1"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2.75" customHeight="1"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2.75" customHeight="1"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2.75" customHeight="1"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2.75" customHeight="1"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2.75" customHeight="1"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2.75" customHeight="1"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2.75" customHeight="1"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2.75" customHeight="1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2.75" customHeight="1"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2.75" customHeight="1"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2.75" customHeight="1"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2.75" customHeight="1"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2.75" customHeight="1"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2.75" customHeight="1"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2.75" customHeight="1"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2.75" customHeight="1"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2.75" customHeight="1"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2.75" customHeight="1"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2.75" customHeight="1"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2.75" customHeight="1"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2.75" customHeight="1"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2.75" customHeight="1"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2.75" customHeight="1"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2.75" customHeight="1"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2.75" customHeight="1"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2.75" customHeight="1"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2.75" customHeight="1"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2.75" customHeight="1"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2.75" customHeight="1"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2.75" customHeight="1"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2.75" customHeight="1"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2.75" customHeight="1"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2.75" customHeight="1"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2.75" customHeight="1"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2.75" customHeight="1"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2.75" customHeight="1"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2.75" customHeight="1"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2.75" customHeight="1"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2.75" customHeight="1"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2.75" customHeight="1"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2.75" customHeight="1"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2.75" customHeight="1"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2.75" customHeight="1"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2.75" customHeight="1"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2.75" customHeight="1"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2.75" customHeight="1"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2.75" customHeight="1"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2.75" customHeight="1"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2.75" customHeight="1"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Q989" s="49" t="n"/>
    </row>
  </sheetData>
  <dataValidations count="1">
    <dataValidation sqref="B2:O11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S1034"/>
  <sheetViews>
    <sheetView tabSelected="1" workbookViewId="0">
      <pane ySplit="1" topLeftCell="A2" activePane="bottomLeft" state="frozen"/>
      <selection pane="bottomLeft" activeCell="H13" sqref="H13"/>
    </sheetView>
  </sheetViews>
  <sheetFormatPr baseColWidth="8" defaultColWidth="12.5703125" defaultRowHeight="15.75" customHeight="1"/>
  <cols>
    <col width="15.140625" customWidth="1" min="1" max="1"/>
    <col width="13.42578125" customWidth="1" min="13" max="13"/>
    <col width="13.5703125" customWidth="1" min="14" max="15"/>
  </cols>
  <sheetData>
    <row r="1" ht="14.25" customHeight="1">
      <c r="A1" s="1" t="inlineStr">
        <is>
          <t>Players</t>
        </is>
      </c>
      <c r="B1" s="2" t="inlineStr">
        <is>
          <t>AVG</t>
        </is>
      </c>
      <c r="C1" s="2" t="inlineStr">
        <is>
          <t>AB</t>
        </is>
      </c>
      <c r="D1" s="2" t="inlineStr">
        <is>
          <t>H</t>
        </is>
      </c>
      <c r="E1" s="2" t="inlineStr">
        <is>
          <t>1B</t>
        </is>
      </c>
      <c r="F1" s="2" t="inlineStr">
        <is>
          <t>2B</t>
        </is>
      </c>
      <c r="G1" s="2" t="inlineStr">
        <is>
          <t>3B</t>
        </is>
      </c>
      <c r="H1" s="2" t="inlineStr">
        <is>
          <t>HR</t>
        </is>
      </c>
      <c r="I1" s="2" t="inlineStr">
        <is>
          <t>RBI</t>
        </is>
      </c>
      <c r="J1" s="2" t="inlineStr">
        <is>
          <t>R</t>
        </is>
      </c>
      <c r="K1" s="2" t="inlineStr">
        <is>
          <t>BB</t>
        </is>
      </c>
      <c r="L1" s="2" t="inlineStr">
        <is>
          <t>SO</t>
        </is>
      </c>
      <c r="M1" s="2" t="inlineStr">
        <is>
          <t>SLG %</t>
        </is>
      </c>
      <c r="N1" s="2" t="inlineStr">
        <is>
          <t>OBP %</t>
        </is>
      </c>
      <c r="O1" s="2" t="inlineStr">
        <is>
          <t>OPS %</t>
        </is>
      </c>
      <c r="P1" s="3" t="inlineStr">
        <is>
          <t>ABs RISP</t>
        </is>
      </c>
      <c r="Q1" s="3" t="inlineStr">
        <is>
          <t>Hits RISP</t>
        </is>
      </c>
      <c r="R1" s="37" t="inlineStr">
        <is>
          <t>(BA/RISP)</t>
        </is>
      </c>
      <c r="S1" s="27" t="n"/>
    </row>
    <row r="2" ht="15.75" customHeight="1">
      <c r="A2" s="5" t="inlineStr">
        <is>
          <t>Louie</t>
        </is>
      </c>
      <c r="B2" s="6">
        <f>$D$1:$D$70/$C$1:$C$116</f>
        <v/>
      </c>
      <c r="C2" s="7" t="n">
        <v>3</v>
      </c>
      <c r="D2" s="7" t="n">
        <v>2</v>
      </c>
      <c r="E2" s="7" t="n">
        <v>1</v>
      </c>
      <c r="F2" s="7" t="n">
        <v>1</v>
      </c>
      <c r="G2" s="7" t="n">
        <v>0</v>
      </c>
      <c r="H2" s="7" t="n">
        <v>0</v>
      </c>
      <c r="I2" s="7" t="n">
        <v>0</v>
      </c>
      <c r="J2" s="7" t="n">
        <v>1</v>
      </c>
      <c r="K2" s="7" t="n">
        <v>0</v>
      </c>
      <c r="L2" s="7" t="n">
        <v>0</v>
      </c>
      <c r="M2" s="6">
        <f>(($E2:$E10 + 2 * $F2:$F10 + 3 * $G2:$G10 + 4 * $H2:$H10) / $C2:$C10)</f>
        <v/>
      </c>
      <c r="N2" s="6">
        <f>(($D$1:$D$70 + $K$1:$K$70) / ($C$1:$C$116 + $K$1:$K$70))</f>
        <v/>
      </c>
      <c r="O2" s="9">
        <f>(($D$1:$D$62 + $K$1:$K$62) / ($C$1:$C$108 + $K$1:$K$88)) + ((($E$1:$E$100) + (2 * $F$1:$F$100) + (3 * $G$1:$G$100) + (4 * $H$1:$H$100)) / $C$1:$C$108)</f>
        <v/>
      </c>
      <c r="P2" s="38" t="n">
        <v>0</v>
      </c>
      <c r="Q2" s="38" t="n">
        <v>0</v>
      </c>
      <c r="R2" s="39" t="n"/>
      <c r="S2" s="27" t="n"/>
    </row>
    <row r="3" ht="15.75" customHeight="1">
      <c r="A3" s="11" t="inlineStr">
        <is>
          <t>James Dunbar</t>
        </is>
      </c>
      <c r="B3" s="12">
        <f>$D$1:$D$70/$C$1:$C$116</f>
        <v/>
      </c>
      <c r="C3" s="13" t="n">
        <v>2</v>
      </c>
      <c r="D3" s="13" t="n">
        <v>0</v>
      </c>
      <c r="E3" s="13" t="n">
        <v>0</v>
      </c>
      <c r="F3" s="13" t="n">
        <v>0</v>
      </c>
      <c r="G3" s="13" t="n">
        <v>0</v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2">
        <f>(($E3:$E10 + 2 * $F3:$F10 + 3 * $G3:$G10 + 4 * $H3:$H10) / $C3:$C10)</f>
        <v/>
      </c>
      <c r="N3" s="12">
        <f>(($D$1:$D$70 + $K$1:$K$70) / ($C$1:$C$116 + $K$1:$K$70))</f>
        <v/>
      </c>
      <c r="O3" s="14">
        <f>(($D$1:$D$62 + $K$1:$K$62) / ($C$1:$C$108 + $K$1:$K$88)) + ((($E$1:$E$100) + (2 * $F$1:$F$100) + (3 * $G$1:$G$100) + (4 * $H$1:$H$100)) / $C$1:$C$108)</f>
        <v/>
      </c>
      <c r="P3" s="40" t="n">
        <v>0</v>
      </c>
      <c r="Q3" s="40" t="n">
        <v>0</v>
      </c>
      <c r="R3" s="41" t="n"/>
      <c r="S3" s="27" t="n"/>
    </row>
    <row r="4" ht="14.25" customHeight="1">
      <c r="A4" s="5" t="inlineStr">
        <is>
          <t>Daniel Hassel</t>
        </is>
      </c>
      <c r="B4" s="6">
        <f>$D$1:$D$70/$C$1:$C$116</f>
        <v/>
      </c>
      <c r="C4" s="7" t="n">
        <v>3</v>
      </c>
      <c r="D4" s="7" t="n">
        <v>2</v>
      </c>
      <c r="E4" s="7" t="n">
        <v>2</v>
      </c>
      <c r="F4" s="7" t="n">
        <v>0</v>
      </c>
      <c r="G4" s="7" t="n">
        <v>0</v>
      </c>
      <c r="H4" s="7" t="n">
        <v>0</v>
      </c>
      <c r="I4" s="7" t="n">
        <v>1</v>
      </c>
      <c r="J4" s="7" t="n">
        <v>1</v>
      </c>
      <c r="K4" s="7" t="n">
        <v>0</v>
      </c>
      <c r="L4" s="7" t="n">
        <v>0</v>
      </c>
      <c r="M4" s="6">
        <f>(($E4:$E10 + 2 * $F4:$F10 + 3 * $G4:$G10 + 4 * $H4:$H10) / $C4:$C10)</f>
        <v/>
      </c>
      <c r="N4" s="6">
        <f>(($D$1:$D$70 + $K$1:$K$70) / ($C$1:$C$116 + $K$1:$K$70))</f>
        <v/>
      </c>
      <c r="O4" s="9">
        <f>(($D$1:$D$62 + $K$1:$K$62) / ($C$1:$C$108 + $K$1:$K$88)) + ((($E$1:$E$100) + (2 * $F$1:$F$100) + (3 * $G$1:$G$100) + (4 * $H$1:$H$100)) / $C$1:$C$108)</f>
        <v/>
      </c>
      <c r="P4" s="38" t="n">
        <v>1</v>
      </c>
      <c r="Q4" s="38" t="n">
        <v>1</v>
      </c>
      <c r="R4" s="39">
        <f>$Q$1:$Q$82/$P$1:$P$82</f>
        <v/>
      </c>
      <c r="S4" s="27" t="n"/>
    </row>
    <row r="5" ht="14.25" customHeight="1">
      <c r="A5" s="11" t="inlineStr">
        <is>
          <t>Phil Matranga</t>
        </is>
      </c>
      <c r="B5" s="12">
        <f>$D$1:$D$70/$C$1:$C$116</f>
        <v/>
      </c>
      <c r="C5" s="13" t="n">
        <v>3</v>
      </c>
      <c r="D5" s="13" t="n">
        <v>2</v>
      </c>
      <c r="E5" s="13" t="n">
        <v>0</v>
      </c>
      <c r="F5" s="13" t="n">
        <v>2</v>
      </c>
      <c r="G5" s="13" t="n">
        <v>0</v>
      </c>
      <c r="H5" s="13" t="n">
        <v>0</v>
      </c>
      <c r="I5" s="13" t="n">
        <v>0</v>
      </c>
      <c r="J5" s="13" t="n">
        <v>1</v>
      </c>
      <c r="K5" s="13" t="n">
        <v>0</v>
      </c>
      <c r="L5" s="13" t="n">
        <v>0</v>
      </c>
      <c r="M5" s="12">
        <f>(($E5:$E11 + 2 * $F5:$F11 + 3 * $G5:$G11 + 4 * $H5:$H11) / $C5:$C11)</f>
        <v/>
      </c>
      <c r="N5" s="12">
        <f>(($D$1:$D$70 + $K$1:$K$70) / ($C$1:$C$116 + $K$1:$K$70))</f>
        <v/>
      </c>
      <c r="O5" s="14">
        <f>(($D$1:$D$62 + $K$1:$K$62) / ($C$1:$C$108 + $K$1:$K$88)) + ((($E$1:$E$100) + (2 * $F$1:$F$100) + (3 * $G$1:$G$100) + (4 * $H$1:$H$100)) / $C$1:$C$108)</f>
        <v/>
      </c>
      <c r="P5" s="40" t="n">
        <v>0</v>
      </c>
      <c r="Q5" s="40" t="n">
        <v>0</v>
      </c>
      <c r="R5" s="41" t="n"/>
      <c r="S5" s="27" t="n"/>
    </row>
    <row r="6" ht="14.25" customHeight="1">
      <c r="A6" s="5" t="inlineStr">
        <is>
          <t>PJ Vorgic</t>
        </is>
      </c>
      <c r="B6" s="6">
        <f>$D$1:$D$70/$C$1:$C$116</f>
        <v/>
      </c>
      <c r="C6" s="7" t="n">
        <v>3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1</v>
      </c>
      <c r="I6" s="7" t="n">
        <v>2</v>
      </c>
      <c r="J6" s="7" t="n">
        <v>2</v>
      </c>
      <c r="K6" s="7" t="n">
        <v>0</v>
      </c>
      <c r="L6" s="7" t="n">
        <v>0</v>
      </c>
      <c r="M6" s="6">
        <f>(($E6:$E11 + 2 * $F6:$F11 + 3 * $G6:$G11 + 4 * $H6:$H11) / $C6:$C11)</f>
        <v/>
      </c>
      <c r="N6" s="6">
        <f>(($D$1:$D$70 + $K$1:$K$70) / ($C$1:$C$116 + $K$1:$K$70))</f>
        <v/>
      </c>
      <c r="O6" s="9">
        <f>(($D$1:$D$62 + $K$1:$K$62) / ($C$1:$C$108 + $K$1:$K$88)) + ((($E$1:$E$100) + (2 * $F$1:$F$100) + (3 * $G$1:$G$100) + (4 * $H$1:$H$100)) / $C$1:$C$108)</f>
        <v/>
      </c>
      <c r="P6" s="38" t="n">
        <v>2</v>
      </c>
      <c r="Q6" s="38" t="n">
        <v>0</v>
      </c>
      <c r="R6" s="39">
        <f>$Q$1:$Q$82/$P$1:$P$82</f>
        <v/>
      </c>
      <c r="S6" s="27" t="n"/>
    </row>
    <row r="7" ht="14.25" customHeight="1">
      <c r="A7" s="11" t="inlineStr">
        <is>
          <t>Hannah Miller</t>
        </is>
      </c>
      <c r="B7" s="12">
        <f>$D$1:$D$70/$C$1:$C$116</f>
        <v/>
      </c>
      <c r="C7" s="13" t="n">
        <v>3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2">
        <f>(($E7:$E11 + 2 * $F7:$F11 + 3 * $G7:$G11 + 4 * $H7:$H11) / $C7:$C11)</f>
        <v/>
      </c>
      <c r="N7" s="12">
        <f>(($D$1:$D$70 + $K$1:$K$70) / ($C$1:$C$116 + $K$1:$K$70))</f>
        <v/>
      </c>
      <c r="O7" s="14">
        <f>(($D$1:$D$62 + $K$1:$K$62) / ($C$1:$C$108 + $K$1:$K$88)) + ((($E$1:$E$100) + (2 * $F$1:$F$100) + (3 * $G$1:$G$100) + (4 * $H$1:$H$100)) / $C$1:$C$108)</f>
        <v/>
      </c>
      <c r="P7" s="40" t="n">
        <v>2</v>
      </c>
      <c r="Q7" s="40" t="n">
        <v>0</v>
      </c>
      <c r="R7" s="41">
        <f>$Q$1:$Q$82/$P$1:$P$82</f>
        <v/>
      </c>
      <c r="S7" s="27" t="n"/>
    </row>
    <row r="8" ht="14.25" customHeight="1">
      <c r="A8" s="5" t="inlineStr">
        <is>
          <t>Colman Closser</t>
        </is>
      </c>
      <c r="B8" s="6">
        <f>$D$1:$D$70/$C$1:$C$116</f>
        <v/>
      </c>
      <c r="C8" s="7" t="n">
        <v>3</v>
      </c>
      <c r="D8" s="7" t="n">
        <v>2</v>
      </c>
      <c r="E8" s="7" t="n">
        <v>1</v>
      </c>
      <c r="F8" s="7" t="n">
        <v>1</v>
      </c>
      <c r="G8" s="7" t="n">
        <v>0</v>
      </c>
      <c r="H8" s="7" t="n">
        <v>0</v>
      </c>
      <c r="I8" s="7" t="n">
        <v>1</v>
      </c>
      <c r="J8" s="7" t="n">
        <v>1</v>
      </c>
      <c r="K8" s="7" t="n">
        <v>0</v>
      </c>
      <c r="L8" s="7" t="n">
        <v>0</v>
      </c>
      <c r="M8" s="6">
        <f>(($E8:$E12 + 2 * $F8:$F12 + 3 * $G8:$G12 + 4 * $H8:$H12) / $C8:$C12)</f>
        <v/>
      </c>
      <c r="N8" s="6">
        <f>(($D$1:$D$70 + $K$1:$K$70) / ($C$1:$C$116 + $K$1:$K$70))</f>
        <v/>
      </c>
      <c r="O8" s="9">
        <f>(($D$1:$D$62 + $K$1:$K$62) / ($C$1:$C$108 + $K$1:$K$88)) + ((($E$1:$E$100) + (2 * $F$1:$F$100) + (3 * $G$1:$G$100) + (4 * $H$1:$H$100)) / $C$1:$C$108)</f>
        <v/>
      </c>
      <c r="P8" s="38" t="n">
        <v>0</v>
      </c>
      <c r="Q8" s="38" t="n">
        <v>0</v>
      </c>
      <c r="R8" s="39" t="n"/>
      <c r="S8" s="27" t="n"/>
    </row>
    <row r="9" ht="14.25" customHeight="1">
      <c r="A9" s="11" t="inlineStr">
        <is>
          <t>Chris Carbone</t>
        </is>
      </c>
      <c r="B9" s="12">
        <f>$D$1:$D$70/$C$1:$C$116</f>
        <v/>
      </c>
      <c r="C9" s="13" t="n">
        <v>2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2">
        <f>(($E9:$E10 + 2 * $F9:$F10 + 3 * $G9:$G10 + 4 * $H9:$H10) / $C9:$C10)</f>
        <v/>
      </c>
      <c r="N9" s="12">
        <f>(($D$1:$D$70 + $K$1:$K$70) / ($C$1:$C$116 + $K$1:$K$70))</f>
        <v/>
      </c>
      <c r="O9" s="14">
        <f>(($D$1:$D$62 + $K$1:$K$62) / ($C$1:$C$108 + $K$1:$K$88)) + ((($E$1:$E$100) + (2 * $F$1:$F$100) + (3 * $G$1:$G$100) + (4 * $H$1:$H$100)) / $C$1:$C$108)</f>
        <v/>
      </c>
      <c r="P9" s="40" t="n">
        <v>0</v>
      </c>
      <c r="Q9" s="40" t="n">
        <v>0</v>
      </c>
      <c r="R9" s="41" t="n"/>
      <c r="S9" s="27" t="n"/>
    </row>
    <row r="10" ht="12.75" customHeight="1">
      <c r="A10" s="18" t="inlineStr">
        <is>
          <t>Riley Davidson</t>
        </is>
      </c>
      <c r="B10" s="6">
        <f>$D$1:$D$70/$C$1:$C$116</f>
        <v/>
      </c>
      <c r="C10" s="7" t="n">
        <v>2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6">
        <f>(($E10:$E11 + 2 * $F10:$F11 + 3 * $G10:$G11 + 4 * $H10:$H11) / $C10:$C11)</f>
        <v/>
      </c>
      <c r="N10" s="6">
        <f>(($D$1:$D$70 + $K$1:$K$70) / ($C$1:$C$116 + $K$1:$K$70))</f>
        <v/>
      </c>
      <c r="O10" s="9">
        <f>(($D$1:$D$62 + $K$1:$K$62) / ($C$1:$C$108 + $K$1:$K$88)) + ((($E$1:$E$100) + (2 * $F$1:$F$100) + (3 * $G$1:$G$100) + (4 * $H$1:$H$100)) / $C$1:$C$108)</f>
        <v/>
      </c>
      <c r="P10" s="38" t="n">
        <v>1</v>
      </c>
      <c r="Q10" s="38" t="n">
        <v>0</v>
      </c>
      <c r="R10" s="39">
        <f>$Q$1:$Q$82/$P$1:$P$82</f>
        <v/>
      </c>
    </row>
    <row r="11" ht="12.75" customHeight="1">
      <c r="A11" s="58" t="inlineStr">
        <is>
          <t>Mark McWilliams</t>
        </is>
      </c>
      <c r="B11" s="12">
        <f>$D$1:$D$70/$C$1:$C$116</f>
        <v/>
      </c>
      <c r="C11" s="13" t="n">
        <v>2</v>
      </c>
      <c r="D11" s="13" t="n">
        <v>2</v>
      </c>
      <c r="E11" s="13" t="n">
        <v>2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2</v>
      </c>
      <c r="K11" s="13" t="n">
        <v>0</v>
      </c>
      <c r="L11" s="13" t="n">
        <v>0</v>
      </c>
      <c r="M11" s="12">
        <f>(($E11:$E21 + 2 * $F11:$F21 + 3 * $G11:$G21 + 4 * $H11:$H21) / $C11:$C21)</f>
        <v/>
      </c>
      <c r="N11" s="12">
        <f>(($D$1:$D$70 + $K$1:$K$70) / ($C$1:$C$116 + $K$1:$K$70))</f>
        <v/>
      </c>
      <c r="O11" s="14">
        <f>(($D$1:$D$62 + $K$1:$K$62) / ($C$1:$C$108 + $K$1:$K$88)) + ((($E$1:$E$100) + (2 * $F$1:$F$100) + (3 * $G$1:$G$100) + (4 * $H$1:$H$100)) / $C$1:$C$108)</f>
        <v/>
      </c>
      <c r="P11" s="40" t="n">
        <v>1</v>
      </c>
      <c r="Q11" s="40" t="n">
        <v>1</v>
      </c>
      <c r="R11" s="41">
        <f>$Q$1:$Q$82/$P$1:$P$82</f>
        <v/>
      </c>
    </row>
    <row r="12" ht="12.75" customHeight="1">
      <c r="A12" s="5" t="inlineStr">
        <is>
          <t>Amanda Fricker</t>
        </is>
      </c>
      <c r="B12" s="6">
        <f>$D$1:$D$70/$C$1:$C$116</f>
        <v/>
      </c>
      <c r="C12" s="7" t="n">
        <v>2</v>
      </c>
      <c r="D12" s="7" t="n">
        <v>2</v>
      </c>
      <c r="E12" s="7" t="n">
        <v>2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0</v>
      </c>
      <c r="L12" s="7" t="n">
        <v>0</v>
      </c>
      <c r="M12" s="6">
        <f>(($E12:$E21 + 2 * $F12:$F21 + 3 * $G12:$G21 + 4 * $H12:$H21) / $C12:$C21)</f>
        <v/>
      </c>
      <c r="N12" s="6">
        <f>(($D$1:$D$70 + $K$1:$K$70) / ($C$1:$C$116 + $K$1:$K$70))</f>
        <v/>
      </c>
      <c r="O12" s="9">
        <f>(($D$1:$D$62 + $K$1:$K$62) / ($C$1:$C$108 + $K$1:$K$88)) + ((($E$1:$E$100) + (2 * $F$1:$F$100) + (3 * $G$1:$G$100) + (4 * $H$1:$H$100)) / $C$1:$C$108)</f>
        <v/>
      </c>
      <c r="P12" s="38" t="n">
        <v>1</v>
      </c>
      <c r="Q12" s="38" t="n">
        <v>1</v>
      </c>
      <c r="R12" s="39">
        <f>$Q$1:$Q$82/$P$1:$P$82</f>
        <v/>
      </c>
    </row>
    <row r="13" ht="12.75" customHeight="1">
      <c r="A13" s="58" t="inlineStr">
        <is>
          <t>Nikola Loncar</t>
        </is>
      </c>
      <c r="B13" s="12">
        <f>$D$1:$D$70/$C$1:$C$116</f>
        <v/>
      </c>
      <c r="C13" s="13" t="n">
        <v>2</v>
      </c>
      <c r="D13" s="13" t="n">
        <v>2</v>
      </c>
      <c r="E13" s="13" t="n">
        <v>2</v>
      </c>
      <c r="F13" s="13" t="n">
        <v>0</v>
      </c>
      <c r="G13" s="13" t="n">
        <v>0</v>
      </c>
      <c r="H13" s="13" t="n">
        <v>0</v>
      </c>
      <c r="I13" s="13" t="n">
        <v>1</v>
      </c>
      <c r="J13" s="13" t="n">
        <v>2</v>
      </c>
      <c r="K13" s="13" t="n">
        <v>0</v>
      </c>
      <c r="L13" s="13" t="n">
        <v>0</v>
      </c>
      <c r="M13" s="12">
        <f>(($E13:$E21 + 2 * $F13:$F21 + 3 * $G13:$G21 + 4 * $H13:$H21) / $C13:$C21)</f>
        <v/>
      </c>
      <c r="N13" s="12">
        <f>(($D$1:$D$70 + $K$1:$K$70) / ($C$1:$C$116 + $K$1:$K$70))</f>
        <v/>
      </c>
      <c r="O13" s="14">
        <f>(($D$1:$D$62 + $K$1:$K$62) / ($C$1:$C$108 + $K$1:$K$88)) + ((($E$1:$E$100) + (2 * $F$1:$F$100) + (3 * $G$1:$G$100) + (4 * $H$1:$H$100)) / $C$1:$C$108)</f>
        <v/>
      </c>
      <c r="P13" s="40" t="n">
        <v>2</v>
      </c>
      <c r="Q13" s="40" t="n">
        <v>2</v>
      </c>
      <c r="R13" s="41">
        <f>$Q$1:$Q$82/$P$1:$P$82</f>
        <v/>
      </c>
    </row>
    <row r="14" ht="12.75" customHeight="1">
      <c r="A14" s="5" t="inlineStr">
        <is>
          <t>Chris Holloway</t>
        </is>
      </c>
      <c r="B14" s="6">
        <f>$D$1:$D$70/$C$1:$C$116</f>
        <v/>
      </c>
      <c r="C14" s="7" t="n">
        <v>2</v>
      </c>
      <c r="D14" s="7" t="n">
        <v>1</v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3</v>
      </c>
      <c r="J14" s="7" t="n">
        <v>1</v>
      </c>
      <c r="K14" s="7" t="n">
        <v>0</v>
      </c>
      <c r="L14" s="7" t="n">
        <v>0</v>
      </c>
      <c r="M14" s="6">
        <f>(($E14:$E22 + 2 * $F14:$F22 + 3 * $G14:$G22 + 4 * $H14:$H22) / $C14:$C21)</f>
        <v/>
      </c>
      <c r="N14" s="6">
        <f>(($D$1:$D$70 + $K$1:$K$70) / ($C$1:$C$116 + $K$1:$K$70))</f>
        <v/>
      </c>
      <c r="O14" s="9">
        <f>(($D$1:$D$62 + $K$1:$K$62) / ($C$1:$C$108 + $K$1:$K$88)) + ((($E$1:$E$100) + (2 * $F$1:$F$100) + (3 * $G$1:$G$100) + (4 * $H$1:$H$100)) / $C$1:$C$108)</f>
        <v/>
      </c>
      <c r="P14" s="38" t="n">
        <v>2</v>
      </c>
      <c r="Q14" s="38" t="n">
        <v>2</v>
      </c>
      <c r="R14" s="39">
        <f>$Q$1:$Q$82/$P$1:$P$82</f>
        <v/>
      </c>
    </row>
    <row r="15" ht="12.75" customHeight="1">
      <c r="A15" s="11" t="inlineStr">
        <is>
          <t>Michael Ferraioli</t>
        </is>
      </c>
      <c r="B15" s="12">
        <f>$D$1:$D$70/$C$1:$C$116</f>
        <v/>
      </c>
      <c r="C15" s="13" t="n">
        <v>2</v>
      </c>
      <c r="D15" s="13" t="n">
        <v>2</v>
      </c>
      <c r="E15" s="13" t="n">
        <v>1</v>
      </c>
      <c r="F15" s="13" t="n">
        <v>1</v>
      </c>
      <c r="G15" s="13" t="n">
        <v>0</v>
      </c>
      <c r="H15" s="13" t="n">
        <v>0</v>
      </c>
      <c r="I15" s="13" t="n">
        <v>3</v>
      </c>
      <c r="J15" s="13" t="n">
        <v>1</v>
      </c>
      <c r="K15" s="13" t="n">
        <v>0</v>
      </c>
      <c r="L15" s="13" t="n">
        <v>0</v>
      </c>
      <c r="M15" s="12">
        <f>(($E15:$E26 + 2 * $F15:$F26 + 3 * $G15:$G26 + 4 * $H15:$H26) / $C15:$C21)</f>
        <v/>
      </c>
      <c r="N15" s="12">
        <f>(($D$1:$D$70 + $K$1:$K$70) / ($C$1:$C$116 + $K$1:$K$70))</f>
        <v/>
      </c>
      <c r="O15" s="14">
        <f>(($D$1:$D$62 + $K$1:$K$62) / ($C$1:$C$108 + $K$1:$K$88)) + ((($E$1:$E$100) + (2 * $F$1:$F$100) + (3 * $G$1:$G$100) + (4 * $H$1:$H$100)) / $C$1:$C$108)</f>
        <v/>
      </c>
      <c r="P15" s="40" t="n">
        <v>2</v>
      </c>
      <c r="Q15" s="40" t="n">
        <v>2</v>
      </c>
      <c r="R15" s="41">
        <f>$Q$1:$Q$82/$P$1:$P$82</f>
        <v/>
      </c>
    </row>
    <row r="16" ht="12.75" customHeight="1">
      <c r="A16" s="5" t="inlineStr">
        <is>
          <t>Eli Brinker</t>
        </is>
      </c>
      <c r="B16" s="6">
        <f>$D$1:$D$70/$C$1:$C$116</f>
        <v/>
      </c>
      <c r="C16" s="7" t="n">
        <v>2</v>
      </c>
      <c r="D16" s="7" t="n">
        <v>1</v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1</v>
      </c>
      <c r="K16" s="7" t="n">
        <v>0</v>
      </c>
      <c r="L16" s="7" t="n">
        <v>0</v>
      </c>
      <c r="M16" s="6">
        <f>(($E16:$E27 + 2 * $F16:$F27 + 3 * $G16:$G27 + 4 * $H16:$H27) / $C16:$C21)</f>
        <v/>
      </c>
      <c r="N16" s="6">
        <f>(($D$1:$D$70 + $K$1:$K$70) / ($C$1:$C$116 + $K$1:$K$70))</f>
        <v/>
      </c>
      <c r="O16" s="9">
        <f>(($D$1:$D$62 + $K$1:$K$62) / ($C$1:$C$108 + $K$1:$K$88)) + ((($E$1:$E$100) + (2 * $F$1:$F$100) + (3 * $G$1:$G$100) + (4 * $H$1:$H$100)) / $C$1:$C$108)</f>
        <v/>
      </c>
      <c r="P16" s="38" t="n">
        <v>2</v>
      </c>
      <c r="Q16" s="38" t="n">
        <v>1</v>
      </c>
      <c r="R16" s="39">
        <f>$Q$1:$Q$82/$P$1:$P$82</f>
        <v/>
      </c>
    </row>
    <row r="17" ht="12.75" customHeight="1">
      <c r="A17" s="19" t="inlineStr">
        <is>
          <t>Mike Moroski</t>
        </is>
      </c>
      <c r="B17" s="12">
        <f>$D$1:$D$70/$C$1:$C$116</f>
        <v/>
      </c>
      <c r="C17" s="13" t="n">
        <v>2</v>
      </c>
      <c r="D17" s="13" t="n">
        <v>2</v>
      </c>
      <c r="E17" s="13" t="n">
        <v>1</v>
      </c>
      <c r="F17" s="13" t="n">
        <v>1</v>
      </c>
      <c r="G17" s="13" t="n">
        <v>0</v>
      </c>
      <c r="H17" s="13" t="n">
        <v>0</v>
      </c>
      <c r="I17" s="13" t="n">
        <v>2</v>
      </c>
      <c r="J17" s="13" t="n">
        <v>1</v>
      </c>
      <c r="K17" s="13" t="n">
        <v>0</v>
      </c>
      <c r="L17" s="13" t="n">
        <v>0</v>
      </c>
      <c r="M17" s="12">
        <f>(($E17:$E22 + 2 * $F17:$F22 + 3 * $G17:$G22 + 4 * $H17:$H22) / $C17:$C21)</f>
        <v/>
      </c>
      <c r="N17" s="12">
        <f>(($D$1:$D$70 + $K$1:$K$70) / ($C$1:$C$116 + $K$1:$K$70))</f>
        <v/>
      </c>
      <c r="O17" s="14">
        <f>(($D$1:$D$62 + $K$1:$K$62) / ($C$1:$C$108 + $K$1:$K$88)) + ((($E$1:$E$100) + (2 * $F$1:$F$100) + (3 * $G$1:$G$100) + (4 * $H$1:$H$100)) / $C$1:$C$108)</f>
        <v/>
      </c>
      <c r="P17" s="40" t="n">
        <v>2</v>
      </c>
      <c r="Q17" s="40" t="n">
        <v>2</v>
      </c>
      <c r="R17" s="41">
        <f>$Q$1:$Q$82/$P$1:$P$82</f>
        <v/>
      </c>
    </row>
    <row r="18" ht="12.75" customHeight="1">
      <c r="A18" s="18" t="inlineStr">
        <is>
          <t>Mike Pawlowski</t>
        </is>
      </c>
      <c r="B18" s="6">
        <f>$D$1:$D$70/$C$1:$C$116</f>
        <v/>
      </c>
      <c r="C18" s="7" t="n">
        <v>2</v>
      </c>
      <c r="D18" s="7" t="n">
        <v>2</v>
      </c>
      <c r="E18" s="7" t="n">
        <v>1</v>
      </c>
      <c r="F18" s="7" t="n">
        <v>1</v>
      </c>
      <c r="G18" s="7" t="n">
        <v>0</v>
      </c>
      <c r="H18" s="7" t="n">
        <v>0</v>
      </c>
      <c r="I18" s="7" t="n">
        <v>2</v>
      </c>
      <c r="J18" s="7" t="n">
        <v>1</v>
      </c>
      <c r="K18" s="7" t="n">
        <v>0</v>
      </c>
      <c r="L18" s="7" t="n">
        <v>0</v>
      </c>
      <c r="M18" s="6">
        <f>(($E18:$E23 + 2 * $F18:$F23 + 3 * $G18:$G23 + 4 * $H18:$H23) / $C18:$C21)</f>
        <v/>
      </c>
      <c r="N18" s="6">
        <f>(($D$1:$D$70 + $K$1:$K$70) / ($C$1:$C$116 + $K$1:$K$70))</f>
        <v/>
      </c>
      <c r="O18" s="9">
        <f>(($D$1:$D$62 + $K$1:$K$62) / ($C$1:$C$108 + $K$1:$K$88)) + ((($E$1:$E$100) + (2 * $F$1:$F$100) + (3 * $G$1:$G$100) + (4 * $H$1:$H$100)) / $C$1:$C$108)</f>
        <v/>
      </c>
      <c r="P18" s="38" t="n">
        <v>2</v>
      </c>
      <c r="Q18" s="38" t="n">
        <v>2</v>
      </c>
      <c r="R18" s="39">
        <f>$Q$1:$Q$82/$P$1:$P$82</f>
        <v/>
      </c>
    </row>
    <row r="19" ht="12.75" customHeight="1">
      <c r="A19" s="11" t="inlineStr">
        <is>
          <t>Haley Zuritsky</t>
        </is>
      </c>
      <c r="B19" s="12">
        <f>$D$1:$D$70/$C$1:$C$116</f>
        <v/>
      </c>
      <c r="C19" s="13" t="n">
        <v>2</v>
      </c>
      <c r="D19" s="13" t="n">
        <v>1</v>
      </c>
      <c r="E19" s="13" t="n">
        <v>0</v>
      </c>
      <c r="F19" s="13" t="n">
        <v>1</v>
      </c>
      <c r="G19" s="13" t="n">
        <v>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2">
        <f>(($E19:$E24 + 2 * $F19:$F24 + 3 * $G19:$G24 + 4 * $H19:$H24) / $C19:$C21)</f>
        <v/>
      </c>
      <c r="N19" s="12">
        <f>(($D$1:$D$70 + $K$1:$K$70) / ($C$1:$C$116 + $K$1:$K$70))</f>
        <v/>
      </c>
      <c r="O19" s="14">
        <f>(($D$1:$D$62 + $K$1:$K$62) / ($C$1:$C$108 + $K$1:$K$88)) + ((($E$1:$E$100) + (2 * $F$1:$F$100) + (3 * $G$1:$G$100) + (4 * $H$1:$H$100)) / $C$1:$C$108)</f>
        <v/>
      </c>
      <c r="P19" s="40" t="n">
        <v>2</v>
      </c>
      <c r="Q19" s="40" t="n">
        <v>1</v>
      </c>
      <c r="R19" s="41">
        <f>$Q$1:$Q$82/$P$1:$P$82</f>
        <v/>
      </c>
    </row>
    <row r="20" ht="12.75" customHeight="1">
      <c r="A20" s="5" t="inlineStr">
        <is>
          <t>Zach Sparano</t>
        </is>
      </c>
      <c r="B20" s="6">
        <f>$D$1:$D$70/$C$1:$C$116</f>
        <v/>
      </c>
      <c r="C20" s="7" t="n">
        <v>2</v>
      </c>
      <c r="D20" s="7" t="n">
        <v>2</v>
      </c>
      <c r="E20" s="7" t="n">
        <v>1</v>
      </c>
      <c r="F20" s="7" t="n">
        <v>1</v>
      </c>
      <c r="G20" s="7" t="n">
        <v>1</v>
      </c>
      <c r="H20" s="7" t="n">
        <v>0</v>
      </c>
      <c r="I20" s="7" t="n">
        <v>1</v>
      </c>
      <c r="J20" s="7" t="n">
        <v>0</v>
      </c>
      <c r="K20" s="7" t="n">
        <v>0</v>
      </c>
      <c r="L20" s="7" t="n">
        <v>0</v>
      </c>
      <c r="M20" s="6">
        <f>(($E20:$E25 + 2 * $F20:$F25 + 3 * $G20:$G25 + 4 * $H20:$H25) / $C20:$C21)</f>
        <v/>
      </c>
      <c r="N20" s="6">
        <f>(($D$1:$D$70 + $K$1:$K$70) / ($C$1:$C$116 + $K$1:$K$70))</f>
        <v/>
      </c>
      <c r="O20" s="9">
        <f>(($D$1:$D$62 + $K$1:$K$62) / ($C$1:$C$108 + $K$1:$K$88)) + ((($E$1:$E$100) + (2 * $F$1:$F$100) + (3 * $G$1:$G$100) + (4 * $H$1:$H$100)) / $C$1:$C$108)</f>
        <v/>
      </c>
      <c r="P20" s="38" t="n">
        <v>1</v>
      </c>
      <c r="Q20" s="38" t="n">
        <v>1</v>
      </c>
      <c r="R20" s="39">
        <f>$Q$1:$Q$82/$P$1:$P$82</f>
        <v/>
      </c>
    </row>
    <row r="21" ht="12.75" customHeight="1">
      <c r="A21" s="51" t="inlineStr">
        <is>
          <t>Travis D'Onofrio</t>
        </is>
      </c>
      <c r="B21" s="46">
        <f>$D$1:$D$70/$C$1:$C$116</f>
        <v/>
      </c>
      <c r="C21" s="34" t="n">
        <v>2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46">
        <f>(($E21 + 2 * $F21 + 3 * $G21 + 4 * $H21) / $C21)</f>
        <v/>
      </c>
      <c r="N21" s="46">
        <f>(($D$1:$D$70 + $K$1:$K$70) / ($C$1:$C$116 + $K$1:$K$70))</f>
        <v/>
      </c>
      <c r="O21" s="35">
        <f>(($D$1:$D$62 + $K$1:$K$62) / ($C$1:$C$108 + $K$1:$K$88)) + ((($E$1:$E$100) + (2 * $F$1:$F$100) + (3 * $G$1:$G$100) + (4 * $H$1:$H$100)) / $C$1:$C$108)</f>
        <v/>
      </c>
      <c r="P21" s="47" t="n">
        <v>1</v>
      </c>
      <c r="Q21" s="47" t="n">
        <v>0</v>
      </c>
      <c r="R21" s="48">
        <f>$Q$1:$Q$82/$P$1:$P$82</f>
        <v/>
      </c>
    </row>
    <row r="22" ht="14.25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</row>
    <row r="23" ht="15.75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</row>
    <row r="24" ht="15.75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</row>
    <row r="25" ht="15.75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</row>
    <row r="26" ht="14.25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</row>
    <row r="27" ht="14.25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</row>
    <row r="28" ht="14.25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</row>
    <row r="29" ht="14.25" customHeight="1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</row>
    <row r="30" ht="14.25" customHeight="1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</row>
    <row r="31" ht="14.25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</row>
    <row r="32" ht="14.25" customHeight="1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</row>
    <row r="33" ht="14.25" customHeight="1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</row>
    <row r="34" ht="14.25" customHeight="1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</row>
    <row r="35" ht="14.25" customHeight="1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</row>
    <row r="36" ht="14.25" customHeight="1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</row>
    <row r="37" ht="14.25" customHeight="1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</row>
    <row r="38" ht="14.25" customHeight="1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</row>
    <row r="39" ht="14.25" customHeight="1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</row>
    <row r="40" ht="14.25" customHeight="1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</row>
    <row r="41" ht="14.25" customHeight="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</row>
    <row r="42" ht="14.25" customHeight="1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</row>
    <row r="43" ht="14.25" customHeight="1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</row>
    <row r="44" ht="14.25" customHeight="1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</row>
    <row r="45" ht="14.25" customHeight="1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</row>
    <row r="46" ht="14.25" customHeight="1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</row>
    <row r="47" ht="14.25" customHeight="1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</row>
    <row r="48" ht="14.25" customHeight="1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</row>
    <row r="49" ht="14.25" customHeight="1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</row>
    <row r="50" ht="14.25" customHeight="1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</row>
    <row r="51" ht="14.25" customHeight="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</row>
    <row r="52" ht="15.75" customHeight="1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</row>
    <row r="53" ht="14.25" customHeight="1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</row>
    <row r="54" ht="14.25" customHeight="1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</row>
    <row r="55" ht="14.25" customHeight="1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</row>
    <row r="56" ht="14.25" customHeight="1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</row>
    <row r="57" ht="14.25" customHeight="1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</row>
    <row r="58" ht="14.25" customHeight="1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</row>
    <row r="59" ht="14.25" customHeight="1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</row>
    <row r="60" ht="14.25" customHeight="1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</row>
    <row r="61" ht="14.25" customHeight="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</row>
    <row r="62" ht="14.25" customHeight="1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</row>
    <row r="63" ht="14.25" customHeight="1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</row>
    <row r="64" ht="14.25" customHeight="1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</row>
    <row r="65" ht="14.25" customHeight="1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</row>
    <row r="66" ht="14.25" customHeight="1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</row>
    <row r="67" ht="14.25" customHeight="1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</row>
    <row r="68" ht="14.25" customHeight="1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</row>
    <row r="69" ht="14.25" customHeight="1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</row>
    <row r="70" ht="14.25" customHeight="1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</row>
    <row r="71" ht="14.25" customHeight="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</row>
    <row r="72" ht="14.25" customHeight="1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</row>
    <row r="73" ht="14.25" customHeight="1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</row>
    <row r="74" ht="14.25" customHeight="1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</row>
    <row r="75" ht="14.25" customHeight="1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</row>
    <row r="76" ht="14.25" customHeight="1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</row>
    <row r="77" ht="14.25" customHeight="1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</row>
    <row r="78" ht="14.25" customHeight="1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</row>
    <row r="79" ht="14.25" customHeight="1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</row>
    <row r="80" ht="14.25" customHeight="1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</row>
    <row r="81" ht="14.25" customHeight="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</row>
    <row r="82" ht="14.25" customHeight="1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</row>
    <row r="83" ht="14.25" customHeight="1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</row>
    <row r="84" ht="14.25" customHeight="1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</row>
    <row r="85" ht="14.25" customHeight="1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</row>
    <row r="86" ht="14.25" customHeight="1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</row>
    <row r="87" ht="14.25" customHeight="1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</row>
    <row r="88" ht="14.25" customHeight="1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</row>
    <row r="89" ht="14.25" customHeight="1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</row>
    <row r="90" ht="14.25" customHeight="1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</row>
    <row r="91" ht="14.25" customHeight="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</row>
    <row r="92" ht="14.25" customHeight="1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</row>
    <row r="93" ht="14.25" customHeight="1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</row>
    <row r="94" ht="12.75" customHeight="1">
      <c r="B94" s="25" t="n"/>
      <c r="C94" s="60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2.75" customHeight="1">
      <c r="B95" s="52" t="n"/>
      <c r="C95" s="53" t="inlineStr">
        <is>
          <t>INNING 1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2.75" customHeight="1">
      <c r="A96" s="28" t="inlineStr">
        <is>
          <t>Stantec</t>
        </is>
      </c>
      <c r="B96" s="54" t="inlineStr">
        <is>
          <t>A</t>
        </is>
      </c>
      <c r="C96" s="55" t="n">
        <v>0</v>
      </c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2.75" customHeight="1">
      <c r="A97" s="28" t="inlineStr">
        <is>
          <t>Pennoni</t>
        </is>
      </c>
      <c r="B97" s="56" t="inlineStr">
        <is>
          <t>H</t>
        </is>
      </c>
      <c r="C97" s="57" t="n">
        <v>0</v>
      </c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2.75" customHeight="1"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2.75" customHeight="1"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2.75" customHeight="1"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2.75" customHeight="1"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2.75" customHeight="1"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2.75" customHeight="1"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2.75" customHeight="1"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2.75" customHeight="1"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2.75" customHeight="1"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2.75" customHeight="1"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2.75" customHeight="1"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2.75" customHeight="1"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2.75" customHeight="1"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2.75" customHeight="1"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2.75" customHeight="1"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2.75" customHeight="1"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2.75" customHeight="1"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2.75" customHeight="1"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2.75" customHeight="1"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2.75" customHeight="1"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2.75" customHeight="1"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2.75" customHeight="1"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2.75" customHeight="1"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2.75" customHeight="1"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2.75" customHeight="1"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2.75" customHeight="1"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2.75" customHeight="1"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2.75" customHeight="1"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2.75" customHeight="1"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2.75" customHeight="1"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2.75" customHeight="1"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2.75" customHeight="1"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2.75" customHeight="1"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2.75" customHeight="1"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2.75" customHeight="1"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2.75" customHeight="1"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2.75" customHeight="1"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2.75" customHeight="1"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2.75" customHeight="1"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2.75" customHeight="1"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2.75" customHeight="1"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2.75" customHeight="1"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2.75" customHeight="1"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2.75" customHeight="1"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2.75" customHeight="1"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2.75" customHeight="1"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2.75" customHeight="1"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2.75" customHeight="1"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2.75" customHeight="1"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2.75" customHeight="1"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2.75" customHeight="1"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2.75" customHeight="1"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2.75" customHeight="1"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2.75" customHeight="1"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2.75" customHeight="1"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2.75" customHeight="1"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2.75" customHeight="1"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2.75" customHeight="1"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2.75" customHeight="1"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2.75" customHeight="1"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2.75" customHeight="1"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2.75" customHeight="1"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2.75" customHeight="1"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2.75" customHeight="1"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2.75" customHeight="1"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2.75" customHeight="1"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2.75" customHeight="1"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2.75" customHeight="1"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2.75" customHeight="1"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2.75" customHeight="1"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2.75" customHeight="1"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2.75" customHeight="1"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2.75" customHeight="1"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2.75" customHeight="1"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2.75" customHeight="1"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2.75" customHeight="1"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2.75" customHeight="1"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2.75" customHeight="1"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2.75" customHeight="1"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2.75" customHeight="1"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2.75" customHeight="1"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2.75" customHeight="1"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2.75" customHeight="1"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2.75" customHeight="1"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2.75" customHeight="1"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2.75" customHeight="1"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2.75" customHeight="1"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2.75" customHeight="1"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2.75" customHeight="1"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2.75" customHeight="1"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2.75" customHeight="1"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2.75" customHeight="1"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2.75" customHeight="1"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2.75" customHeight="1"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2.75" customHeight="1"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2.75" customHeight="1"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2.75" customHeight="1"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2.75" customHeight="1"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2.75" customHeight="1"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2.75" customHeight="1"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2.75" customHeight="1"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2.75" customHeight="1"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2.75" customHeight="1"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2.75" customHeight="1"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2.75" customHeight="1"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2.75" customHeight="1"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2.75" customHeight="1"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2.75" customHeight="1"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2.75" customHeight="1"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2.75" customHeight="1"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2.75" customHeight="1"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2.75" customHeight="1"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2.75" customHeight="1"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2.75" customHeight="1"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2.75" customHeight="1"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2.75" customHeight="1"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2.75" customHeight="1"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2.75" customHeight="1"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2.75" customHeight="1"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2.75" customHeight="1"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2.75" customHeight="1"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2.75" customHeight="1"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2.75" customHeight="1"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2.75" customHeight="1"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2.75" customHeight="1"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2.75" customHeight="1"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2.75" customHeight="1"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2.75" customHeight="1"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2.75" customHeight="1"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2.75" customHeight="1"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2.75" customHeight="1"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2.75" customHeight="1"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2.75" customHeight="1"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2.75" customHeight="1"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2.75" customHeight="1"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2.75" customHeight="1"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2.75" customHeight="1"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2.75" customHeight="1"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2.75" customHeight="1"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2.75" customHeight="1"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2.75" customHeight="1"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2.75" customHeight="1"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2.75" customHeight="1"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2.75" customHeight="1"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2.75" customHeight="1"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2.75" customHeight="1"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2.75" customHeight="1"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2.75" customHeight="1"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2.75" customHeight="1"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2.75" customHeight="1"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2.75" customHeight="1"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2.75" customHeight="1"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2.75" customHeight="1"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2.75" customHeight="1"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2.75" customHeight="1"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2.75" customHeight="1"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2.75" customHeight="1"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2.75" customHeight="1"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2.75" customHeight="1"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2.75" customHeight="1"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2.75" customHeight="1"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2.75" customHeight="1"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2.75" customHeight="1"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2.75" customHeight="1"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2.75" customHeight="1"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2.75" customHeight="1"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2.75" customHeight="1"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2.75" customHeight="1"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2.75" customHeight="1"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2.75" customHeight="1"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2.75" customHeight="1"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2.75" customHeight="1"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2.75" customHeight="1"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2.75" customHeight="1"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2.75" customHeight="1"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2.75" customHeight="1"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2.75" customHeight="1"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2.75" customHeight="1"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2.75" customHeight="1"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2.75" customHeight="1"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2.75" customHeight="1"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2.75" customHeight="1"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2.75" customHeight="1"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2.75" customHeight="1"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2.75" customHeight="1"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2.75" customHeight="1"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2.75" customHeight="1"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2.75" customHeight="1"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2.75" customHeight="1"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2.75" customHeight="1"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2.75" customHeight="1"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2.75" customHeight="1"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2.75" customHeight="1"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2.75" customHeight="1"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2.75" customHeight="1"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2.75" customHeight="1"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2.75" customHeight="1"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2.75" customHeight="1"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2.75" customHeight="1"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2.75" customHeight="1"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2.75" customHeight="1"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2.75" customHeight="1"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2.75" customHeight="1"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2.75" customHeight="1"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2.75" customHeight="1"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2.75" customHeight="1"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2.75" customHeight="1"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2.75" customHeight="1"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2.75" customHeight="1"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2.75" customHeight="1"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2.75" customHeight="1"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2.75" customHeight="1"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2.75" customHeight="1"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2.75" customHeight="1"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2.75" customHeight="1"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2.75" customHeight="1"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2.75" customHeight="1"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2.75" customHeight="1"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2.75" customHeight="1"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2.75" customHeight="1"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2.75" customHeight="1"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2.75" customHeight="1"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2.75" customHeight="1"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2.75" customHeight="1"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2.75" customHeight="1"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2.75" customHeight="1"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2.75" customHeight="1"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2.75" customHeight="1"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2.75" customHeight="1"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2.75" customHeight="1"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2.75" customHeight="1"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2.75" customHeight="1"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2.75" customHeight="1"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2.75" customHeight="1"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2.75" customHeight="1"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2.75" customHeight="1"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2.75" customHeight="1"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2.75" customHeight="1"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2.75" customHeight="1"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2.75" customHeight="1"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2.75" customHeight="1"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2.75" customHeight="1"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2.75" customHeight="1"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2.75" customHeight="1"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2.75" customHeight="1"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2.75" customHeight="1"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2.75" customHeight="1"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2.75" customHeight="1"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2.75" customHeight="1"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2.75" customHeight="1"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2.75" customHeight="1"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2.75" customHeight="1"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2.75" customHeight="1"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2.75" customHeight="1"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2.75" customHeight="1"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2.75" customHeight="1"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2.75" customHeight="1"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2.75" customHeight="1"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2.75" customHeight="1"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2.75" customHeight="1"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2.75" customHeight="1"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2.75" customHeight="1"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2.75" customHeight="1"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2.75" customHeight="1"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2.75" customHeight="1"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2.75" customHeight="1"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2.75" customHeight="1"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2.75" customHeight="1"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2.75" customHeight="1"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2.75" customHeight="1"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2.75" customHeight="1"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2.75" customHeight="1"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2.75" customHeight="1"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2.75" customHeight="1"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2.75" customHeight="1"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2.75" customHeight="1"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2.75" customHeight="1"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2.75" customHeight="1"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2.75" customHeight="1"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2.75" customHeight="1"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2.75" customHeight="1"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2.75" customHeight="1"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2.75" customHeight="1"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2.75" customHeight="1"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2.75" customHeight="1"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2.75" customHeight="1"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2.75" customHeight="1"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2.75" customHeight="1"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2.75" customHeight="1"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2.75" customHeight="1"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2.75" customHeight="1"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2.75" customHeight="1"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2.75" customHeight="1"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2.75" customHeight="1"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2.75" customHeight="1"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2.75" customHeight="1"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2.75" customHeight="1"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2.75" customHeight="1"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2.75" customHeight="1"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2.75" customHeight="1"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2.75" customHeight="1"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2.75" customHeight="1"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2.75" customHeight="1"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2.75" customHeight="1"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2.75" customHeight="1"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2.75" customHeight="1"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2.75" customHeight="1"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2.75" customHeight="1"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2.75" customHeight="1"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2.75" customHeight="1"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2.75" customHeight="1"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2.75" customHeight="1"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2.75" customHeight="1"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2.75" customHeight="1"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2.75" customHeight="1"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2.75" customHeight="1"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2.75" customHeight="1"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2.75" customHeight="1"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2.75" customHeight="1"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2.75" customHeight="1"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2.75" customHeight="1"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2.75" customHeight="1"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2.75" customHeight="1"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2.75" customHeight="1"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2.75" customHeight="1"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2.75" customHeight="1"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2.75" customHeight="1"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2.75" customHeight="1"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2.75" customHeight="1"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2.75" customHeight="1"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2.75" customHeight="1"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2.75" customHeight="1"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2.75" customHeight="1"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2.75" customHeight="1"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2.75" customHeight="1"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2.75" customHeight="1"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2.75" customHeight="1"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2.75" customHeight="1"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2.75" customHeight="1"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2.75" customHeight="1"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2.75" customHeight="1"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2.75" customHeight="1"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2.75" customHeight="1"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2.75" customHeight="1"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2.75" customHeight="1"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2.75" customHeight="1"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2.75" customHeight="1"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2.75" customHeight="1"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2.75" customHeight="1"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2.75" customHeight="1"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2.75" customHeight="1"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2.75" customHeight="1"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2.75" customHeight="1"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2.75" customHeight="1"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2.75" customHeight="1"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2.75" customHeight="1"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2.75" customHeight="1"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2.75" customHeight="1"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2.75" customHeight="1"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2.75" customHeight="1"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2.75" customHeight="1"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2.75" customHeight="1"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2.75" customHeight="1"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2.75" customHeight="1"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2.75" customHeight="1"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2.75" customHeight="1"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2.75" customHeight="1"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2.75" customHeight="1"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2.75" customHeight="1"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2.75" customHeight="1"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2.75" customHeight="1"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2.75" customHeight="1"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2.75" customHeight="1"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2.75" customHeight="1"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2.75" customHeight="1"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2.75" customHeight="1"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2.75" customHeight="1"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2.75" customHeight="1"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2.75" customHeight="1"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2.75" customHeight="1"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2.75" customHeight="1"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2.75" customHeight="1"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2.75" customHeight="1"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2.75" customHeight="1"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2.75" customHeight="1"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2.75" customHeight="1"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2.75" customHeight="1"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2.75" customHeight="1"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2.75" customHeight="1"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2.75" customHeight="1"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2.75" customHeight="1"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2.75" customHeight="1"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2.75" customHeight="1"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2.75" customHeight="1"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2.75" customHeight="1"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2.75" customHeight="1"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2.75" customHeight="1"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2.75" customHeight="1"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2.75" customHeight="1"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2.75" customHeight="1"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2.75" customHeight="1"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2.75" customHeight="1"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2.75" customHeight="1"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2.75" customHeight="1"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2.75" customHeight="1"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2.75" customHeight="1"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2.75" customHeight="1"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2.75" customHeight="1"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2.75" customHeight="1"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2.75" customHeight="1"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2.75" customHeight="1"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2.75" customHeight="1"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2.75" customHeight="1"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2.75" customHeight="1"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2.75" customHeight="1"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2.75" customHeight="1"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2.75" customHeight="1"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2.75" customHeight="1"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2.75" customHeight="1"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2.75" customHeight="1"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2.75" customHeight="1"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2.75" customHeight="1"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2.75" customHeight="1"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2.75" customHeight="1"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2.75" customHeight="1"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2.75" customHeight="1"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2.75" customHeight="1"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2.75" customHeight="1"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2.75" customHeight="1"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2.75" customHeight="1"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2.75" customHeight="1"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2.75" customHeight="1"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2.75" customHeight="1"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2.75" customHeight="1"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2.75" customHeight="1"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2.75" customHeight="1"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2.75" customHeight="1"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2.75" customHeight="1"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2.75" customHeight="1"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2.75" customHeight="1"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2.75" customHeight="1"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2.75" customHeight="1"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2.75" customHeight="1"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2.75" customHeight="1"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2.75" customHeight="1"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2.75" customHeight="1"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2.75" customHeight="1"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2.75" customHeight="1"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2.75" customHeight="1"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2.75" customHeight="1"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2.75" customHeight="1"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2.75" customHeight="1"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2.75" customHeight="1"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2.75" customHeight="1"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2.75" customHeight="1"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2.75" customHeight="1"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2.75" customHeight="1"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2.75" customHeight="1"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2.75" customHeight="1"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2.75" customHeight="1"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2.75" customHeight="1"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2.75" customHeight="1"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2.75" customHeight="1"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2.75" customHeight="1"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2.75" customHeight="1"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2.75" customHeight="1"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2.75" customHeight="1"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2.75" customHeight="1"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2.75" customHeight="1"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2.75" customHeight="1"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2.75" customHeight="1"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2.75" customHeight="1"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2.75" customHeight="1"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2.75" customHeight="1"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2.75" customHeight="1"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2.75" customHeight="1"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2.75" customHeight="1"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2.75" customHeight="1"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2.75" customHeight="1"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2.75" customHeight="1"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2.75" customHeight="1"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2.75" customHeight="1"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2.75" customHeight="1"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2.75" customHeight="1"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2.75" customHeight="1"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2.75" customHeight="1"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2.75" customHeight="1"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2.75" customHeight="1"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2.75" customHeight="1"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2.75" customHeight="1"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2.75" customHeight="1"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2.75" customHeight="1"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2.75" customHeight="1"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2.75" customHeight="1"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2.75" customHeight="1"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2.75" customHeight="1"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2.75" customHeight="1"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2.75" customHeight="1"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2.75" customHeight="1"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2.75" customHeight="1"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2.75" customHeight="1"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2.75" customHeight="1"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2.75" customHeight="1"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2.75" customHeight="1"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2.75" customHeight="1"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2.75" customHeight="1"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2.75" customHeight="1"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2.75" customHeight="1"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2.75" customHeight="1"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2.75" customHeight="1"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2.75" customHeight="1"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2.75" customHeight="1"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2.75" customHeight="1"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2.75" customHeight="1"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2.75" customHeight="1"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2.75" customHeight="1"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2.75" customHeight="1"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2.75" customHeight="1"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2.75" customHeight="1"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2.75" customHeight="1"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2.75" customHeight="1"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2.75" customHeight="1"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2.75" customHeight="1"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2.75" customHeight="1"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2.75" customHeight="1"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2.75" customHeight="1"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2.75" customHeight="1"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2.75" customHeight="1"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2.75" customHeight="1"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2.75" customHeight="1"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2.75" customHeight="1"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2.75" customHeight="1"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2.75" customHeight="1"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2.75" customHeight="1"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2.75" customHeight="1"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2.75" customHeight="1"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2.75" customHeight="1"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2.75" customHeight="1"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2.75" customHeight="1"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2.75" customHeight="1"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2.75" customHeight="1"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2.75" customHeight="1"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2.75" customHeight="1"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2.75" customHeight="1"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2.75" customHeight="1"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2.75" customHeight="1"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2.75" customHeight="1"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2.75" customHeight="1"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2.75" customHeight="1"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2.75" customHeight="1"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2.75" customHeight="1"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2.75" customHeight="1"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2.75" customHeight="1"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2.75" customHeight="1"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2.75" customHeight="1"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2.75" customHeight="1"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2.75" customHeight="1"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2.75" customHeight="1"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2.75" customHeight="1"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2.75" customHeight="1"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2.75" customHeight="1"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2.75" customHeight="1"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2.75" customHeight="1"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2.75" customHeight="1"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2.75" customHeight="1"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2.75" customHeight="1"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2.75" customHeight="1"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2.75" customHeight="1"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2.75" customHeight="1"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2.75" customHeight="1"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2.75" customHeight="1"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2.75" customHeight="1"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2.75" customHeight="1"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2.75" customHeight="1"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2.75" customHeight="1"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2.75" customHeight="1"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2.75" customHeight="1"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2.75" customHeight="1"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2.75" customHeight="1"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2.75" customHeight="1"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2.75" customHeight="1"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2.75" customHeight="1"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2.75" customHeight="1"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2.75" customHeight="1"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2.75" customHeight="1"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2.75" customHeight="1"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2.75" customHeight="1"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2.75" customHeight="1"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2.75" customHeight="1"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2.75" customHeight="1"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2.75" customHeight="1"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2.75" customHeight="1"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2.75" customHeight="1"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2.75" customHeight="1"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2.75" customHeight="1"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2.75" customHeight="1"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2.75" customHeight="1"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2.75" customHeight="1"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2.75" customHeight="1"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2.75" customHeight="1"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2.75" customHeight="1"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2.75" customHeight="1"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2.75" customHeight="1"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2.75" customHeight="1"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2.75" customHeight="1"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2.75" customHeight="1"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2.75" customHeight="1"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2.75" customHeight="1"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2.75" customHeight="1"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2.75" customHeight="1"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2.75" customHeight="1"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2.75" customHeight="1"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2.75" customHeight="1"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2.75" customHeight="1"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2.75" customHeight="1"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2.75" customHeight="1"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2.75" customHeight="1"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2.75" customHeight="1"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2.75" customHeight="1"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2.75" customHeight="1"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2.75" customHeight="1"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2.75" customHeight="1"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2.75" customHeight="1"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2.75" customHeight="1"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2.75" customHeight="1"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2.75" customHeight="1"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2.75" customHeight="1"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2.75" customHeight="1"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2.75" customHeight="1"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2.75" customHeight="1"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2.75" customHeight="1"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2.75" customHeight="1"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2.75" customHeight="1"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2.75" customHeight="1"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2.75" customHeight="1"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2.75" customHeight="1"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2.75" customHeight="1"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2.75" customHeight="1"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2.75" customHeight="1"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2.75" customHeight="1"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2.75" customHeight="1"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2.75" customHeight="1"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2.75" customHeight="1"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2.75" customHeight="1"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2.75" customHeight="1"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2.75" customHeight="1"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2.75" customHeight="1"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2.75" customHeight="1"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2.75" customHeight="1"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2.75" customHeight="1"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2.75" customHeight="1"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2.75" customHeight="1"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2.75" customHeight="1"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2.75" customHeight="1"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2.75" customHeight="1"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2.75" customHeight="1"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2.75" customHeight="1"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2.75" customHeight="1"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2.75" customHeight="1"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2.75" customHeight="1"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2.75" customHeight="1"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2.75" customHeight="1"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2.75" customHeight="1"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2.75" customHeight="1"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2.75" customHeight="1"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2.75" customHeight="1"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2.75" customHeight="1"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2.75" customHeight="1"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2.75" customHeight="1"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2.75" customHeight="1"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2.75" customHeight="1"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2.75" customHeight="1"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2.75" customHeight="1"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2.75" customHeight="1"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2.75" customHeight="1"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2.75" customHeight="1"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2.75" customHeight="1"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2.75" customHeight="1"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2.75" customHeight="1"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2.75" customHeight="1"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2.75" customHeight="1"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2.75" customHeight="1"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2.75" customHeight="1"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2.75" customHeight="1"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2.75" customHeight="1"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2.75" customHeight="1"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2.75" customHeight="1"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2.75" customHeight="1"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2.75" customHeight="1"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2.75" customHeight="1"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2.75" customHeight="1"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2.75" customHeight="1"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2.75" customHeight="1"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2.75" customHeight="1"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2.75" customHeight="1"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2.75" customHeight="1"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2.75" customHeight="1"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2.75" customHeight="1"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2.75" customHeight="1"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2.75" customHeight="1"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2.75" customHeight="1"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2.75" customHeight="1"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2.75" customHeight="1"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2.75" customHeight="1"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2.75" customHeight="1"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2.75" customHeight="1"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2.75" customHeight="1"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2.75" customHeight="1"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2.75" customHeight="1"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2.75" customHeight="1"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2.75" customHeight="1"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2.75" customHeight="1"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2.75" customHeight="1"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2.75" customHeight="1"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2.75" customHeight="1"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2.75" customHeight="1"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2.75" customHeight="1"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2.75" customHeight="1"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2.75" customHeight="1"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2.75" customHeight="1"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2.75" customHeight="1"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2.75" customHeight="1"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2.75" customHeight="1"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2.75" customHeight="1"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2.75" customHeight="1"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2.75" customHeight="1"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2.75" customHeight="1"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2.75" customHeight="1"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2.75" customHeight="1"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2.75" customHeight="1"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2.75" customHeight="1"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2.75" customHeight="1"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2.75" customHeight="1"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2.75" customHeight="1"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2.75" customHeight="1"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2.75" customHeight="1"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2.75" customHeight="1"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2.75" customHeight="1"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2.75" customHeight="1"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2.75" customHeight="1"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2.75" customHeight="1"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2.75" customHeight="1"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2.75" customHeight="1"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2.75" customHeight="1"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2.75" customHeight="1"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2.75" customHeight="1"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2.75" customHeight="1"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2.75" customHeight="1"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2.75" customHeight="1"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2.75" customHeight="1"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2.75" customHeight="1"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2.75" customHeight="1"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2.75" customHeight="1"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2.75" customHeight="1"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2.75" customHeight="1"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2.75" customHeight="1"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2.75" customHeight="1"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2.75" customHeight="1"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2.75" customHeight="1"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2.75" customHeight="1"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2.75" customHeight="1"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2.75" customHeight="1"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2.75" customHeight="1"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2.75" customHeight="1"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2.75" customHeight="1"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2.75" customHeight="1"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2.75" customHeight="1"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2.75" customHeight="1"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2.75" customHeight="1"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2.75" customHeight="1"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2.75" customHeight="1"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2.75" customHeight="1"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2.75" customHeight="1"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2.75" customHeight="1"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2.75" customHeight="1"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2.75" customHeight="1"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2.75" customHeight="1"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2.75" customHeight="1"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2.75" customHeight="1"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2.75" customHeight="1"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2.75" customHeight="1"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2.75" customHeight="1"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2.75" customHeight="1"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2.75" customHeight="1"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2.75" customHeight="1"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2.75" customHeight="1"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2.75" customHeight="1"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2.75" customHeight="1"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2.75" customHeight="1"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2.75" customHeight="1"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2.75" customHeight="1"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2.75" customHeight="1"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2.75" customHeight="1"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2.75" customHeight="1"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2.75" customHeight="1"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2.75" customHeight="1"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2.75" customHeight="1"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2.75" customHeight="1"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2.75" customHeight="1"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2.75" customHeight="1"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2.75" customHeight="1"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2.75" customHeight="1"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2.75" customHeight="1"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2.75" customHeight="1"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2.75" customHeight="1"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2.75" customHeight="1"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2.75" customHeight="1"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2.75" customHeight="1"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2.75" customHeight="1"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2.75" customHeight="1"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2.75" customHeight="1"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2.75" customHeight="1"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2.75" customHeight="1"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2.75" customHeight="1"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2.75" customHeight="1"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2.75" customHeight="1"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2.75" customHeight="1"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2.75" customHeight="1"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2.75" customHeight="1"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2.75" customHeight="1"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2.75" customHeight="1"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2.75" customHeight="1"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2.75" customHeight="1"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2.75" customHeight="1"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2.75" customHeight="1"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2.75" customHeight="1"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2.75" customHeight="1"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2.75" customHeight="1"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2.75" customHeight="1"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2.75" customHeight="1"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2.75" customHeight="1"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2.75" customHeight="1"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2.75" customHeight="1"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2.75" customHeight="1"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2.75" customHeight="1"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2.75" customHeight="1"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2.75" customHeight="1"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2.75" customHeight="1"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2.75" customHeight="1"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2.75" customHeight="1"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2.75" customHeight="1"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2.75" customHeight="1"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2.75" customHeight="1"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2.75" customHeight="1"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2.75" customHeight="1"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2.75" customHeight="1"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2.75" customHeight="1"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2.75" customHeight="1"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2.75" customHeight="1"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2.75" customHeight="1"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2.75" customHeight="1"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2.75" customHeight="1"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2.75" customHeight="1"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2.75" customHeight="1"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2.75" customHeight="1"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2.75" customHeight="1"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2.75" customHeight="1"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2.75" customHeight="1"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2.75" customHeight="1"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2.75" customHeight="1"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2.75" customHeight="1"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2.75" customHeight="1"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2.75" customHeight="1"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2.75" customHeight="1"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2.75" customHeight="1"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2.75" customHeight="1"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2.75" customHeight="1"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2.75" customHeight="1"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2.75" customHeight="1"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2.75" customHeight="1"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2.75" customHeight="1"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2.75" customHeight="1"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2.75" customHeight="1"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2.75" customHeight="1"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2.75" customHeight="1"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2.75" customHeight="1"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2.75" customHeight="1"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2.75" customHeight="1"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2.75" customHeight="1"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Q976" s="49" t="n"/>
    </row>
    <row r="977" ht="12.75" customHeight="1"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Q977" s="50" t="n"/>
    </row>
    <row r="978" ht="12.75" customHeight="1"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Q978" s="50" t="n"/>
    </row>
    <row r="979" ht="12.75" customHeight="1"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Q979" s="50" t="n"/>
    </row>
    <row r="980" ht="12.75" customHeight="1"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Q980" s="50" t="n"/>
    </row>
    <row r="981" ht="12.75" customHeight="1"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Q981" s="50" t="n"/>
    </row>
    <row r="982" ht="12.75" customHeight="1"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Q982" s="50" t="n"/>
    </row>
    <row r="983" ht="12.75" customHeight="1"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Q983" s="50" t="n"/>
    </row>
    <row r="984" ht="12.75" customHeight="1"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Q984" s="50" t="n"/>
    </row>
    <row r="985" ht="12.75" customHeight="1"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Q985" s="50" t="n"/>
    </row>
    <row r="986" ht="12.75" customHeight="1"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Q986" s="50" t="n"/>
    </row>
    <row r="987" ht="12.75" customHeight="1"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Q987" s="50" t="n"/>
    </row>
    <row r="988" ht="12.75" customHeight="1"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Q988" s="50" t="n"/>
    </row>
    <row r="989" ht="15.75" customHeight="1">
      <c r="B989" s="25" t="n"/>
      <c r="C989" s="25" t="n"/>
    </row>
    <row r="990" ht="15.75" customHeight="1">
      <c r="B990" s="25" t="n"/>
      <c r="C990" s="25" t="n"/>
    </row>
    <row r="991" ht="15.75" customHeight="1">
      <c r="B991" s="25" t="n"/>
      <c r="C991" s="25" t="n"/>
    </row>
    <row r="992" ht="15.75" customHeight="1">
      <c r="B992" s="25" t="n"/>
      <c r="C992" s="25" t="n"/>
    </row>
    <row r="993" ht="15.75" customHeight="1">
      <c r="B993" s="25" t="n"/>
      <c r="C993" s="25" t="n"/>
    </row>
    <row r="994" ht="15.75" customHeight="1">
      <c r="B994" s="25" t="n"/>
      <c r="C994" s="25" t="n"/>
    </row>
    <row r="995" ht="15.75" customHeight="1">
      <c r="B995" s="25" t="n"/>
      <c r="C995" s="25" t="n"/>
    </row>
    <row r="996" ht="15.75" customHeight="1">
      <c r="B996" s="25" t="n"/>
      <c r="C996" s="25" t="n"/>
    </row>
    <row r="997" ht="15.75" customHeight="1">
      <c r="B997" s="25" t="n"/>
      <c r="C997" s="25" t="n"/>
    </row>
    <row r="998" ht="15.75" customHeight="1">
      <c r="B998" s="25" t="n"/>
      <c r="C998" s="25" t="n"/>
    </row>
    <row r="999" ht="15.75" customHeight="1">
      <c r="B999" s="25" t="n"/>
      <c r="C999" s="25" t="n"/>
    </row>
    <row r="1000" ht="15.75" customHeight="1">
      <c r="B1000" s="25" t="n"/>
      <c r="C1000" s="25" t="n"/>
    </row>
    <row r="1001" ht="15.75" customHeight="1">
      <c r="B1001" s="25" t="n"/>
      <c r="C1001" s="25" t="n"/>
    </row>
    <row r="1002" ht="15.75" customHeight="1">
      <c r="B1002" s="25" t="n"/>
      <c r="C1002" s="25" t="n"/>
    </row>
    <row r="1003" ht="15.75" customHeight="1">
      <c r="B1003" s="25" t="n"/>
      <c r="C1003" s="25" t="n"/>
    </row>
    <row r="1004" ht="15.75" customHeight="1">
      <c r="B1004" s="25" t="n"/>
      <c r="C1004" s="25" t="n"/>
    </row>
    <row r="1005" ht="15.75" customHeight="1">
      <c r="B1005" s="25" t="n"/>
      <c r="C1005" s="25" t="n"/>
    </row>
    <row r="1006" ht="15.75" customHeight="1">
      <c r="B1006" s="25" t="n"/>
      <c r="C1006" s="25" t="n"/>
    </row>
    <row r="1007" ht="15.75" customHeight="1">
      <c r="B1007" s="25" t="n"/>
      <c r="C1007" s="25" t="n"/>
    </row>
    <row r="1008" ht="15.75" customHeight="1">
      <c r="B1008" s="25" t="n"/>
      <c r="C1008" s="25" t="n"/>
    </row>
    <row r="1009" ht="15.75" customHeight="1">
      <c r="B1009" s="25" t="n"/>
      <c r="C1009" s="25" t="n"/>
    </row>
    <row r="1010" ht="15.75" customHeight="1">
      <c r="B1010" s="25" t="n"/>
      <c r="C1010" s="25" t="n"/>
    </row>
    <row r="1011" ht="15.75" customHeight="1">
      <c r="B1011" s="25" t="n"/>
      <c r="C1011" s="25" t="n"/>
    </row>
    <row r="1012" ht="15.75" customHeight="1">
      <c r="B1012" s="25" t="n"/>
      <c r="C1012" s="25" t="n"/>
    </row>
    <row r="1013" ht="15.75" customHeight="1">
      <c r="B1013" s="25" t="n"/>
      <c r="C1013" s="25" t="n"/>
    </row>
    <row r="1014" ht="15.75" customHeight="1">
      <c r="B1014" s="25" t="n"/>
      <c r="C1014" s="25" t="n"/>
    </row>
    <row r="1015" ht="15.75" customHeight="1">
      <c r="B1015" s="25" t="n"/>
      <c r="C1015" s="25" t="n"/>
    </row>
    <row r="1016" ht="15.75" customHeight="1">
      <c r="B1016" s="25" t="n"/>
      <c r="C1016" s="25" t="n"/>
    </row>
    <row r="1017" ht="15.75" customHeight="1">
      <c r="B1017" s="25" t="n"/>
      <c r="C1017" s="25" t="n"/>
    </row>
    <row r="1018" ht="15.75" customHeight="1">
      <c r="B1018" s="25" t="n"/>
      <c r="C1018" s="25" t="n"/>
    </row>
    <row r="1019" ht="15.75" customHeight="1">
      <c r="B1019" s="25" t="n"/>
      <c r="C1019" s="25" t="n"/>
    </row>
    <row r="1020" ht="15.75" customHeight="1">
      <c r="B1020" s="25" t="n"/>
      <c r="C1020" s="25" t="n"/>
    </row>
    <row r="1021" ht="15.75" customHeight="1">
      <c r="B1021" s="25" t="n"/>
      <c r="C1021" s="25" t="n"/>
    </row>
    <row r="1022" ht="15.75" customHeight="1">
      <c r="B1022" s="25" t="n"/>
      <c r="C1022" s="25" t="n"/>
    </row>
    <row r="1023" ht="15.75" customHeight="1">
      <c r="B1023" s="25" t="n"/>
      <c r="C1023" s="25" t="n"/>
    </row>
    <row r="1024" ht="15.75" customHeight="1">
      <c r="B1024" s="25" t="n"/>
      <c r="C1024" s="25" t="n"/>
    </row>
    <row r="1025" ht="15.75" customHeight="1">
      <c r="B1025" s="25" t="n"/>
      <c r="C1025" s="25" t="n"/>
    </row>
    <row r="1026" ht="15.75" customHeight="1">
      <c r="B1026" s="25" t="n"/>
      <c r="C1026" s="25" t="n"/>
    </row>
    <row r="1027" ht="15.75" customHeight="1">
      <c r="B1027" s="25" t="n"/>
      <c r="C1027" s="25" t="n"/>
    </row>
    <row r="1028" ht="15.75" customHeight="1">
      <c r="B1028" s="25" t="n"/>
      <c r="C1028" s="25" t="n"/>
    </row>
    <row r="1029" ht="15.75" customHeight="1">
      <c r="B1029" s="25" t="n"/>
      <c r="C1029" s="25" t="n"/>
    </row>
    <row r="1030" ht="15.75" customHeight="1">
      <c r="B1030" s="25" t="n"/>
      <c r="C1030" s="25" t="n"/>
    </row>
    <row r="1031" ht="15.75" customHeight="1">
      <c r="B1031" s="25" t="n"/>
      <c r="C1031" s="25" t="n"/>
    </row>
    <row r="1032" ht="15.75" customHeight="1">
      <c r="B1032" s="25" t="n"/>
      <c r="C1032" s="25" t="n"/>
    </row>
    <row r="1033" ht="15.75" customHeight="1">
      <c r="B1033" s="25" t="n"/>
      <c r="C1033" s="25" t="n"/>
    </row>
    <row r="1034" ht="15.75" customHeight="1">
      <c r="B1034" s="25" t="n"/>
      <c r="C1034" s="25" t="n"/>
    </row>
  </sheetData>
  <dataValidations count="1">
    <dataValidation sqref="B2:O21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selection activeCell="A1" sqref="A1"/>
    </sheetView>
  </sheetViews>
  <sheetFormatPr baseColWidth="8" defaultRowHeight="15"/>
  <sheetData>
    <row r="1">
      <c r="A1" s="61" t="inlineStr">
        <is>
          <t>Players</t>
        </is>
      </c>
      <c r="B1" s="61" t="inlineStr">
        <is>
          <t>AB</t>
        </is>
      </c>
      <c r="C1" s="61" t="inlineStr">
        <is>
          <t>H</t>
        </is>
      </c>
      <c r="D1" s="61" t="inlineStr">
        <is>
          <t>1B</t>
        </is>
      </c>
      <c r="E1" s="61" t="inlineStr">
        <is>
          <t>2B</t>
        </is>
      </c>
      <c r="F1" s="61" t="inlineStr">
        <is>
          <t>3B</t>
        </is>
      </c>
      <c r="G1" s="61" t="inlineStr">
        <is>
          <t>HR</t>
        </is>
      </c>
      <c r="H1" s="61" t="inlineStr">
        <is>
          <t>RBI</t>
        </is>
      </c>
      <c r="I1" s="61" t="inlineStr">
        <is>
          <t>R</t>
        </is>
      </c>
      <c r="J1" s="61" t="inlineStr">
        <is>
          <t>BB</t>
        </is>
      </c>
      <c r="K1" s="61" t="inlineStr">
        <is>
          <t>SO</t>
        </is>
      </c>
      <c r="L1" s="61" t="inlineStr">
        <is>
          <t>Games</t>
        </is>
      </c>
      <c r="M1" s="61" t="inlineStr">
        <is>
          <t>TB</t>
        </is>
      </c>
      <c r="N1" s="61" t="inlineStr">
        <is>
          <t>AVG</t>
        </is>
      </c>
      <c r="O1" s="61" t="inlineStr">
        <is>
          <t>SLG %</t>
        </is>
      </c>
      <c r="P1" s="61" t="inlineStr">
        <is>
          <t>OBP %</t>
        </is>
      </c>
      <c r="Q1" s="61" t="inlineStr">
        <is>
          <t>OPS %</t>
        </is>
      </c>
      <c r="R1" s="61" t="inlineStr">
        <is>
          <t>RC</t>
        </is>
      </c>
      <c r="S1" s="61" t="inlineStr">
        <is>
          <t>Replacement_RC</t>
        </is>
      </c>
      <c r="T1" s="61" t="inlineStr">
        <is>
          <t>WAR</t>
        </is>
      </c>
    </row>
    <row r="2">
      <c r="A2" t="inlineStr">
        <is>
          <t>Amanda</t>
        </is>
      </c>
      <c r="B2" t="n">
        <v>2</v>
      </c>
      <c r="C2" t="n">
        <v>1</v>
      </c>
      <c r="D2" t="n">
        <v>1</v>
      </c>
      <c r="E2" t="n">
        <v>0</v>
      </c>
      <c r="F2" t="n">
        <v>0</v>
      </c>
      <c r="G2" t="n">
        <v>0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0.5</v>
      </c>
      <c r="O2" t="n">
        <v>0.5</v>
      </c>
      <c r="P2" t="n">
        <v>0.5</v>
      </c>
      <c r="Q2" t="n">
        <v>1</v>
      </c>
      <c r="R2" t="n">
        <v>0.5</v>
      </c>
      <c r="S2" t="n">
        <v>0.3183239323126511</v>
      </c>
      <c r="T2" t="n">
        <v>0.01513967230727908</v>
      </c>
    </row>
    <row r="3">
      <c r="A3" t="inlineStr">
        <is>
          <t>Amanda Fricker</t>
        </is>
      </c>
      <c r="B3" t="n">
        <v>4</v>
      </c>
      <c r="C3" t="n">
        <v>3</v>
      </c>
      <c r="D3" t="n">
        <v>3</v>
      </c>
      <c r="E3" t="n">
        <v>0</v>
      </c>
      <c r="F3" t="n">
        <v>0</v>
      </c>
      <c r="G3" t="n">
        <v>0</v>
      </c>
      <c r="H3" t="n">
        <v>1</v>
      </c>
      <c r="I3" t="n">
        <v>1</v>
      </c>
      <c r="J3" t="n">
        <v>0</v>
      </c>
      <c r="K3" t="n">
        <v>0</v>
      </c>
      <c r="L3" t="n">
        <v>2</v>
      </c>
      <c r="M3" t="n">
        <v>3</v>
      </c>
      <c r="N3" t="n">
        <v>0.75</v>
      </c>
      <c r="O3" t="n">
        <v>0.75</v>
      </c>
      <c r="P3" t="n">
        <v>0.75</v>
      </c>
      <c r="Q3" t="n">
        <v>1.5</v>
      </c>
      <c r="R3" t="n">
        <v>2.25</v>
      </c>
      <c r="S3" t="n">
        <v>0.6366478646253022</v>
      </c>
      <c r="T3" t="n">
        <v>0.1344460112812248</v>
      </c>
    </row>
    <row r="4">
      <c r="A4" t="inlineStr">
        <is>
          <t>Anthony Rizzo</t>
        </is>
      </c>
      <c r="B4" t="n">
        <v>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0.3183239323126511</v>
      </c>
      <c r="T4" t="n">
        <v>-0.02652699435938759</v>
      </c>
    </row>
    <row r="5">
      <c r="A5" t="inlineStr">
        <is>
          <t>Ayo</t>
        </is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0.1591619661563256</v>
      </c>
      <c r="T5" t="n">
        <v>-0.0132634971796938</v>
      </c>
    </row>
    <row r="6">
      <c r="A6" t="inlineStr">
        <is>
          <t>Chris C</t>
        </is>
      </c>
      <c r="B6" t="n">
        <v>3</v>
      </c>
      <c r="C6" t="n">
        <v>1</v>
      </c>
      <c r="D6" t="n">
        <v>0</v>
      </c>
      <c r="E6" t="n">
        <v>0</v>
      </c>
      <c r="F6" t="n">
        <v>1</v>
      </c>
      <c r="G6" t="n">
        <v>0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3</v>
      </c>
      <c r="N6" t="n">
        <v>0.333</v>
      </c>
      <c r="O6" t="n">
        <v>1</v>
      </c>
      <c r="P6" t="n">
        <v>0.333</v>
      </c>
      <c r="Q6" t="n">
        <v>1.333</v>
      </c>
      <c r="R6" t="n">
        <v>1</v>
      </c>
      <c r="S6" t="n">
        <v>0.4774858984689767</v>
      </c>
      <c r="T6" t="n">
        <v>0.04354284179425194</v>
      </c>
    </row>
    <row r="7">
      <c r="A7" t="inlineStr">
        <is>
          <t>Chris Carbone</t>
        </is>
      </c>
      <c r="B7" t="n">
        <v>12</v>
      </c>
      <c r="C7" t="n">
        <v>6</v>
      </c>
      <c r="D7" t="n">
        <v>5</v>
      </c>
      <c r="E7" t="n">
        <v>1</v>
      </c>
      <c r="F7" t="n">
        <v>0</v>
      </c>
      <c r="G7" t="n">
        <v>0</v>
      </c>
      <c r="H7" t="n">
        <v>3</v>
      </c>
      <c r="I7" t="n">
        <v>2</v>
      </c>
      <c r="J7" t="n">
        <v>0</v>
      </c>
      <c r="K7" t="n">
        <v>0</v>
      </c>
      <c r="L7" t="n">
        <v>5</v>
      </c>
      <c r="M7" t="n">
        <v>7</v>
      </c>
      <c r="N7" t="n">
        <v>0.5</v>
      </c>
      <c r="O7" t="n">
        <v>0.583</v>
      </c>
      <c r="P7" t="n">
        <v>0.5</v>
      </c>
      <c r="Q7" t="n">
        <v>1.083</v>
      </c>
      <c r="R7" t="n">
        <v>3.5</v>
      </c>
      <c r="S7" t="n">
        <v>1.909943593875907</v>
      </c>
      <c r="T7" t="n">
        <v>0.1325047005103411</v>
      </c>
    </row>
    <row r="8">
      <c r="A8" t="inlineStr">
        <is>
          <t>Chris Holloway</t>
        </is>
      </c>
      <c r="B8" t="n">
        <v>5</v>
      </c>
      <c r="C8" t="n">
        <v>3</v>
      </c>
      <c r="D8" t="n">
        <v>2</v>
      </c>
      <c r="E8" t="n">
        <v>1</v>
      </c>
      <c r="F8" t="n">
        <v>0</v>
      </c>
      <c r="G8" t="n">
        <v>0</v>
      </c>
      <c r="H8" t="n">
        <v>4</v>
      </c>
      <c r="I8" t="n">
        <v>2</v>
      </c>
      <c r="J8" t="n">
        <v>0</v>
      </c>
      <c r="K8" t="n">
        <v>0</v>
      </c>
      <c r="L8" t="n">
        <v>2</v>
      </c>
      <c r="M8" t="n">
        <v>4</v>
      </c>
      <c r="N8" t="n">
        <v>0.6</v>
      </c>
      <c r="O8" t="n">
        <v>0.8</v>
      </c>
      <c r="P8" t="n">
        <v>0.6</v>
      </c>
      <c r="Q8" t="n">
        <v>1.4</v>
      </c>
      <c r="R8" t="n">
        <v>2.4</v>
      </c>
      <c r="S8" t="n">
        <v>0.7958098307816277</v>
      </c>
      <c r="T8" t="n">
        <v>0.1336825141015311</v>
      </c>
    </row>
    <row r="9">
      <c r="A9" t="inlineStr">
        <is>
          <t>Colman</t>
        </is>
      </c>
      <c r="B9" t="n">
        <v>3</v>
      </c>
      <c r="C9" t="n">
        <v>3</v>
      </c>
      <c r="D9" t="n">
        <v>2</v>
      </c>
      <c r="E9" t="n">
        <v>0</v>
      </c>
      <c r="F9" t="n">
        <v>1</v>
      </c>
      <c r="G9" t="n">
        <v>0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5</v>
      </c>
      <c r="N9" t="n">
        <v>1</v>
      </c>
      <c r="O9" t="n">
        <v>1.667</v>
      </c>
      <c r="P9" t="n">
        <v>1</v>
      </c>
      <c r="Q9" t="n">
        <v>2.667</v>
      </c>
      <c r="R9" t="n">
        <v>5</v>
      </c>
      <c r="S9" t="n">
        <v>0.4774858984689767</v>
      </c>
      <c r="T9" t="n">
        <v>0.3768761751275853</v>
      </c>
    </row>
    <row r="10">
      <c r="A10" t="inlineStr">
        <is>
          <t>Colman Closser</t>
        </is>
      </c>
      <c r="B10" t="n">
        <v>12</v>
      </c>
      <c r="C10" t="n">
        <v>8</v>
      </c>
      <c r="D10" t="n">
        <v>6</v>
      </c>
      <c r="E10" t="n">
        <v>1</v>
      </c>
      <c r="F10" t="n">
        <v>0</v>
      </c>
      <c r="G10" t="n">
        <v>1</v>
      </c>
      <c r="H10" t="n">
        <v>6</v>
      </c>
      <c r="I10" t="n">
        <v>5</v>
      </c>
      <c r="J10" t="n">
        <v>0</v>
      </c>
      <c r="K10" t="n">
        <v>0</v>
      </c>
      <c r="L10" t="n">
        <v>3</v>
      </c>
      <c r="M10" t="n">
        <v>12</v>
      </c>
      <c r="N10" t="n">
        <v>0.667</v>
      </c>
      <c r="O10" t="n">
        <v>1</v>
      </c>
      <c r="P10" t="n">
        <v>0.667</v>
      </c>
      <c r="Q10" t="n">
        <v>1.667</v>
      </c>
      <c r="R10" t="n">
        <v>8</v>
      </c>
      <c r="S10" t="n">
        <v>1.909943593875907</v>
      </c>
      <c r="T10" t="n">
        <v>0.5075047005103411</v>
      </c>
    </row>
    <row r="11">
      <c r="A11" t="inlineStr">
        <is>
          <t>Daniel</t>
        </is>
      </c>
      <c r="B11" t="n">
        <v>2</v>
      </c>
      <c r="C11" t="n">
        <v>1</v>
      </c>
      <c r="D11" t="n">
        <v>1</v>
      </c>
      <c r="E11" t="n">
        <v>0</v>
      </c>
      <c r="F11" t="n">
        <v>0</v>
      </c>
      <c r="G11" t="n">
        <v>0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1</v>
      </c>
      <c r="N11" t="n">
        <v>0.5</v>
      </c>
      <c r="O11" t="n">
        <v>0.5</v>
      </c>
      <c r="P11" t="n">
        <v>0.5</v>
      </c>
      <c r="Q11" t="n">
        <v>1</v>
      </c>
      <c r="R11" t="n">
        <v>0.5</v>
      </c>
      <c r="S11" t="n">
        <v>0.3183239323126511</v>
      </c>
      <c r="T11" t="n">
        <v>0.01513967230727908</v>
      </c>
    </row>
    <row r="12">
      <c r="A12" t="inlineStr">
        <is>
          <t>Daniel Hassel</t>
        </is>
      </c>
      <c r="B12" t="n">
        <v>19</v>
      </c>
      <c r="C12" t="n">
        <v>16</v>
      </c>
      <c r="D12" t="n">
        <v>13</v>
      </c>
      <c r="E12" t="n">
        <v>3</v>
      </c>
      <c r="F12" t="n">
        <v>0</v>
      </c>
      <c r="G12" t="n">
        <v>0</v>
      </c>
      <c r="H12" t="n">
        <v>7</v>
      </c>
      <c r="I12" t="n">
        <v>9</v>
      </c>
      <c r="J12" t="n">
        <v>0</v>
      </c>
      <c r="K12" t="n">
        <v>0</v>
      </c>
      <c r="L12" t="n">
        <v>6</v>
      </c>
      <c r="M12" t="n">
        <v>19</v>
      </c>
      <c r="N12" t="n">
        <v>0.842</v>
      </c>
      <c r="O12" t="n">
        <v>1</v>
      </c>
      <c r="P12" t="n">
        <v>0.842</v>
      </c>
      <c r="Q12" t="n">
        <v>1.842</v>
      </c>
      <c r="R12" t="n">
        <v>16</v>
      </c>
      <c r="S12" t="n">
        <v>3.024077356970186</v>
      </c>
      <c r="T12" t="n">
        <v>1.081326886919151</v>
      </c>
    </row>
    <row r="13">
      <c r="A13" t="inlineStr">
        <is>
          <t>Dave Koiton</t>
        </is>
      </c>
      <c r="B13" t="n">
        <v>2</v>
      </c>
      <c r="C13" t="n">
        <v>1</v>
      </c>
      <c r="D13" t="n">
        <v>1</v>
      </c>
      <c r="E13" t="n">
        <v>0</v>
      </c>
      <c r="F13" t="n">
        <v>0</v>
      </c>
      <c r="G13" t="n">
        <v>0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0.5</v>
      </c>
      <c r="O13" t="n">
        <v>0.5</v>
      </c>
      <c r="P13" t="n">
        <v>0.5</v>
      </c>
      <c r="Q13" t="n">
        <v>1</v>
      </c>
      <c r="R13" t="n">
        <v>0.5</v>
      </c>
      <c r="S13" t="n">
        <v>0.3183239323126511</v>
      </c>
      <c r="T13" t="n">
        <v>0.01513967230727908</v>
      </c>
    </row>
    <row r="14">
      <c r="A14" t="inlineStr">
        <is>
          <t>Eli</t>
        </is>
      </c>
      <c r="B14" t="n">
        <v>3</v>
      </c>
      <c r="C14" t="n">
        <v>2</v>
      </c>
      <c r="D14" t="n">
        <v>2</v>
      </c>
      <c r="E14" t="n">
        <v>0</v>
      </c>
      <c r="F14" t="n">
        <v>0</v>
      </c>
      <c r="G14" t="n">
        <v>0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2</v>
      </c>
      <c r="N14" t="n">
        <v>0.667</v>
      </c>
      <c r="O14" t="n">
        <v>0.667</v>
      </c>
      <c r="P14" t="n">
        <v>0.667</v>
      </c>
      <c r="Q14" t="n">
        <v>1.333</v>
      </c>
      <c r="R14" t="n">
        <v>1.333</v>
      </c>
      <c r="S14" t="n">
        <v>0.4774858984689767</v>
      </c>
      <c r="T14" t="n">
        <v>0.07132061957202972</v>
      </c>
    </row>
    <row r="15">
      <c r="A15" t="inlineStr">
        <is>
          <t>Eli Brinker</t>
        </is>
      </c>
      <c r="B15" t="n">
        <v>2</v>
      </c>
      <c r="C15" t="n">
        <v>1</v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1</v>
      </c>
      <c r="N15" t="n">
        <v>0.5</v>
      </c>
      <c r="O15" t="n">
        <v>0.5</v>
      </c>
      <c r="P15" t="n">
        <v>0.5</v>
      </c>
      <c r="Q15" t="n">
        <v>1</v>
      </c>
      <c r="R15" t="n">
        <v>0.5</v>
      </c>
      <c r="S15" t="n">
        <v>0.3183239323126511</v>
      </c>
      <c r="T15" t="n">
        <v>0.01513967230727908</v>
      </c>
    </row>
    <row r="16">
      <c r="A16" t="inlineStr">
        <is>
          <t>Emma Moroski</t>
        </is>
      </c>
      <c r="B16" t="n">
        <v>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0.1591619661563256</v>
      </c>
      <c r="T16" t="n">
        <v>-0.0132634971796938</v>
      </c>
    </row>
    <row r="17">
      <c r="A17" t="inlineStr">
        <is>
          <t>Haley Zuritsky</t>
        </is>
      </c>
      <c r="B17" t="n">
        <v>3</v>
      </c>
      <c r="C17" t="n">
        <v>1</v>
      </c>
      <c r="D17" t="n">
        <v>0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</v>
      </c>
      <c r="M17" t="n">
        <v>2</v>
      </c>
      <c r="N17" t="n">
        <v>0.333</v>
      </c>
      <c r="O17" t="n">
        <v>0.667</v>
      </c>
      <c r="P17" t="n">
        <v>0.333</v>
      </c>
      <c r="Q17" t="n">
        <v>1</v>
      </c>
      <c r="R17" t="n">
        <v>0.667</v>
      </c>
      <c r="S17" t="n">
        <v>0.4774858984689767</v>
      </c>
      <c r="T17" t="n">
        <v>0.01576506401647416</v>
      </c>
    </row>
    <row r="18">
      <c r="A18" t="inlineStr">
        <is>
          <t>Hannah</t>
        </is>
      </c>
      <c r="B18" t="n">
        <v>2</v>
      </c>
      <c r="C18" t="n">
        <v>1</v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1</v>
      </c>
      <c r="N18" t="n">
        <v>0.5</v>
      </c>
      <c r="O18" t="n">
        <v>0.5</v>
      </c>
      <c r="P18" t="n">
        <v>0.5</v>
      </c>
      <c r="Q18" t="n">
        <v>1</v>
      </c>
      <c r="R18" t="n">
        <v>0.5</v>
      </c>
      <c r="S18" t="n">
        <v>0.3183239323126511</v>
      </c>
      <c r="T18" t="n">
        <v>0.01513967230727908</v>
      </c>
    </row>
    <row r="19">
      <c r="A19" t="inlineStr">
        <is>
          <t>Hannah Miller</t>
        </is>
      </c>
      <c r="B19" t="n">
        <v>20</v>
      </c>
      <c r="C19" t="n">
        <v>8</v>
      </c>
      <c r="D19" t="n">
        <v>8</v>
      </c>
      <c r="E19" t="n">
        <v>0</v>
      </c>
      <c r="F19" t="n">
        <v>0</v>
      </c>
      <c r="G19" t="n">
        <v>0</v>
      </c>
      <c r="H19" t="n">
        <v>3</v>
      </c>
      <c r="I19" t="n">
        <v>6</v>
      </c>
      <c r="J19" t="n">
        <v>0</v>
      </c>
      <c r="K19" t="n">
        <v>0</v>
      </c>
      <c r="L19" t="n">
        <v>6</v>
      </c>
      <c r="M19" t="n">
        <v>8</v>
      </c>
      <c r="N19" t="n">
        <v>0.4</v>
      </c>
      <c r="O19" t="n">
        <v>0.4</v>
      </c>
      <c r="P19" t="n">
        <v>0.4</v>
      </c>
      <c r="Q19" t="n">
        <v>0.8</v>
      </c>
      <c r="R19" t="n">
        <v>3.2</v>
      </c>
      <c r="S19" t="n">
        <v>3.183239323126511</v>
      </c>
      <c r="T19" t="n">
        <v>0.00139672307279078</v>
      </c>
    </row>
    <row r="20">
      <c r="A20" t="inlineStr">
        <is>
          <t>James Dunbar</t>
        </is>
      </c>
      <c r="B20" t="n">
        <v>11</v>
      </c>
      <c r="C20" t="n">
        <v>8</v>
      </c>
      <c r="D20" t="n">
        <v>5</v>
      </c>
      <c r="E20" t="n">
        <v>3</v>
      </c>
      <c r="F20" t="n">
        <v>0</v>
      </c>
      <c r="G20" t="n">
        <v>0</v>
      </c>
      <c r="H20" t="n">
        <v>5</v>
      </c>
      <c r="I20" t="n">
        <v>2</v>
      </c>
      <c r="J20" t="n">
        <v>0</v>
      </c>
      <c r="K20" t="n">
        <v>0</v>
      </c>
      <c r="L20" t="n">
        <v>4</v>
      </c>
      <c r="M20" t="n">
        <v>11</v>
      </c>
      <c r="N20" t="n">
        <v>0.727</v>
      </c>
      <c r="O20" t="n">
        <v>1</v>
      </c>
      <c r="P20" t="n">
        <v>0.727</v>
      </c>
      <c r="Q20" t="n">
        <v>1.727</v>
      </c>
      <c r="R20" t="n">
        <v>8</v>
      </c>
      <c r="S20" t="n">
        <v>1.750781627719581</v>
      </c>
      <c r="T20" t="n">
        <v>0.5207681976900349</v>
      </c>
    </row>
    <row r="21">
      <c r="A21" t="inlineStr">
        <is>
          <t>Kaleigh Ewing</t>
        </is>
      </c>
      <c r="B21" t="n">
        <v>8</v>
      </c>
      <c r="C21" t="n">
        <v>1</v>
      </c>
      <c r="D21" t="n">
        <v>1</v>
      </c>
      <c r="E21" t="n">
        <v>0</v>
      </c>
      <c r="F21" t="n">
        <v>0</v>
      </c>
      <c r="G21" t="n">
        <v>0</v>
      </c>
      <c r="H21" t="n">
        <v>2</v>
      </c>
      <c r="I21" t="n">
        <v>2</v>
      </c>
      <c r="J21" t="n">
        <v>0</v>
      </c>
      <c r="K21" t="n">
        <v>0</v>
      </c>
      <c r="L21" t="n">
        <v>2</v>
      </c>
      <c r="M21" t="n">
        <v>1</v>
      </c>
      <c r="N21" t="n">
        <v>0.125</v>
      </c>
      <c r="O21" t="n">
        <v>0.125</v>
      </c>
      <c r="P21" t="n">
        <v>0.125</v>
      </c>
      <c r="Q21" t="n">
        <v>0.25</v>
      </c>
      <c r="R21" t="n">
        <v>0.125</v>
      </c>
      <c r="S21" t="n">
        <v>1.273295729250604</v>
      </c>
      <c r="T21" t="n">
        <v>-0.09569131077088371</v>
      </c>
    </row>
    <row r="22">
      <c r="A22" t="inlineStr">
        <is>
          <t>Kayleigh</t>
        </is>
      </c>
      <c r="B22" t="n">
        <v>2</v>
      </c>
      <c r="C22" t="n">
        <v>1</v>
      </c>
      <c r="D22" t="n">
        <v>1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0.5</v>
      </c>
      <c r="O22" t="n">
        <v>0.5</v>
      </c>
      <c r="P22" t="n">
        <v>0.5</v>
      </c>
      <c r="Q22" t="n">
        <v>1</v>
      </c>
      <c r="R22" t="n">
        <v>0.5</v>
      </c>
      <c r="S22" t="n">
        <v>0.3183239323126511</v>
      </c>
      <c r="T22" t="n">
        <v>0.01513967230727908</v>
      </c>
    </row>
    <row r="23">
      <c r="A23" t="inlineStr">
        <is>
          <t>Louie</t>
        </is>
      </c>
      <c r="B23" t="n">
        <v>23</v>
      </c>
      <c r="C23" t="n">
        <v>16</v>
      </c>
      <c r="D23" t="n">
        <v>13</v>
      </c>
      <c r="E23" t="n">
        <v>2</v>
      </c>
      <c r="F23" t="n">
        <v>1</v>
      </c>
      <c r="G23" t="n">
        <v>0</v>
      </c>
      <c r="H23" t="n">
        <v>3</v>
      </c>
      <c r="I23" t="n">
        <v>13</v>
      </c>
      <c r="J23" t="n">
        <v>0</v>
      </c>
      <c r="K23" t="n">
        <v>0</v>
      </c>
      <c r="L23" t="n">
        <v>7</v>
      </c>
      <c r="M23" t="n">
        <v>20</v>
      </c>
      <c r="N23" t="n">
        <v>0.696</v>
      </c>
      <c r="O23" t="n">
        <v>0.87</v>
      </c>
      <c r="P23" t="n">
        <v>0.696</v>
      </c>
      <c r="Q23" t="n">
        <v>1.565</v>
      </c>
      <c r="R23" t="n">
        <v>13.913</v>
      </c>
      <c r="S23" t="n">
        <v>3.660725221595488</v>
      </c>
      <c r="T23" t="n">
        <v>0.8543598547221151</v>
      </c>
    </row>
    <row r="24">
      <c r="A24" t="inlineStr">
        <is>
          <t>Mark</t>
        </is>
      </c>
      <c r="B24" t="n">
        <v>2</v>
      </c>
      <c r="C24" t="n">
        <v>2</v>
      </c>
      <c r="D24" t="n">
        <v>2</v>
      </c>
      <c r="E24" t="n">
        <v>0</v>
      </c>
      <c r="F24" t="n">
        <v>0</v>
      </c>
      <c r="G24" t="n">
        <v>0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2</v>
      </c>
      <c r="N24" t="n">
        <v>1</v>
      </c>
      <c r="O24" t="n">
        <v>1</v>
      </c>
      <c r="P24" t="n">
        <v>1</v>
      </c>
      <c r="Q24" t="n">
        <v>2</v>
      </c>
      <c r="R24" t="n">
        <v>2</v>
      </c>
      <c r="S24" t="n">
        <v>0.3183239323126511</v>
      </c>
      <c r="T24" t="n">
        <v>0.1401396723072791</v>
      </c>
    </row>
    <row r="25">
      <c r="A25" t="inlineStr">
        <is>
          <t>Mark McWilliams</t>
        </is>
      </c>
      <c r="B25" t="n">
        <v>9</v>
      </c>
      <c r="C25" t="n">
        <v>7</v>
      </c>
      <c r="D25" t="n">
        <v>7</v>
      </c>
      <c r="E25" t="n">
        <v>0</v>
      </c>
      <c r="F25" t="n">
        <v>0</v>
      </c>
      <c r="G25" t="n">
        <v>0</v>
      </c>
      <c r="H25" t="n">
        <v>2</v>
      </c>
      <c r="I25" t="n">
        <v>4</v>
      </c>
      <c r="J25" t="n">
        <v>0</v>
      </c>
      <c r="K25" t="n">
        <v>0</v>
      </c>
      <c r="L25" t="n">
        <v>4</v>
      </c>
      <c r="M25" t="n">
        <v>7</v>
      </c>
      <c r="N25" t="n">
        <v>0.778</v>
      </c>
      <c r="O25" t="n">
        <v>0.778</v>
      </c>
      <c r="P25" t="n">
        <v>0.778</v>
      </c>
      <c r="Q25" t="n">
        <v>1.556</v>
      </c>
      <c r="R25" t="n">
        <v>5.444</v>
      </c>
      <c r="S25" t="n">
        <v>1.43245769540693</v>
      </c>
      <c r="T25" t="n">
        <v>0.3343322290864596</v>
      </c>
    </row>
    <row r="26">
      <c r="A26" t="inlineStr">
        <is>
          <t>Michael Ferraioli</t>
        </is>
      </c>
      <c r="B26" t="n">
        <v>3</v>
      </c>
      <c r="C26" t="n">
        <v>2</v>
      </c>
      <c r="D26" t="n">
        <v>1</v>
      </c>
      <c r="E26" t="n">
        <v>1</v>
      </c>
      <c r="F26" t="n">
        <v>0</v>
      </c>
      <c r="G26" t="n">
        <v>0</v>
      </c>
      <c r="H26" t="n">
        <v>3</v>
      </c>
      <c r="I26" t="n">
        <v>1</v>
      </c>
      <c r="J26" t="n">
        <v>0</v>
      </c>
      <c r="K26" t="n">
        <v>0</v>
      </c>
      <c r="L26" t="n">
        <v>2</v>
      </c>
      <c r="M26" t="n">
        <v>3</v>
      </c>
      <c r="N26" t="n">
        <v>0.667</v>
      </c>
      <c r="O26" t="n">
        <v>1</v>
      </c>
      <c r="P26" t="n">
        <v>0.667</v>
      </c>
      <c r="Q26" t="n">
        <v>1.667</v>
      </c>
      <c r="R26" t="n">
        <v>2</v>
      </c>
      <c r="S26" t="n">
        <v>0.4774858984689767</v>
      </c>
      <c r="T26" t="n">
        <v>0.1268761751275853</v>
      </c>
    </row>
    <row r="27">
      <c r="A27" t="inlineStr">
        <is>
          <t>Mike Moroski</t>
        </is>
      </c>
      <c r="B27" t="n">
        <v>16</v>
      </c>
      <c r="C27" t="n">
        <v>7</v>
      </c>
      <c r="D27" t="n">
        <v>4</v>
      </c>
      <c r="E27" t="n">
        <v>3</v>
      </c>
      <c r="F27" t="n">
        <v>0</v>
      </c>
      <c r="G27" t="n">
        <v>0</v>
      </c>
      <c r="H27" t="n">
        <v>6</v>
      </c>
      <c r="I27" t="n">
        <v>4</v>
      </c>
      <c r="J27" t="n">
        <v>0</v>
      </c>
      <c r="K27" t="n">
        <v>0</v>
      </c>
      <c r="L27" t="n">
        <v>6</v>
      </c>
      <c r="M27" t="n">
        <v>10</v>
      </c>
      <c r="N27" t="n">
        <v>0.438</v>
      </c>
      <c r="O27" t="n">
        <v>0.625</v>
      </c>
      <c r="P27" t="n">
        <v>0.438</v>
      </c>
      <c r="Q27" t="n">
        <v>1.062</v>
      </c>
      <c r="R27" t="n">
        <v>4.375</v>
      </c>
      <c r="S27" t="n">
        <v>2.546591458501209</v>
      </c>
      <c r="T27" t="n">
        <v>0.1523673784582326</v>
      </c>
    </row>
    <row r="28">
      <c r="A28" t="inlineStr">
        <is>
          <t>Mike Pawlowski</t>
        </is>
      </c>
      <c r="B28" t="n">
        <v>8</v>
      </c>
      <c r="C28" t="n">
        <v>5</v>
      </c>
      <c r="D28" t="n">
        <v>4</v>
      </c>
      <c r="E28" t="n">
        <v>1</v>
      </c>
      <c r="F28" t="n">
        <v>0</v>
      </c>
      <c r="G28" t="n">
        <v>0</v>
      </c>
      <c r="H28" t="n">
        <v>2</v>
      </c>
      <c r="I28" t="n">
        <v>2</v>
      </c>
      <c r="J28" t="n">
        <v>0</v>
      </c>
      <c r="K28" t="n">
        <v>0</v>
      </c>
      <c r="L28" t="n">
        <v>4</v>
      </c>
      <c r="M28" t="n">
        <v>6</v>
      </c>
      <c r="N28" t="n">
        <v>0.625</v>
      </c>
      <c r="O28" t="n">
        <v>0.75</v>
      </c>
      <c r="P28" t="n">
        <v>0.625</v>
      </c>
      <c r="Q28" t="n">
        <v>1.375</v>
      </c>
      <c r="R28" t="n">
        <v>3.75</v>
      </c>
      <c r="S28" t="n">
        <v>1.273295729250604</v>
      </c>
      <c r="T28" t="n">
        <v>0.2063920225624496</v>
      </c>
    </row>
    <row r="29">
      <c r="A29" t="inlineStr">
        <is>
          <t>Nikola Loncar</t>
        </is>
      </c>
      <c r="B29" t="n">
        <v>10</v>
      </c>
      <c r="C29" t="n">
        <v>9</v>
      </c>
      <c r="D29" t="n">
        <v>8</v>
      </c>
      <c r="E29" t="n">
        <v>1</v>
      </c>
      <c r="F29" t="n">
        <v>0</v>
      </c>
      <c r="G29" t="n">
        <v>0</v>
      </c>
      <c r="H29" t="n">
        <v>7</v>
      </c>
      <c r="I29" t="n">
        <v>6</v>
      </c>
      <c r="J29" t="n">
        <v>0</v>
      </c>
      <c r="K29" t="n">
        <v>0</v>
      </c>
      <c r="L29" t="n">
        <v>4</v>
      </c>
      <c r="M29" t="n">
        <v>10</v>
      </c>
      <c r="N29" t="n">
        <v>0.9</v>
      </c>
      <c r="O29" t="n">
        <v>1</v>
      </c>
      <c r="P29" t="n">
        <v>0.9</v>
      </c>
      <c r="Q29" t="n">
        <v>1.9</v>
      </c>
      <c r="R29" t="n">
        <v>9</v>
      </c>
      <c r="S29" t="n">
        <v>1.591619661563255</v>
      </c>
      <c r="T29" t="n">
        <v>0.617365028203062</v>
      </c>
    </row>
    <row r="30">
      <c r="A30" t="inlineStr">
        <is>
          <t>PJ</t>
        </is>
      </c>
      <c r="B30" t="n">
        <v>3</v>
      </c>
      <c r="C30" t="n">
        <v>2</v>
      </c>
      <c r="D30" t="n">
        <v>2</v>
      </c>
      <c r="E30" t="n">
        <v>0</v>
      </c>
      <c r="F30" t="n">
        <v>0</v>
      </c>
      <c r="G30" t="n">
        <v>0</v>
      </c>
      <c r="H30" t="n">
        <v>2</v>
      </c>
      <c r="I30" t="n">
        <v>1</v>
      </c>
      <c r="J30" t="n">
        <v>0</v>
      </c>
      <c r="K30" t="n">
        <v>0</v>
      </c>
      <c r="L30" t="n">
        <v>1</v>
      </c>
      <c r="M30" t="n">
        <v>2</v>
      </c>
      <c r="N30" t="n">
        <v>0.667</v>
      </c>
      <c r="O30" t="n">
        <v>0.667</v>
      </c>
      <c r="P30" t="n">
        <v>0.667</v>
      </c>
      <c r="Q30" t="n">
        <v>1.333</v>
      </c>
      <c r="R30" t="n">
        <v>1.333</v>
      </c>
      <c r="S30" t="n">
        <v>0.4774858984689767</v>
      </c>
      <c r="T30" t="n">
        <v>0.07132061957202972</v>
      </c>
    </row>
    <row r="31">
      <c r="A31" t="inlineStr">
        <is>
          <t>PJ Vorgic</t>
        </is>
      </c>
      <c r="B31" t="n">
        <v>20</v>
      </c>
      <c r="C31" t="n">
        <v>12</v>
      </c>
      <c r="D31" t="n">
        <v>9</v>
      </c>
      <c r="E31" t="n">
        <v>1</v>
      </c>
      <c r="F31" t="n">
        <v>1</v>
      </c>
      <c r="G31" t="n">
        <v>1</v>
      </c>
      <c r="H31" t="n">
        <v>12</v>
      </c>
      <c r="I31" t="n">
        <v>8</v>
      </c>
      <c r="J31" t="n">
        <v>0</v>
      </c>
      <c r="K31" t="n">
        <v>0</v>
      </c>
      <c r="L31" t="n">
        <v>6</v>
      </c>
      <c r="M31" t="n">
        <v>18</v>
      </c>
      <c r="N31" t="n">
        <v>0.6</v>
      </c>
      <c r="O31" t="n">
        <v>0.9</v>
      </c>
      <c r="P31" t="n">
        <v>0.6</v>
      </c>
      <c r="Q31" t="n">
        <v>1.5</v>
      </c>
      <c r="R31" t="n">
        <v>10.8</v>
      </c>
      <c r="S31" t="n">
        <v>3.183239323126511</v>
      </c>
      <c r="T31" t="n">
        <v>0.6347300564061241</v>
      </c>
    </row>
    <row r="32">
      <c r="A32" t="inlineStr">
        <is>
          <t>Pennoni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</row>
    <row r="33">
      <c r="A33" t="inlineStr">
        <is>
          <t>Phil</t>
        </is>
      </c>
      <c r="B33" t="n">
        <v>2</v>
      </c>
      <c r="C33" t="n">
        <v>2</v>
      </c>
      <c r="D33" t="n">
        <v>0</v>
      </c>
      <c r="E33" t="n">
        <v>0</v>
      </c>
      <c r="F33" t="n">
        <v>1</v>
      </c>
      <c r="G33" t="n">
        <v>1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7</v>
      </c>
      <c r="N33" t="n">
        <v>1</v>
      </c>
      <c r="O33" t="n">
        <v>3.5</v>
      </c>
      <c r="P33" t="n">
        <v>1</v>
      </c>
      <c r="Q33" t="n">
        <v>4.5</v>
      </c>
      <c r="R33" t="n">
        <v>7</v>
      </c>
      <c r="S33" t="n">
        <v>0.3183239323126511</v>
      </c>
      <c r="T33" t="n">
        <v>0.5568063389739457</v>
      </c>
    </row>
    <row r="34">
      <c r="A34" t="inlineStr">
        <is>
          <t>Phil Matranga</t>
        </is>
      </c>
      <c r="B34" t="n">
        <v>13</v>
      </c>
      <c r="C34" t="n">
        <v>7</v>
      </c>
      <c r="D34" t="n">
        <v>2</v>
      </c>
      <c r="E34" t="n">
        <v>5</v>
      </c>
      <c r="F34" t="n">
        <v>0</v>
      </c>
      <c r="G34" t="n">
        <v>0</v>
      </c>
      <c r="H34" t="n">
        <v>2</v>
      </c>
      <c r="I34" t="n">
        <v>4</v>
      </c>
      <c r="J34" t="n">
        <v>0</v>
      </c>
      <c r="K34" t="n">
        <v>0</v>
      </c>
      <c r="L34" t="n">
        <v>5</v>
      </c>
      <c r="M34" t="n">
        <v>12</v>
      </c>
      <c r="N34" t="n">
        <v>0.538</v>
      </c>
      <c r="O34" t="n">
        <v>0.923</v>
      </c>
      <c r="P34" t="n">
        <v>0.538</v>
      </c>
      <c r="Q34" t="n">
        <v>1.462</v>
      </c>
      <c r="R34" t="n">
        <v>6.462</v>
      </c>
      <c r="S34" t="n">
        <v>2.069105560032232</v>
      </c>
      <c r="T34" t="n">
        <v>0.3660360751255191</v>
      </c>
    </row>
    <row r="35">
      <c r="A35" t="inlineStr">
        <is>
          <t>Riley Davidson</t>
        </is>
      </c>
      <c r="B35" t="n">
        <v>17</v>
      </c>
      <c r="C35" t="n">
        <v>6</v>
      </c>
      <c r="D35" t="n">
        <v>6</v>
      </c>
      <c r="E35" t="n">
        <v>0</v>
      </c>
      <c r="F35" t="n">
        <v>0</v>
      </c>
      <c r="G35" t="n">
        <v>0</v>
      </c>
      <c r="H35" t="n">
        <v>1</v>
      </c>
      <c r="I35" t="n">
        <v>1</v>
      </c>
      <c r="J35" t="n">
        <v>0</v>
      </c>
      <c r="K35" t="n">
        <v>0</v>
      </c>
      <c r="L35" t="n">
        <v>6</v>
      </c>
      <c r="M35" t="n">
        <v>6</v>
      </c>
      <c r="N35" t="n">
        <v>0.353</v>
      </c>
      <c r="O35" t="n">
        <v>0.353</v>
      </c>
      <c r="P35" t="n">
        <v>0.353</v>
      </c>
      <c r="Q35" t="n">
        <v>0.706</v>
      </c>
      <c r="R35" t="n">
        <v>2.118</v>
      </c>
      <c r="S35" t="n">
        <v>2.705753424657535</v>
      </c>
      <c r="T35" t="n">
        <v>-0.04900886381950043</v>
      </c>
    </row>
    <row r="36">
      <c r="A36" t="inlineStr">
        <is>
          <t>Rizzo</t>
        </is>
      </c>
      <c r="B36" t="n">
        <v>2</v>
      </c>
      <c r="C36" t="n">
        <v>1</v>
      </c>
      <c r="D36" t="n">
        <v>1</v>
      </c>
      <c r="E36" t="n">
        <v>0</v>
      </c>
      <c r="F36" t="n">
        <v>0</v>
      </c>
      <c r="G36" t="n">
        <v>0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1</v>
      </c>
      <c r="N36" t="n">
        <v>0.5</v>
      </c>
      <c r="O36" t="n">
        <v>0.5</v>
      </c>
      <c r="P36" t="n">
        <v>0.5</v>
      </c>
      <c r="Q36" t="n">
        <v>1</v>
      </c>
      <c r="R36" t="n">
        <v>0.5</v>
      </c>
      <c r="S36" t="n">
        <v>0.3183239323126511</v>
      </c>
      <c r="T36" t="n">
        <v>0.01513967230727908</v>
      </c>
    </row>
    <row r="37">
      <c r="A37" t="inlineStr">
        <is>
          <t>Rob Gould</t>
        </is>
      </c>
      <c r="B37" t="n">
        <v>3</v>
      </c>
      <c r="C37" t="n">
        <v>2</v>
      </c>
      <c r="D37" t="n">
        <v>2</v>
      </c>
      <c r="E37" t="n">
        <v>0</v>
      </c>
      <c r="F37" t="n">
        <v>0</v>
      </c>
      <c r="G37" t="n">
        <v>0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2</v>
      </c>
      <c r="N37" t="n">
        <v>0.667</v>
      </c>
      <c r="O37" t="n">
        <v>0.667</v>
      </c>
      <c r="P37" t="n">
        <v>0.667</v>
      </c>
      <c r="Q37" t="n">
        <v>1.333</v>
      </c>
      <c r="R37" t="n">
        <v>1.333</v>
      </c>
      <c r="S37" t="n">
        <v>0.4774858984689767</v>
      </c>
      <c r="T37" t="n">
        <v>0.07132061957202972</v>
      </c>
    </row>
    <row r="38">
      <c r="A38" t="inlineStr">
        <is>
          <t>Robbie</t>
        </is>
      </c>
      <c r="B38" t="n">
        <v>2</v>
      </c>
      <c r="C38" t="n">
        <v>2</v>
      </c>
      <c r="D38" t="n">
        <v>1</v>
      </c>
      <c r="E38" t="n">
        <v>1</v>
      </c>
      <c r="F38" t="n">
        <v>0</v>
      </c>
      <c r="G38" t="n">
        <v>0</v>
      </c>
      <c r="H38" t="n">
        <v>1</v>
      </c>
      <c r="I38" t="n">
        <v>2</v>
      </c>
      <c r="J38" t="n">
        <v>0</v>
      </c>
      <c r="K38" t="n">
        <v>0</v>
      </c>
      <c r="L38" t="n">
        <v>1</v>
      </c>
      <c r="M38" t="n">
        <v>3</v>
      </c>
      <c r="N38" t="n">
        <v>1</v>
      </c>
      <c r="O38" t="n">
        <v>1.5</v>
      </c>
      <c r="P38" t="n">
        <v>1</v>
      </c>
      <c r="Q38" t="n">
        <v>2.5</v>
      </c>
      <c r="R38" t="n">
        <v>3</v>
      </c>
      <c r="S38" t="n">
        <v>0.3183239323126511</v>
      </c>
      <c r="T38" t="n">
        <v>0.2234730056406124</v>
      </c>
    </row>
    <row r="39">
      <c r="A39" t="inlineStr">
        <is>
          <t>Robbie Wilson</t>
        </is>
      </c>
      <c r="B39" t="n">
        <v>14</v>
      </c>
      <c r="C39" t="n">
        <v>9</v>
      </c>
      <c r="D39" t="n">
        <v>6</v>
      </c>
      <c r="E39" t="n">
        <v>3</v>
      </c>
      <c r="F39" t="n">
        <v>0</v>
      </c>
      <c r="G39" t="n">
        <v>0</v>
      </c>
      <c r="H39" t="n">
        <v>4</v>
      </c>
      <c r="I39" t="n">
        <v>7</v>
      </c>
      <c r="J39" t="n">
        <v>0</v>
      </c>
      <c r="K39" t="n">
        <v>0</v>
      </c>
      <c r="L39" t="n">
        <v>4</v>
      </c>
      <c r="M39" t="n">
        <v>12</v>
      </c>
      <c r="N39" t="n">
        <v>0.643</v>
      </c>
      <c r="O39" t="n">
        <v>0.857</v>
      </c>
      <c r="P39" t="n">
        <v>0.643</v>
      </c>
      <c r="Q39" t="n">
        <v>1.5</v>
      </c>
      <c r="R39" t="n">
        <v>7.714</v>
      </c>
      <c r="S39" t="n">
        <v>2.228267526188558</v>
      </c>
      <c r="T39" t="n">
        <v>0.4571681823414296</v>
      </c>
    </row>
    <row r="40">
      <c r="A40" t="inlineStr">
        <is>
          <t>Stantec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</row>
    <row r="41">
      <c r="A41" t="inlineStr">
        <is>
          <t>Tom Cardwell</t>
        </is>
      </c>
      <c r="B41" t="n">
        <v>2</v>
      </c>
      <c r="C41" t="n">
        <v>1</v>
      </c>
      <c r="D41" t="n">
        <v>1</v>
      </c>
      <c r="E41" t="n">
        <v>0</v>
      </c>
      <c r="F41" t="n">
        <v>0</v>
      </c>
      <c r="G41" t="n">
        <v>0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0.5</v>
      </c>
      <c r="O41" t="n">
        <v>0.5</v>
      </c>
      <c r="P41" t="n">
        <v>0.5</v>
      </c>
      <c r="Q41" t="n">
        <v>1</v>
      </c>
      <c r="R41" t="n">
        <v>0.5</v>
      </c>
      <c r="S41" t="n">
        <v>0.3183239323126511</v>
      </c>
      <c r="T41" t="n">
        <v>0.01513967230727908</v>
      </c>
    </row>
    <row r="42">
      <c r="A42" t="inlineStr">
        <is>
          <t>Travis D'Onofrio</t>
        </is>
      </c>
      <c r="B42" t="n">
        <v>2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0.3183239323126511</v>
      </c>
      <c r="T42" t="n">
        <v>-0.02652699435938759</v>
      </c>
    </row>
    <row r="43">
      <c r="A43" t="inlineStr">
        <is>
          <t>Zach</t>
        </is>
      </c>
      <c r="B43" t="n">
        <v>2</v>
      </c>
      <c r="C43" t="n">
        <v>2</v>
      </c>
      <c r="D43" t="n">
        <v>2</v>
      </c>
      <c r="E43" t="n">
        <v>0</v>
      </c>
      <c r="F43" t="n">
        <v>0</v>
      </c>
      <c r="G43" t="n">
        <v>0</v>
      </c>
      <c r="H43" t="n">
        <v>2</v>
      </c>
      <c r="I43" t="n">
        <v>1</v>
      </c>
      <c r="J43" t="n">
        <v>0</v>
      </c>
      <c r="K43" t="n">
        <v>0</v>
      </c>
      <c r="L43" t="n">
        <v>1</v>
      </c>
      <c r="M43" t="n">
        <v>2</v>
      </c>
      <c r="N43" t="n">
        <v>1</v>
      </c>
      <c r="O43" t="n">
        <v>1</v>
      </c>
      <c r="P43" t="n">
        <v>1</v>
      </c>
      <c r="Q43" t="n">
        <v>2</v>
      </c>
      <c r="R43" t="n">
        <v>2</v>
      </c>
      <c r="S43" t="n">
        <v>0.3183239323126511</v>
      </c>
      <c r="T43" t="n">
        <v>0.1401396723072791</v>
      </c>
    </row>
    <row r="44">
      <c r="A44" t="inlineStr">
        <is>
          <t>Zach Sparano</t>
        </is>
      </c>
      <c r="B44" t="n">
        <v>8</v>
      </c>
      <c r="C44" t="n">
        <v>4</v>
      </c>
      <c r="D44" t="n">
        <v>3</v>
      </c>
      <c r="E44" t="n">
        <v>1</v>
      </c>
      <c r="F44" t="n">
        <v>1</v>
      </c>
      <c r="G44" t="n">
        <v>0</v>
      </c>
      <c r="H44" t="n">
        <v>3</v>
      </c>
      <c r="I44" t="n">
        <v>1</v>
      </c>
      <c r="J44" t="n">
        <v>0</v>
      </c>
      <c r="K44" t="n">
        <v>0</v>
      </c>
      <c r="L44" t="n">
        <v>3</v>
      </c>
      <c r="M44" t="n">
        <v>8</v>
      </c>
      <c r="N44" t="n">
        <v>0.5</v>
      </c>
      <c r="O44" t="n">
        <v>1</v>
      </c>
      <c r="P44" t="n">
        <v>0.5</v>
      </c>
      <c r="Q44" t="n">
        <v>1.5</v>
      </c>
      <c r="R44" t="n">
        <v>4</v>
      </c>
      <c r="S44" t="n">
        <v>1.273295729250604</v>
      </c>
      <c r="T44" t="n">
        <v>0.227225355895783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2025-08-14T21:13:00Z</dcterms:created>
  <dcterms:modified xmlns:dcterms="http://purl.org/dc/terms/" xmlns:xsi="http://www.w3.org/2001/XMLSchema-instance" xsi:type="dcterms:W3CDTF">2025-08-15T12:16:20Z</dcterms:modified>
  <cp:lastModifiedBy>Louie Rodriguez</cp:lastModifiedBy>
</cp:coreProperties>
</file>