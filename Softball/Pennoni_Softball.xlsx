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OFTBALL"/>
    <sheet r:id="rId2" sheetId="2" name="Game 1"/>
    <sheet r:id="rId3" sheetId="3" name="Game 4"/>
    <sheet r:id="rId4" sheetId="4" name="Game 5"/>
    <sheet r:id="rId5" sheetId="5" name="Game 7"/>
    <sheet r:id="rId6" sheetId="6" name="Game 9"/>
    <sheet r:id="rId7" sheetId="7" name="Game 10"/>
    <sheet r:id="rId8" sheetId="8" name="Game 11"/>
    <sheet r:id="rId9" sheetId="9" name="Master Stats"/>
  </sheets>
  <calcPr fullCalcOnLoad="1"/>
</workbook>
</file>

<file path=xl/sharedStrings.xml><?xml version="1.0" encoding="utf-8"?>
<sst xmlns="http://schemas.openxmlformats.org/spreadsheetml/2006/main" count="345" uniqueCount="73">
  <si>
    <t>Players</t>
  </si>
  <si>
    <t>AB</t>
  </si>
  <si>
    <t>H</t>
  </si>
  <si>
    <t>1B</t>
  </si>
  <si>
    <t>2B</t>
  </si>
  <si>
    <t>3B</t>
  </si>
  <si>
    <t>HR</t>
  </si>
  <si>
    <t>RBI</t>
  </si>
  <si>
    <t>R</t>
  </si>
  <si>
    <t>BB</t>
  </si>
  <si>
    <t>SO</t>
  </si>
  <si>
    <t>Games</t>
  </si>
  <si>
    <t>TB</t>
  </si>
  <si>
    <t>AVG</t>
  </si>
  <si>
    <t>SLG %</t>
  </si>
  <si>
    <t>OBP %</t>
  </si>
  <si>
    <t>OPS %</t>
  </si>
  <si>
    <t>RC</t>
  </si>
  <si>
    <t>Replacement_RC</t>
  </si>
  <si>
    <t>WAR</t>
  </si>
  <si>
    <t>Amanda</t>
  </si>
  <si>
    <t>Amanda Fricker</t>
  </si>
  <si>
    <t>Anthony Rizzo</t>
  </si>
  <si>
    <t>Ayo</t>
  </si>
  <si>
    <t>Chris C</t>
  </si>
  <si>
    <t>Chris Carbone</t>
  </si>
  <si>
    <t>Chris Holloway</t>
  </si>
  <si>
    <t>Colman</t>
  </si>
  <si>
    <t>Colman Closser</t>
  </si>
  <si>
    <t>Daniel</t>
  </si>
  <si>
    <t>Daniel Hassel</t>
  </si>
  <si>
    <t>Dave Koiton</t>
  </si>
  <si>
    <t>Eli</t>
  </si>
  <si>
    <t>Eli Brinker</t>
  </si>
  <si>
    <t>Emma Moroski</t>
  </si>
  <si>
    <t>Haley Zuritsky</t>
  </si>
  <si>
    <t>Hannah</t>
  </si>
  <si>
    <t>Hannah Miller</t>
  </si>
  <si>
    <t>James Dunbar</t>
  </si>
  <si>
    <t>Kaleigh Ewing</t>
  </si>
  <si>
    <t>Kayleigh</t>
  </si>
  <si>
    <t>Louie</t>
  </si>
  <si>
    <t>Mark</t>
  </si>
  <si>
    <t>Mark McWilliams</t>
  </si>
  <si>
    <t>Michael Ferraioli</t>
  </si>
  <si>
    <t>Mike Moroski</t>
  </si>
  <si>
    <t>Mike Pawlowski</t>
  </si>
  <si>
    <t>Nikola Loncar</t>
  </si>
  <si>
    <t>PJ</t>
  </si>
  <si>
    <t>PJ Vorgic</t>
  </si>
  <si>
    <t>Pennoni</t>
  </si>
  <si>
    <t>Phil</t>
  </si>
  <si>
    <t>Phil Matranga</t>
  </si>
  <si>
    <t>Riley Davidson</t>
  </si>
  <si>
    <t>Rizzo</t>
  </si>
  <si>
    <t>Rob Gould</t>
  </si>
  <si>
    <t>Robbie</t>
  </si>
  <si>
    <t>Robbie Wilson</t>
  </si>
  <si>
    <t>Stantec</t>
  </si>
  <si>
    <t>Tom Cardwell</t>
  </si>
  <si>
    <t>Travis D'Onofrio</t>
  </si>
  <si>
    <t>Zach</t>
  </si>
  <si>
    <t>Zach Sparano</t>
  </si>
  <si>
    <t>ABs RISP</t>
  </si>
  <si>
    <t>Hits RISP</t>
  </si>
  <si>
    <t>(BA/RISP)</t>
  </si>
  <si>
    <t>INNING 1</t>
  </si>
  <si>
    <t>A</t>
  </si>
  <si>
    <t>Runs Created</t>
  </si>
  <si>
    <t>Daniel Hassell</t>
  </si>
  <si>
    <t>Louie Rodriguez</t>
  </si>
  <si>
    <t>PJ Vogric</t>
  </si>
  <si>
    <t>Ayo Falae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</si>
</sst>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&quot;Aptos Narrow&quot;"/>
      <family val="2"/>
    </font>
    <font>
      <sz val="10"/>
      <color rgb="FF434343"/>
      <name val="Roboto"/>
      <family val="2"/>
    </font>
  </fonts>
  <fills count="5">
    <fill>
      <patternFill patternType="none"/>
    </fill>
    <fill>
      <patternFill patternType="gray125"/>
    </fill>
    <fill>
      <patternFill patternType="solid">
        <fgColor rgb="FFf6f8f9"/>
      </patternFill>
    </fill>
    <fill>
      <patternFill patternType="solid">
        <fgColor rgb="FFffffff"/>
      </patternFill>
    </fill>
    <fill>
      <patternFill patternType="solid">
        <fgColor rgb="FFffd966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  <border>
      <left style="thin">
        <color rgb="FFffd966"/>
      </left>
      <right style="thin">
        <color rgb="FF284e3f"/>
      </right>
      <top style="thin">
        <color rgb="FFffd966"/>
      </top>
      <bottom style="thin">
        <color rgb="FFffd966"/>
      </bottom>
      <diagonal/>
    </border>
  </borders>
  <cellStyleXfs count="1">
    <xf numFmtId="0" fontId="0" fillId="0" borderId="0"/>
  </cellStyleXfs>
  <cellXfs count="7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3" applyBorder="1" fontId="3" applyFont="1" fillId="0" applyAlignment="1">
      <alignment horizontal="center"/>
    </xf>
    <xf xfId="0" numFmtId="0" borderId="4" applyBorder="1" fontId="3" applyFont="1" fillId="0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0" borderId="5" applyBorder="1" fontId="3" applyFont="1" fillId="0" applyAlignment="1">
      <alignment horizontal="center"/>
    </xf>
    <xf xfId="0" numFmtId="0" borderId="2" applyBorder="1" fontId="4" applyFont="1" fillId="0" applyAlignment="1">
      <alignment horizontal="right"/>
    </xf>
    <xf xfId="0" numFmtId="0" borderId="6" applyBorder="1" fontId="3" applyFont="1" fillId="0" applyAlignment="1">
      <alignment horizontal="left"/>
    </xf>
    <xf xfId="0" numFmtId="164" applyNumberFormat="1" borderId="7" applyBorder="1" fontId="3" applyFont="1" fillId="0" applyAlignment="1">
      <alignment horizontal="center"/>
    </xf>
    <xf xfId="0" numFmtId="3" applyNumberFormat="1" borderId="7" applyBorder="1" fontId="3" applyFont="1" fillId="0" applyAlignment="1">
      <alignment horizontal="center"/>
    </xf>
    <xf xfId="0" numFmtId="164" applyNumberFormat="1" borderId="8" applyBorder="1" fontId="3" applyFont="1" fillId="0" applyAlignment="1">
      <alignment horizontal="center"/>
    </xf>
    <xf xfId="0" numFmtId="0" borderId="9" applyBorder="1" fontId="3" applyFont="1" fillId="0" applyAlignment="1">
      <alignment horizontal="left"/>
    </xf>
    <xf xfId="0" numFmtId="164" applyNumberFormat="1" borderId="10" applyBorder="1" fontId="3" applyFont="1" fillId="0" applyAlignment="1">
      <alignment horizontal="center"/>
    </xf>
    <xf xfId="0" numFmtId="3" applyNumberFormat="1" borderId="10" applyBorder="1" fontId="3" applyFont="1" fillId="0" applyAlignment="1">
      <alignment horizontal="center"/>
    </xf>
    <xf xfId="0" numFmtId="164" applyNumberFormat="1" borderId="11" applyBorder="1" fontId="3" applyFont="1" fillId="0" applyAlignment="1">
      <alignment horizontal="center"/>
    </xf>
    <xf xfId="0" numFmtId="0" borderId="9" applyBorder="1" fontId="5" applyFont="1" fillId="2" applyFill="1" applyAlignment="1">
      <alignment horizontal="left"/>
    </xf>
    <xf xfId="0" numFmtId="0" borderId="12" applyBorder="1" fontId="5" applyFont="1" fillId="2" applyFill="1" applyAlignment="1">
      <alignment horizontal="left"/>
    </xf>
    <xf xfId="0" numFmtId="164" applyNumberFormat="1" borderId="13" applyBorder="1" fontId="3" applyFont="1" fillId="0" applyAlignment="1">
      <alignment horizontal="center"/>
    </xf>
    <xf xfId="0" numFmtId="3" applyNumberFormat="1" borderId="13" applyBorder="1" fontId="3" applyFont="1" fillId="0" applyAlignment="1">
      <alignment horizontal="center"/>
    </xf>
    <xf xfId="0" numFmtId="164" applyNumberFormat="1" borderId="14" applyBorder="1" fontId="3" applyFont="1" fillId="0" applyAlignment="1">
      <alignment horizontal="center"/>
    </xf>
    <xf xfId="0" numFmtId="3" applyNumberFormat="1" borderId="2" applyBorder="1" fontId="4" applyFont="1" fillId="0" applyAlignment="1">
      <alignment horizontal="right"/>
    </xf>
    <xf xfId="0" numFmtId="0" borderId="2" applyBorder="1" fontId="3" applyFont="1" fillId="0" applyAlignment="1">
      <alignment horizontal="center"/>
    </xf>
    <xf xfId="0" numFmtId="3" applyNumberFormat="1" borderId="15" applyBorder="1" fontId="3" applyFont="1" fillId="2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16" applyBorder="1" fontId="3" applyFont="1" fillId="0" applyAlignment="1">
      <alignment horizontal="center"/>
    </xf>
    <xf xfId="0" numFmtId="3" applyNumberFormat="1" borderId="17" applyBorder="1" fontId="3" applyFont="1" fillId="2" applyFill="1" applyAlignment="1">
      <alignment horizontal="center"/>
    </xf>
    <xf xfId="0" numFmtId="0" borderId="2" applyBorder="1" fontId="3" applyFont="1" fillId="0" applyAlignment="1">
      <alignment horizontal="left"/>
    </xf>
    <xf xfId="0" numFmtId="0" borderId="18" applyBorder="1" fontId="3" applyFont="1" fillId="0" applyAlignment="1">
      <alignment horizontal="center"/>
    </xf>
    <xf xfId="0" numFmtId="0" borderId="19" applyBorder="1" fontId="3" applyFont="1" fillId="0" applyAlignment="1">
      <alignment horizontal="center"/>
    </xf>
    <xf xfId="0" numFmtId="3" applyNumberFormat="1" borderId="20" applyBorder="1" fontId="3" applyFont="1" fillId="2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21" applyBorder="1" fontId="3" applyFont="1" fillId="3" applyFill="1" applyAlignment="1">
      <alignment horizontal="center"/>
    </xf>
    <xf xfId="0" numFmtId="3" applyNumberFormat="1" borderId="15" applyBorder="1" fontId="3" applyFont="1" fillId="3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0" borderId="22" applyBorder="1" fontId="3" applyFont="1" fillId="0" applyAlignment="1">
      <alignment horizontal="left"/>
    </xf>
    <xf xfId="0" numFmtId="0" borderId="23" applyBorder="1" fontId="3" applyFont="1" fillId="0" applyAlignment="1">
      <alignment horizontal="left"/>
    </xf>
    <xf xfId="0" numFmtId="164" applyNumberFormat="1" borderId="24" applyBorder="1" fontId="3" applyFont="1" fillId="0" applyAlignment="1">
      <alignment horizontal="center"/>
    </xf>
    <xf xfId="0" numFmtId="3" applyNumberFormat="1" borderId="24" applyBorder="1" fontId="3" applyFont="1" fillId="0" applyAlignment="1">
      <alignment horizontal="center"/>
    </xf>
    <xf xfId="0" numFmtId="164" applyNumberFormat="1" borderId="25" applyBorder="1" fontId="3" applyFont="1" fillId="0" applyAlignment="1">
      <alignment horizontal="center"/>
    </xf>
    <xf xfId="0" numFmtId="0" borderId="12" applyBorder="1" fontId="3" applyFont="1" fillId="0" applyAlignment="1">
      <alignment horizontal="left"/>
    </xf>
    <xf xfId="0" numFmtId="4" applyNumberFormat="1" borderId="4" applyBorder="1" fontId="3" applyFont="1" fillId="0" applyAlignment="1">
      <alignment horizontal="center"/>
    </xf>
    <xf xfId="0" numFmtId="3" applyNumberFormat="1" borderId="5" applyBorder="1" fontId="3" applyFont="1" fillId="0" applyAlignment="1">
      <alignment horizontal="center"/>
    </xf>
    <xf xfId="0" numFmtId="3" applyNumberFormat="1" borderId="26" applyBorder="1" fontId="3" applyFont="1" fillId="4" applyFill="1" applyAlignment="1">
      <alignment horizontal="center"/>
    </xf>
    <xf xfId="0" numFmtId="0" borderId="26" applyBorder="1" fontId="3" applyFont="1" fillId="4" applyFill="1" applyAlignment="1">
      <alignment horizontal="center"/>
    </xf>
    <xf xfId="0" numFmtId="4" applyNumberFormat="1" borderId="26" applyBorder="1" fontId="3" applyFont="1" fillId="4" applyFill="1" applyAlignment="1">
      <alignment horizontal="center"/>
    </xf>
    <xf xfId="0" numFmtId="3" applyNumberFormat="1" borderId="27" applyBorder="1" fontId="3" applyFont="1" fillId="4" applyFill="1" applyAlignment="1">
      <alignment horizontal="center"/>
    </xf>
    <xf xfId="0" numFmtId="0" borderId="10" applyBorder="1" fontId="3" applyFont="1" fillId="0" applyAlignment="1">
      <alignment horizontal="center"/>
    </xf>
    <xf xfId="0" numFmtId="4" applyNumberFormat="1" borderId="10" applyBorder="1" fontId="3" applyFont="1" fillId="0" applyAlignment="1">
      <alignment horizontal="center"/>
    </xf>
    <xf xfId="0" numFmtId="0" borderId="7" applyBorder="1" fontId="3" applyFont="1" fillId="0" applyAlignment="1">
      <alignment horizontal="center"/>
    </xf>
    <xf xfId="0" numFmtId="4" applyNumberFormat="1" borderId="7" applyBorder="1" fontId="3" applyFont="1" fillId="0" applyAlignment="1">
      <alignment horizontal="center"/>
    </xf>
    <xf xfId="0" numFmtId="3" applyNumberFormat="1" borderId="8" applyBorder="1" fontId="3" applyFont="1" fillId="0" applyAlignment="1">
      <alignment horizontal="center"/>
    </xf>
    <xf xfId="0" numFmtId="164" applyNumberFormat="1" borderId="26" applyBorder="1" fontId="3" applyFont="1" fillId="4" applyFill="1" applyAlignment="1">
      <alignment horizontal="center"/>
    </xf>
    <xf xfId="0" numFmtId="3" applyNumberFormat="1" borderId="11" applyBorder="1" fontId="3" applyFont="1" fillId="0" applyAlignment="1">
      <alignment horizontal="center"/>
    </xf>
    <xf xfId="0" numFmtId="164" applyNumberFormat="1" borderId="10" applyBorder="1" fontId="5" applyFont="1" fillId="2" applyFill="1" applyAlignment="1">
      <alignment horizontal="center"/>
    </xf>
    <xf xfId="0" numFmtId="3" applyNumberFormat="1" borderId="10" applyBorder="1" fontId="5" applyFont="1" fillId="2" applyFill="1" applyAlignment="1">
      <alignment horizontal="center"/>
    </xf>
    <xf xfId="0" numFmtId="0" borderId="9" applyBorder="1" fontId="5" applyFont="1" fillId="3" applyFill="1" applyAlignment="1">
      <alignment horizontal="left"/>
    </xf>
    <xf xfId="0" numFmtId="164" applyNumberFormat="1" borderId="10" applyBorder="1" fontId="5" applyFont="1" fillId="3" applyFill="1" applyAlignment="1">
      <alignment horizontal="center"/>
    </xf>
    <xf xfId="0" numFmtId="3" applyNumberFormat="1" borderId="10" applyBorder="1" fontId="5" applyFont="1" fillId="3" applyFill="1" applyAlignment="1">
      <alignment horizontal="center"/>
    </xf>
    <xf xfId="0" numFmtId="0" borderId="6" applyBorder="1" fontId="5" applyFont="1" fillId="2" applyFill="1" applyAlignment="1">
      <alignment horizontal="left"/>
    </xf>
    <xf xfId="0" numFmtId="164" applyNumberFormat="1" borderId="7" applyBorder="1" fontId="5" applyFont="1" fillId="2" applyFill="1" applyAlignment="1">
      <alignment horizontal="center"/>
    </xf>
    <xf xfId="0" numFmtId="3" applyNumberFormat="1" borderId="7" applyBorder="1" fontId="5" applyFont="1" fillId="2" applyFill="1" applyAlignment="1">
      <alignment horizontal="center"/>
    </xf>
    <xf xfId="0" numFmtId="0" borderId="13" applyBorder="1" fontId="3" applyFont="1" fillId="0" applyAlignment="1">
      <alignment horizontal="center"/>
    </xf>
    <xf xfId="0" numFmtId="4" applyNumberFormat="1" borderId="13" applyBorder="1" fontId="3" applyFont="1" fillId="0" applyAlignment="1">
      <alignment horizontal="center"/>
    </xf>
    <xf xfId="0" numFmtId="3" applyNumberFormat="1" borderId="14" applyBorder="1" fontId="3" applyFont="1" fillId="0" applyAlignment="1">
      <alignment horizontal="center"/>
    </xf>
    <xf xfId="0" numFmtId="4" applyNumberFormat="1" borderId="2" applyBorder="1" fontId="3" applyFont="1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ables/table1.xml><?xml version="1.0" encoding="utf-8"?>
<table xmlns="http://schemas.openxmlformats.org/spreadsheetml/2006/main" ref="A1:R21" displayName="Table1_7" name="Table1_7" id="1" totalsRowShown="0">
  <autoFilter ref="A1:R21"/>
  <tableColumns count="18">
    <tableColumn name="Players" id="1"/>
    <tableColumn name="AVG" id="2"/>
    <tableColumn name="AB" id="3"/>
    <tableColumn name="H" id="4"/>
    <tableColumn name="1B" id="5"/>
    <tableColumn name="2B" id="6"/>
    <tableColumn name="3B" id="7"/>
    <tableColumn name="HR" id="8"/>
    <tableColumn name="RBI" id="9"/>
    <tableColumn name="R" id="10"/>
    <tableColumn name="BB" id="11"/>
    <tableColumn name="SO" id="12"/>
    <tableColumn name="SLG %" id="13"/>
    <tableColumn name="OBP %" id="14"/>
    <tableColumn name="OPS %" id="15"/>
    <tableColumn name="ABs RISP" id="16"/>
    <tableColumn name="Hits RISP" id="17"/>
    <tableColumn name="(BA/RISP)" id="18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A1:R11" displayName="Table1_6" name="Table1_6" id="2" totalsRowShown="0">
  <autoFilter ref="A1:R11"/>
  <tableColumns count="18">
    <tableColumn name="Players" id="1"/>
    <tableColumn name="AVG" id="2"/>
    <tableColumn name="AB" id="3"/>
    <tableColumn name="H" id="4"/>
    <tableColumn name="1B" id="5"/>
    <tableColumn name="2B" id="6"/>
    <tableColumn name="3B" id="7"/>
    <tableColumn name="HR" id="8"/>
    <tableColumn name="RBI" id="9"/>
    <tableColumn name="R" id="10"/>
    <tableColumn name="BB" id="11"/>
    <tableColumn name="SO" id="12"/>
    <tableColumn name="SLG %" id="13"/>
    <tableColumn name="OBP %" id="14"/>
    <tableColumn name="OPS %" id="15"/>
    <tableColumn name="ABs RISP" id="16"/>
    <tableColumn name="Hits RISP" id="17"/>
    <tableColumn name="(BA/RISP)" id="18"/>
  </tableColumns>
  <tableStyleInfo name="TableStyleLight1" showColumnStripes="0" showRowStripes="1" showLastColumn="1" showFirstColumn="1"/>
</table>
</file>

<file path=xl/tables/table3.xml><?xml version="1.0" encoding="utf-8"?>
<table xmlns="http://schemas.openxmlformats.org/spreadsheetml/2006/main" ref="A1:R16" displayName="Table1_5" name="Table1_5" id="3" totalsRowShown="0">
  <autoFilter ref="A1:R16"/>
  <tableColumns count="18">
    <tableColumn name="Players" id="1"/>
    <tableColumn name="AVG" id="2"/>
    <tableColumn name="AB" id="3"/>
    <tableColumn name="H" id="4"/>
    <tableColumn name="1B" id="5"/>
    <tableColumn name="2B" id="6"/>
    <tableColumn name="3B" id="7"/>
    <tableColumn name="HR" id="8"/>
    <tableColumn name="RBI" id="9"/>
    <tableColumn name="R" id="10"/>
    <tableColumn name="BB" id="11"/>
    <tableColumn name="SO" id="12"/>
    <tableColumn name="SLG %" id="13"/>
    <tableColumn name="OBP %" id="14"/>
    <tableColumn name="OPS %" id="15"/>
    <tableColumn name="ABs RISP" id="16"/>
    <tableColumn name="Hits RISP" id="17"/>
    <tableColumn name="(BA/RISP)" id="18"/>
  </tableColumns>
  <tableStyleInfo name="TableStyleLight1" showColumnStripes="0" showRowStripes="1" showLastColumn="1" showFirstColumn="1"/>
</table>
</file>

<file path=xl/tables/table4.xml><?xml version="1.0" encoding="utf-8"?>
<table xmlns="http://schemas.openxmlformats.org/spreadsheetml/2006/main" ref="A1:R14" displayName="Table1_4" name="Table1_4" id="4" totalsRowShown="0">
  <autoFilter ref="A1:R14"/>
  <tableColumns count="18">
    <tableColumn name="Players" id="1"/>
    <tableColumn name="AVG" id="2"/>
    <tableColumn name="AB" id="3"/>
    <tableColumn name="H" id="4"/>
    <tableColumn name="1B" id="5"/>
    <tableColumn name="2B" id="6"/>
    <tableColumn name="3B" id="7"/>
    <tableColumn name="HR" id="8"/>
    <tableColumn name="RBI" id="9"/>
    <tableColumn name="R" id="10"/>
    <tableColumn name="BB" id="11"/>
    <tableColumn name="SO" id="12"/>
    <tableColumn name="SLG %" id="13"/>
    <tableColumn name="OBP %" id="14"/>
    <tableColumn name="OPS %" id="15"/>
    <tableColumn name="ABs RISP" id="16"/>
    <tableColumn name="Hits RISP" id="17"/>
    <tableColumn name="(BA/RISP)" id="18"/>
  </tableColumns>
  <tableStyleInfo name="TableStyleLight1" showColumnStripes="0" showRowStripes="1" showLastColumn="1" showFirstColumn="1"/>
</table>
</file>

<file path=xl/tables/table5.xml><?xml version="1.0" encoding="utf-8"?>
<table xmlns="http://schemas.openxmlformats.org/spreadsheetml/2006/main" ref="A1:R16" displayName="Table1" name="Table1" id="5" totalsRowShown="0">
  <autoFilter ref="A1:R16"/>
  <tableColumns count="18">
    <tableColumn name="Players" id="1"/>
    <tableColumn name="AVG" id="2"/>
    <tableColumn name="AB" id="3"/>
    <tableColumn name="H" id="4"/>
    <tableColumn name="1B" id="5"/>
    <tableColumn name="2B" id="6"/>
    <tableColumn name="3B" id="7"/>
    <tableColumn name="HR" id="8"/>
    <tableColumn name="RBI" id="9"/>
    <tableColumn name="R" id="10"/>
    <tableColumn name="BB" id="11"/>
    <tableColumn name="SO" id="12"/>
    <tableColumn name="SLG %" id="13"/>
    <tableColumn name="OBP %" id="14"/>
    <tableColumn name="OPS %" id="15"/>
    <tableColumn name="ABs RISP" id="16"/>
    <tableColumn name="Hits RISP" id="17"/>
    <tableColumn name="(BA/RISP)" id="18"/>
  </tableColumns>
  <tableStyleInfo name="TableStyleLight1" showColumnStripes="0" showRowStripes="1" showLastColumn="1" showFirstColumn="1"/>
</table>
</file>

<file path=xl/tables/table6.xml><?xml version="1.0" encoding="utf-8"?>
<table xmlns="http://schemas.openxmlformats.org/spreadsheetml/2006/main" ref="A1:R17" displayName="Table1_3" name="Table1_3" id="6" totalsRowShown="0">
  <autoFilter ref="A1:R17"/>
  <tableColumns count="18">
    <tableColumn name="Players" id="1"/>
    <tableColumn name="AVG" id="2"/>
    <tableColumn name="AB" id="3"/>
    <tableColumn name="H" id="4"/>
    <tableColumn name="1B" id="5"/>
    <tableColumn name="2B" id="6"/>
    <tableColumn name="3B" id="7"/>
    <tableColumn name="HR" id="8"/>
    <tableColumn name="RBI" id="9"/>
    <tableColumn name="R" id="10"/>
    <tableColumn name="BB" id="11"/>
    <tableColumn name="SO" id="12"/>
    <tableColumn name="SLG %" id="13"/>
    <tableColumn name="OBP %" id="14"/>
    <tableColumn name="OPS %" id="15"/>
    <tableColumn name="ABs RISP" id="16"/>
    <tableColumn name="Hits RISP" id="17"/>
    <tableColumn name="(BA/RISP)" id="18"/>
  </tableColumns>
  <tableStyleInfo name="TableStyleLight1" showColumnStripes="0" showRowStripes="1" showLastColumn="1" showFirstColumn="1"/>
</table>
</file>

<file path=xl/tables/table7.xml><?xml version="1.0" encoding="utf-8"?>
<table xmlns="http://schemas.openxmlformats.org/spreadsheetml/2006/main" ref="A1:R16" displayName="Table1_2" name="Table1_2" id="7" totalsRowShown="0">
  <autoFilter ref="A1:R16"/>
  <tableColumns count="18">
    <tableColumn name="Players" id="1"/>
    <tableColumn name="AVG" id="2"/>
    <tableColumn name="AB" id="3"/>
    <tableColumn name="H" id="4"/>
    <tableColumn name="1B" id="5"/>
    <tableColumn name="2B" id="6"/>
    <tableColumn name="3B" id="7"/>
    <tableColumn name="HR" id="8"/>
    <tableColumn name="RBI" id="9"/>
    <tableColumn name="R" id="10"/>
    <tableColumn name="BB" id="11"/>
    <tableColumn name="SO" id="12"/>
    <tableColumn name="SLG %" id="13"/>
    <tableColumn name="OBP %" id="14"/>
    <tableColumn name="OPS %" id="15"/>
    <tableColumn name="ABs RISP" id="16"/>
    <tableColumn name="Hits RISP" id="17"/>
    <tableColumn name="(BA/RISP)" id="18"/>
  </tableColumns>
  <tableStyleInfo name="TableStyleLight1" showColumnStripes="0" showRowStripes="1" showLastColumn="1" showFirstColumn="1"/>
</table>
</file>

<file path=xl/tables/table8.xml><?xml version="1.0" encoding="utf-8"?>
<table xmlns="http://schemas.openxmlformats.org/spreadsheetml/2006/main" ref="A1:S29" displayName="Master_Sheet" name="Master_Sheet" id="8" totalsRowShown="0">
  <autoFilter ref="A1:S29"/>
  <tableColumns count="19">
    <tableColumn name="Players" id="1"/>
    <tableColumn name="AVG" id="2"/>
    <tableColumn name="AB" id="3"/>
    <tableColumn name="H" id="4"/>
    <tableColumn name="1B" id="5"/>
    <tableColumn name="2B" id="6"/>
    <tableColumn name="3B" id="7"/>
    <tableColumn name="HR" id="8"/>
    <tableColumn name="RBI" id="9"/>
    <tableColumn name="R" id="10"/>
    <tableColumn name="BB" id="11"/>
    <tableColumn name="SO" id="12"/>
    <tableColumn name="TB" id="13"/>
    <tableColumn name="Runs Created" id="14"/>
    <tableColumn name="WAR" id="15"/>
    <tableColumn name="SLG %" id="16"/>
    <tableColumn name="OBP %" id="17"/>
    <tableColumn name="OPS %" id="18"/>
    <tableColumn name="Games" id="19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8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7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6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5.xml" Type="http://schemas.openxmlformats.org/officeDocument/2006/relationships/table" Id="rId1"/></Relationships>
</file>

<file path=xl/worksheets/_rels/sheet5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/Relationships>
</file>

<file path=xl/worksheets/_rels/sheet6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7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8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0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18.005" customWidth="1" bestFit="1"/>
    <col min="2" max="2" style="43" width="13.576428571428572" customWidth="1" bestFit="1"/>
    <col min="3" max="3" style="44" width="13.576428571428572" customWidth="1" bestFit="1"/>
    <col min="4" max="4" style="44" width="13.576428571428572" customWidth="1" bestFit="1"/>
    <col min="5" max="5" style="44" width="13.576428571428572" customWidth="1" bestFit="1"/>
    <col min="6" max="6" style="44" width="13.576428571428572" customWidth="1" bestFit="1"/>
    <col min="7" max="7" style="44" width="13.576428571428572" customWidth="1" bestFit="1"/>
    <col min="8" max="8" style="44" width="13.576428571428572" customWidth="1" bestFit="1"/>
    <col min="9" max="9" style="44" width="13.576428571428572" customWidth="1" bestFit="1"/>
    <col min="10" max="10" style="44" width="13.576428571428572" customWidth="1" bestFit="1"/>
    <col min="11" max="11" style="44" width="13.576428571428572" customWidth="1" bestFit="1" hidden="1"/>
    <col min="12" max="12" style="44" width="13.576428571428572" customWidth="1" bestFit="1" hidden="1"/>
    <col min="13" max="13" style="44" width="13.576428571428572" customWidth="1" bestFit="1"/>
    <col min="14" max="14" style="43" width="15.576428571428572" customWidth="1" bestFit="1"/>
    <col min="15" max="15" style="77" width="13.43357142857143" customWidth="1" bestFit="1"/>
    <col min="16" max="16" style="43" width="13.576428571428572" customWidth="1" bestFit="1"/>
    <col min="17" max="17" style="43" width="13.576428571428572" customWidth="1" bestFit="1"/>
    <col min="18" max="18" style="7" width="13.576428571428572" customWidth="1" bestFit="1"/>
    <col min="19" max="19" style="45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</cols>
  <sheetData>
    <row x14ac:dyDescent="0.25" r="1" customHeight="1" ht="14.25">
      <c r="A1" s="10" t="s">
        <v>0</v>
      </c>
      <c r="B1" s="11" t="s">
        <v>13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12</v>
      </c>
      <c r="N1" s="11" t="s">
        <v>68</v>
      </c>
      <c r="O1" s="52" t="s">
        <v>19</v>
      </c>
      <c r="P1" s="11" t="s">
        <v>14</v>
      </c>
      <c r="Q1" s="11" t="s">
        <v>15</v>
      </c>
      <c r="R1" s="11" t="s">
        <v>16</v>
      </c>
      <c r="S1" s="53" t="s">
        <v>11</v>
      </c>
      <c r="T1" s="14"/>
      <c r="U1" s="14"/>
      <c r="V1" s="14"/>
      <c r="W1" s="14"/>
    </row>
    <row x14ac:dyDescent="0.25" r="2" customHeight="1" ht="21">
      <c r="A2" s="15" t="s">
        <v>69</v>
      </c>
      <c r="B2" s="16">
        <f>$D$1:$D$86/$C$1:$C$86</f>
      </c>
      <c r="C2" s="17">
        <v>21</v>
      </c>
      <c r="D2" s="54">
        <v>17</v>
      </c>
      <c r="E2" s="54">
        <v>14</v>
      </c>
      <c r="F2" s="17">
        <v>3</v>
      </c>
      <c r="G2" s="17">
        <v>0</v>
      </c>
      <c r="H2" s="17">
        <v>0</v>
      </c>
      <c r="I2" s="17">
        <v>8</v>
      </c>
      <c r="J2" s="17">
        <v>9</v>
      </c>
      <c r="K2" s="17">
        <v>0</v>
      </c>
      <c r="L2" s="17">
        <v>0</v>
      </c>
      <c r="M2" s="54">
        <f>($E1:$E74*1 + $F1:$F74*2 + $G1:$G74*3 + $H1:$H74*4)</f>
      </c>
      <c r="N2" s="55">
        <f>ROUND($D1:$D74 * ($M1:$M74 / $C1:$C74), 2)</f>
      </c>
      <c r="O2" s="56">
        <v>1.05</v>
      </c>
      <c r="P2" s="16">
        <f>(($E1:$E74 + 2 * $F1:$F74 + 3 * $G1:$G74 + 4 * $H1:$H74) / $C1:$C74)</f>
      </c>
      <c r="Q2" s="16">
        <f>(($D$1:$D$86 + $K$1:$K$86) / ($C$1:$C$86 + $K$1:$K$86))</f>
      </c>
      <c r="R2" s="16">
        <f>(($D$1:$D$75 + $K$1:$K$75) / ($C$1:$C$75 + $K$1:$K$104)) + ((($E$1:$E$116) + (2 * $F$1:$F$116) + (3 * $G$1:$G$116) + (4 * $H$1:$H$116)) / $C$1:$C$75)</f>
      </c>
      <c r="S2" s="57">
        <v>7</v>
      </c>
      <c r="T2" s="14"/>
      <c r="U2" s="14"/>
      <c r="V2" s="14"/>
      <c r="W2" s="14"/>
    </row>
    <row x14ac:dyDescent="0.25" r="3" customHeight="1" ht="21">
      <c r="A3" s="19" t="s">
        <v>70</v>
      </c>
      <c r="B3" s="20">
        <f>$D$1:$D$86/$C$1:$C$86</f>
      </c>
      <c r="C3" s="54">
        <v>23</v>
      </c>
      <c r="D3" s="21">
        <v>16</v>
      </c>
      <c r="E3" s="21">
        <v>13</v>
      </c>
      <c r="F3" s="21">
        <v>2</v>
      </c>
      <c r="G3" s="54">
        <v>1</v>
      </c>
      <c r="H3" s="21">
        <v>0</v>
      </c>
      <c r="I3" s="21">
        <v>3</v>
      </c>
      <c r="J3" s="54">
        <v>13</v>
      </c>
      <c r="K3" s="21">
        <v>0</v>
      </c>
      <c r="L3" s="21">
        <v>0</v>
      </c>
      <c r="M3" s="54">
        <f>($E2:$E75*1 + $F2:$F75*2 + $G2:$G75*3 + $H2:$H75*4)</f>
      </c>
      <c r="N3" s="58">
        <f>ROUND($D2:$D75 * ($M2:$M75 / $C2:$C75), 2)</f>
      </c>
      <c r="O3" s="59">
        <v>0.83</v>
      </c>
      <c r="P3" s="20">
        <f>(($E2:$E75 + 2 * $F2:$F75 + 3 * $G2:$G75 + 4 * $H2:$H75) / $C2:$C75)</f>
      </c>
      <c r="Q3" s="20">
        <f>(($D$1:$D$86 + $K$1:$K$86) / ($C$1:$C$86 + $K$1:$K$86))</f>
      </c>
      <c r="R3" s="20">
        <f>(($D$1:$D$75 + $K$1:$K$75) / ($C$1:$C$75 + $K$1:$K$104)) + ((($E$1:$E$116) + (2 * $F$1:$F$116) + (3 * $G$1:$G$116) + (4 * $H$1:$H$116)) / $C$1:$C$75)</f>
      </c>
      <c r="S3" s="57">
        <v>7</v>
      </c>
      <c r="T3" s="14"/>
      <c r="U3" s="14"/>
      <c r="V3" s="14"/>
      <c r="W3" s="14"/>
    </row>
    <row x14ac:dyDescent="0.25" r="4" customHeight="1" ht="21">
      <c r="A4" s="15" t="s">
        <v>28</v>
      </c>
      <c r="B4" s="16">
        <f>$D$1:$D$86/$C$1:$C$86</f>
      </c>
      <c r="C4" s="17">
        <v>15</v>
      </c>
      <c r="D4" s="17">
        <v>11</v>
      </c>
      <c r="E4" s="17">
        <v>8</v>
      </c>
      <c r="F4" s="17">
        <v>1</v>
      </c>
      <c r="G4" s="54">
        <v>1</v>
      </c>
      <c r="H4" s="54">
        <v>1</v>
      </c>
      <c r="I4" s="17">
        <v>7</v>
      </c>
      <c r="J4" s="17">
        <v>6</v>
      </c>
      <c r="K4" s="17">
        <v>0</v>
      </c>
      <c r="L4" s="17">
        <v>0</v>
      </c>
      <c r="M4" s="17">
        <f>($E3:$E76*1 + $F3:$F76*2 + $G3:$G76*3 + $H3:$H76*4)</f>
      </c>
      <c r="N4" s="60">
        <f>ROUND($D3:$D76 * ($M3:$M76 / $C3:$C76), 2)</f>
      </c>
      <c r="O4" s="61">
        <v>0.83</v>
      </c>
      <c r="P4" s="16">
        <f>(($E3:$E76 + 2 * $F3:$F76 + 3 * $G3:$G76 + 4 * $H3:$H76) / $C3:$C76)</f>
      </c>
      <c r="Q4" s="16">
        <f>(($D$1:$D$86 + $K$1:$K$86) / ($C$1:$C$86 + $K$1:$K$86))</f>
      </c>
      <c r="R4" s="16">
        <f>(($D$1:$D$75 + $K$1:$K$75) / ($C$1:$C$75 + $K$1:$K$104)) + ((($E$1:$E$116) + (2 * $F$1:$F$116) + (3 * $G$1:$G$116) + (4 * $H$1:$H$116)) / $C$1:$C$75)</f>
      </c>
      <c r="S4" s="62">
        <v>4</v>
      </c>
      <c r="T4" s="14"/>
      <c r="U4" s="14"/>
      <c r="V4" s="14"/>
      <c r="W4" s="14"/>
    </row>
    <row x14ac:dyDescent="0.25" r="5" customHeight="1" ht="21">
      <c r="A5" s="19" t="s">
        <v>52</v>
      </c>
      <c r="B5" s="20">
        <f>$D$1:$D$86/$C$1:$C$86</f>
      </c>
      <c r="C5" s="21">
        <v>15</v>
      </c>
      <c r="D5" s="21">
        <v>9</v>
      </c>
      <c r="E5" s="21">
        <v>2</v>
      </c>
      <c r="F5" s="54">
        <v>5</v>
      </c>
      <c r="G5" s="54">
        <v>1</v>
      </c>
      <c r="H5" s="54">
        <v>1</v>
      </c>
      <c r="I5" s="21">
        <v>5</v>
      </c>
      <c r="J5" s="21">
        <v>4</v>
      </c>
      <c r="K5" s="21">
        <v>0</v>
      </c>
      <c r="L5" s="21">
        <v>0</v>
      </c>
      <c r="M5" s="21">
        <f>($E4:$E77*1 + $F4:$F77*2 + $G4:$G77*3 + $H4:$H77*4)</f>
      </c>
      <c r="N5" s="58">
        <f>ROUND($D4:$D77 * ($M4:$M77 / $C4:$C77), 2)</f>
      </c>
      <c r="O5" s="59">
        <v>0.74</v>
      </c>
      <c r="P5" s="63">
        <f>(($E4:$E77 + 2 * $F4:$F77 + 3 * $G4:$G77 + 4 * $H4:$H77) / $C4:$C77)</f>
      </c>
      <c r="Q5" s="20">
        <f>(($D$1:$D$86 + $K$1:$K$86) / ($C$1:$C$86 + $K$1:$K$86))</f>
      </c>
      <c r="R5" s="20">
        <f>(($D$1:$D$75 + $K$1:$K$75) / ($C$1:$C$75 + $K$1:$K$104)) + ((($E5:$E95) + (2 * $F5:$F95) + (3 * $G5:$G95) + (4 * $H5:$H95)) / $C$1:$C$75)</f>
      </c>
      <c r="S5" s="64">
        <v>6</v>
      </c>
      <c r="T5" s="14"/>
      <c r="U5" s="14"/>
      <c r="V5" s="14"/>
      <c r="W5" s="14"/>
    </row>
    <row x14ac:dyDescent="0.25" r="6" customHeight="1" ht="21">
      <c r="A6" s="15" t="s">
        <v>71</v>
      </c>
      <c r="B6" s="16">
        <f>$D$1:$D$86/$C$1:$C$86</f>
      </c>
      <c r="C6" s="54">
        <v>23</v>
      </c>
      <c r="D6" s="17">
        <v>14</v>
      </c>
      <c r="E6" s="17">
        <v>10</v>
      </c>
      <c r="F6" s="17">
        <v>1</v>
      </c>
      <c r="G6" s="54">
        <v>1</v>
      </c>
      <c r="H6" s="54">
        <v>1</v>
      </c>
      <c r="I6" s="54">
        <v>14</v>
      </c>
      <c r="J6" s="17">
        <v>9</v>
      </c>
      <c r="K6" s="17">
        <v>0</v>
      </c>
      <c r="L6" s="17">
        <v>0</v>
      </c>
      <c r="M6" s="17">
        <f>($E5:$E78*1 + $F5:$F78*2 + $G5:$G78*3 + $H5:$H78*4)</f>
      </c>
      <c r="N6" s="60">
        <f>ROUND($D5:$D78 * ($M5:$M78 / $C5:$C78), 2)</f>
      </c>
      <c r="O6" s="61">
        <v>0.64</v>
      </c>
      <c r="P6" s="16">
        <f>(($E5:$E78 + 2 * $F5:$F78 + 3 * $G5:$G78 + 4 * $H5:$H78) / $C5:$C78)</f>
      </c>
      <c r="Q6" s="16">
        <f>(($D$1:$D$86 + $K$1:$K$86) / ($C$1:$C$86 + $K$1:$K$86))</f>
      </c>
      <c r="R6" s="16">
        <f>(($D$1:$D$75 + $K$1:$K$75) / ($C$1:$C$75 + $K$1:$K$104)) + ((($E$1:$E$116) + (2 * $F$1:$F$116) + (3 * $G$1:$G$116) + (4 * $H$1:$H$116)) / $C$1:$C$75)</f>
      </c>
      <c r="S6" s="57">
        <v>7</v>
      </c>
      <c r="T6" s="14"/>
      <c r="U6" s="14"/>
      <c r="V6" s="14"/>
      <c r="W6" s="14"/>
    </row>
    <row x14ac:dyDescent="0.25" r="7" customHeight="1" ht="21">
      <c r="A7" s="19" t="s">
        <v>57</v>
      </c>
      <c r="B7" s="20">
        <f>$D$1:$D$86/$C$1:$C$86</f>
      </c>
      <c r="C7" s="21">
        <v>16</v>
      </c>
      <c r="D7" s="21">
        <v>11</v>
      </c>
      <c r="E7" s="21">
        <v>7</v>
      </c>
      <c r="F7" s="21">
        <v>4</v>
      </c>
      <c r="G7" s="21">
        <v>0</v>
      </c>
      <c r="H7" s="21">
        <v>0</v>
      </c>
      <c r="I7" s="21">
        <v>5</v>
      </c>
      <c r="J7" s="21">
        <v>9</v>
      </c>
      <c r="K7" s="21">
        <v>0</v>
      </c>
      <c r="L7" s="21">
        <v>0</v>
      </c>
      <c r="M7" s="21">
        <f>($E6:$E79*1 + $F6:$F79*2 + $G6:$G79*3 + $H6:$H79*4)</f>
      </c>
      <c r="N7" s="58">
        <f>ROUND($D6:$D79 * ($M6:$M79 / $C6:$C79), 2)</f>
      </c>
      <c r="O7" s="59">
        <v>0.63</v>
      </c>
      <c r="P7" s="20">
        <f>(($E6:$E79 + 2 * $F6:$F79 + 3 * $G6:$G79 + 4 * $H6:$H79) / $C6:$C79)</f>
      </c>
      <c r="Q7" s="20">
        <f>(($D$1:$D$86 + $K$1:$K$86) / ($C$1:$C$86 + $K$1:$K$86))</f>
      </c>
      <c r="R7" s="20">
        <f>(($D$1:$D$75 + $K$1:$K$75) / ($C$1:$C$75 + $K$1:$K$104)) + ((($E$1:$E$116) + (2 * $F$1:$F$116) + (3 * $G$1:$G$116) + (4 * $H$1:$H$116)) / $C$1:$C$75)</f>
      </c>
      <c r="S7" s="64">
        <v>5</v>
      </c>
      <c r="T7" s="14"/>
      <c r="U7" s="14"/>
      <c r="V7" s="14"/>
      <c r="W7" s="14"/>
    </row>
    <row x14ac:dyDescent="0.25" r="8" customHeight="1" ht="21">
      <c r="A8" s="15" t="s">
        <v>47</v>
      </c>
      <c r="B8" s="63">
        <f>$D$1:$D$87/$C$1:$C$87</f>
      </c>
      <c r="C8" s="17">
        <v>10</v>
      </c>
      <c r="D8" s="17">
        <v>9</v>
      </c>
      <c r="E8" s="17">
        <v>8</v>
      </c>
      <c r="F8" s="17">
        <v>1</v>
      </c>
      <c r="G8" s="17">
        <v>0</v>
      </c>
      <c r="H8" s="17">
        <v>0</v>
      </c>
      <c r="I8" s="17">
        <v>7</v>
      </c>
      <c r="J8" s="17">
        <v>6</v>
      </c>
      <c r="K8" s="17">
        <v>0</v>
      </c>
      <c r="L8" s="17">
        <v>0</v>
      </c>
      <c r="M8" s="17">
        <f>($E7:$E80*1 + $F7:$F80*2 + $G7:$G80*3 + $H7:$H80*4)</f>
      </c>
      <c r="N8" s="60">
        <f>ROUND($D7:$D80 * ($M7:$M80 / $C7:$C80), 2)</f>
      </c>
      <c r="O8" s="61">
        <v>0.61</v>
      </c>
      <c r="P8" s="16">
        <f>(($E7:$E80 + 2 * $F7:$F80 + 3 * $G7:$G80 + 4 * $H7:$H80) / $C7:$C80)</f>
      </c>
      <c r="Q8" s="63">
        <f>(($D$1:$D$86 + $K$1:$K$86) / ($C$1:$C$86 + $K$1:$K$86))</f>
      </c>
      <c r="R8" s="63">
        <f>(($D$1:$D$76 + $K$1:$K$76) / ($C$1:$C$76 + $K$1:$K$105)) + ((($E$1:$E$117) + (2 * $F$1:$F$117) + (3 * $G$1:$G$117) + (4 * $H$1:$H$117)) / $C$1:$C$76)</f>
      </c>
      <c r="S8" s="62">
        <v>4</v>
      </c>
      <c r="T8" s="14"/>
      <c r="U8" s="14"/>
      <c r="V8" s="14"/>
      <c r="W8" s="14"/>
    </row>
    <row x14ac:dyDescent="0.25" r="9" customHeight="1" ht="21">
      <c r="A9" s="23" t="s">
        <v>38</v>
      </c>
      <c r="B9" s="65">
        <f>$D$1:$D$81/$C$1:$C$81</f>
      </c>
      <c r="C9" s="66">
        <v>11</v>
      </c>
      <c r="D9" s="66">
        <v>8</v>
      </c>
      <c r="E9" s="66">
        <v>5</v>
      </c>
      <c r="F9" s="66">
        <v>3</v>
      </c>
      <c r="G9" s="66">
        <v>0</v>
      </c>
      <c r="H9" s="66">
        <v>0</v>
      </c>
      <c r="I9" s="66">
        <v>5</v>
      </c>
      <c r="J9" s="66">
        <v>2</v>
      </c>
      <c r="K9" s="66">
        <v>0</v>
      </c>
      <c r="L9" s="66">
        <v>0</v>
      </c>
      <c r="M9" s="21">
        <f>($E8:$E81*1 + $F8:$F81*2 + $G8:$G81*3 + $H8:$H81*4)</f>
      </c>
      <c r="N9" s="58">
        <f>ROUND($D8:$D81 * ($M8:$M81 / $C8:$C81), 2)</f>
      </c>
      <c r="O9" s="59">
        <v>0.51</v>
      </c>
      <c r="P9" s="20">
        <f>(($E8:$E81 + 2 * $F8:$F81 + 3 * $G8:$G81 + 4 * $H8:$H81) / $C8:$C81)</f>
      </c>
      <c r="Q9" s="20">
        <f>(($D$1:$D$86 + $K$1:$K$86) / ($C$1:$C$86 + $K$1:$K$86))</f>
      </c>
      <c r="R9" s="20">
        <f>(($D$1:$D$75 + $K$1:$K$75) / ($C$1:$C$75 + $K$1:$K$104)) + ((($E$1:$E$116) + (2 * $F$1:$F$116) + (3 * $G$1:$G$116) + (4 * $H$1:$H$116)) / $C$1:$C$75)</f>
      </c>
      <c r="S9" s="64">
        <v>4</v>
      </c>
      <c r="T9" s="14"/>
      <c r="U9" s="14"/>
      <c r="V9" s="14"/>
      <c r="W9" s="14"/>
    </row>
    <row x14ac:dyDescent="0.25" r="10" customHeight="1" ht="21">
      <c r="A10" s="23" t="s">
        <v>43</v>
      </c>
      <c r="B10" s="16">
        <f>$D$1:$D$86/$C$1:$C$86</f>
      </c>
      <c r="C10" s="17">
        <v>11</v>
      </c>
      <c r="D10" s="17">
        <v>9</v>
      </c>
      <c r="E10" s="17">
        <v>9</v>
      </c>
      <c r="F10" s="17">
        <v>0</v>
      </c>
      <c r="G10" s="17">
        <v>0</v>
      </c>
      <c r="H10" s="17">
        <v>0</v>
      </c>
      <c r="I10" s="17">
        <v>4</v>
      </c>
      <c r="J10" s="17">
        <v>4</v>
      </c>
      <c r="K10" s="17">
        <v>0</v>
      </c>
      <c r="L10" s="17">
        <v>0</v>
      </c>
      <c r="M10" s="17">
        <f>($E9:$E82*1 + $F9:$F82*2 + $G9:$G82*3 + $H9:$H82*4)</f>
      </c>
      <c r="N10" s="60">
        <f>ROUND($D9:$D82 * ($M9:$M82 / $C9:$C82), 2)</f>
      </c>
      <c r="O10" s="61">
        <v>0.46</v>
      </c>
      <c r="P10" s="16">
        <f>(($E9:$E82 + 2 * $F9:$F82 + 3 * $G9:$G82 + 4 * $H9:$H82) / $C9:$C82)</f>
      </c>
      <c r="Q10" s="16">
        <f>(($D$1:$D$86 + $K$1:$K$86) / ($C$1:$C$86 + $K$1:$K$86))</f>
      </c>
      <c r="R10" s="16">
        <f>(($D$1:$D$75 + $K$1:$K$75) / ($C$1:$C$75 + $K$1:$K$104)) + ((($E$1:$E$116) + (2 * $F$1:$F$116) + (3 * $G$1:$G$116) + (4 * $H$1:$H$116)) / $C$1:$C$75)</f>
      </c>
      <c r="S10" s="62">
        <v>5</v>
      </c>
      <c r="T10" s="14"/>
      <c r="U10" s="14"/>
      <c r="V10" s="14"/>
      <c r="W10" s="14"/>
    </row>
    <row x14ac:dyDescent="0.25" r="11" customHeight="1" ht="21">
      <c r="A11" s="67" t="s">
        <v>26</v>
      </c>
      <c r="B11" s="68">
        <f>$D$1:$D$85/$C$1:$C$85</f>
      </c>
      <c r="C11" s="69">
        <v>5</v>
      </c>
      <c r="D11" s="69">
        <v>4</v>
      </c>
      <c r="E11" s="69">
        <v>3</v>
      </c>
      <c r="F11" s="69">
        <v>1</v>
      </c>
      <c r="G11" s="69">
        <v>0</v>
      </c>
      <c r="H11" s="69">
        <v>0</v>
      </c>
      <c r="I11" s="69">
        <v>2</v>
      </c>
      <c r="J11" s="69">
        <v>3</v>
      </c>
      <c r="K11" s="69">
        <v>0</v>
      </c>
      <c r="L11" s="69">
        <v>0</v>
      </c>
      <c r="M11" s="21">
        <f>($E10:$E83*1 + $F10:$F83*2 + $G10:$G83*3 + $H10:$H83*4)</f>
      </c>
      <c r="N11" s="58">
        <f>ROUND($D10:$D83 * ($M10:$M83 / $C10:$C83), 2)</f>
      </c>
      <c r="O11" s="59">
        <v>0.26</v>
      </c>
      <c r="P11" s="20">
        <f>(($E10:$E83 + 2 * $F10:$F83 + 3 * $G10:$G83 + 4 * $H10:$H83) / $C10:$C83)</f>
      </c>
      <c r="Q11" s="20">
        <f>(($D$1:$D$86 + $K$1:$K$86) / ($C$1:$C$86 + $K$1:$K$86))</f>
      </c>
      <c r="R11" s="20">
        <f>(($D$1:$D$74 + $K$1:$K$74) / ($C$1:$C$74 + $K$1:$K$103)) + ((($E$1:$E$115) + (2 * $F$1:$F$115) + (3 * $G$1:$G$115) + (4 * $H$1:$H$115)) / $C$1:$C$74)</f>
      </c>
      <c r="S11" s="64">
        <v>2</v>
      </c>
      <c r="T11" s="14"/>
      <c r="U11" s="14"/>
      <c r="V11" s="14"/>
      <c r="W11" s="14"/>
    </row>
    <row x14ac:dyDescent="0.25" r="12" customHeight="1" ht="21">
      <c r="A12" s="15" t="s">
        <v>62</v>
      </c>
      <c r="B12" s="16">
        <f>$D$1:$D$86/$C$1:$C$86</f>
      </c>
      <c r="C12" s="17">
        <v>10</v>
      </c>
      <c r="D12" s="17">
        <v>6</v>
      </c>
      <c r="E12" s="17">
        <v>5</v>
      </c>
      <c r="F12" s="17">
        <v>1</v>
      </c>
      <c r="G12" s="17">
        <v>0</v>
      </c>
      <c r="H12" s="17">
        <v>0</v>
      </c>
      <c r="I12" s="17">
        <v>5</v>
      </c>
      <c r="J12" s="17">
        <v>2</v>
      </c>
      <c r="K12" s="17">
        <v>0</v>
      </c>
      <c r="L12" s="17">
        <v>0</v>
      </c>
      <c r="M12" s="17">
        <f>($E11:$E84*1 + $F11:$F84*2 + $G11:$G84*3 + $H11:$H84*4)</f>
      </c>
      <c r="N12" s="60">
        <f>ROUND($D11:$D84 * ($M11:$M84 / $C11:$C84), 2)</f>
      </c>
      <c r="O12" s="61">
        <v>0.21</v>
      </c>
      <c r="P12" s="16">
        <f>(($E11:$E84 + 2 * $F11:$F84 + 3 * $G11:$G84 + 4 * $H11:$H84) / $C11:$C84)</f>
      </c>
      <c r="Q12" s="16">
        <f>(($D$1:$D$86 + $K$1:$K$86) / ($C$1:$C$86 + $K$1:$K$86))</f>
      </c>
      <c r="R12" s="16">
        <f>(($D$1:$D$75 + $K$1:$K$75) / ($C$1:$C$75 + $K$1:$K$104)) + ((($E$1:$E$116) + (2 * $F$1:$F$116) + (3 * $G$1:$G$116) + (4 * $H$1:$H$116)) / $C$1:$C$75)</f>
      </c>
      <c r="S12" s="62">
        <v>4</v>
      </c>
      <c r="T12" s="14"/>
      <c r="U12" s="14"/>
      <c r="V12" s="14"/>
      <c r="W12" s="14"/>
    </row>
    <row x14ac:dyDescent="0.25" r="13" customHeight="1" ht="21">
      <c r="A13" s="19" t="s">
        <v>25</v>
      </c>
      <c r="B13" s="20">
        <f>$D$1:$D$86/$C$1:$C$86</f>
      </c>
      <c r="C13" s="21">
        <v>15</v>
      </c>
      <c r="D13" s="21">
        <v>6</v>
      </c>
      <c r="E13" s="21">
        <v>4</v>
      </c>
      <c r="F13" s="21">
        <v>2</v>
      </c>
      <c r="G13" s="54">
        <v>1</v>
      </c>
      <c r="H13" s="21">
        <v>0</v>
      </c>
      <c r="I13" s="21">
        <v>4</v>
      </c>
      <c r="J13" s="21">
        <v>3</v>
      </c>
      <c r="K13" s="21">
        <v>0</v>
      </c>
      <c r="L13" s="21">
        <v>0</v>
      </c>
      <c r="M13" s="21">
        <f>($E12:$E85*1 + $F12:$F85*2 + $G12:$G85*3 + $H12:$H85*4)</f>
      </c>
      <c r="N13" s="58">
        <f>ROUND($D12:$D85 * ($M12:$M85 / $C12:$C85), 2)</f>
      </c>
      <c r="O13" s="59">
        <v>0.15</v>
      </c>
      <c r="P13" s="20">
        <f>(($E12:$E85 + 2 * $F12:$F85 + 3 * $G12:$G85 + 4 * $H12:$H85) / $C12:$C85)</f>
      </c>
      <c r="Q13" s="20">
        <f>(($D$1:$D$86 + $K$1:$K$86) / ($C$1:$C$86 + $K$1:$K$86))</f>
      </c>
      <c r="R13" s="20">
        <f>(($D$1:$D$75 + $K$1:$K$75) / ($C$1:$C$75 + $K$1:$K$104)) + ((($E$1:$E$116) + (2 * $F$1:$F$116) + (3 * $G$1:$G$116) + (4 * $H$1:$H$116)) / $C$1:$C$75)</f>
      </c>
      <c r="S13" s="64">
        <v>6</v>
      </c>
      <c r="T13" s="14"/>
      <c r="U13" s="14"/>
      <c r="V13" s="14"/>
      <c r="W13" s="14"/>
    </row>
    <row x14ac:dyDescent="0.25" r="14" customHeight="1" ht="21">
      <c r="A14" s="15" t="s">
        <v>45</v>
      </c>
      <c r="B14" s="16">
        <f>$D$1:$D$87/$C$1:$C$87</f>
      </c>
      <c r="C14" s="17">
        <v>16</v>
      </c>
      <c r="D14" s="17">
        <v>7</v>
      </c>
      <c r="E14" s="17">
        <v>4</v>
      </c>
      <c r="F14" s="17">
        <v>3</v>
      </c>
      <c r="G14" s="17">
        <v>0</v>
      </c>
      <c r="H14" s="17">
        <v>0</v>
      </c>
      <c r="I14" s="17">
        <v>6</v>
      </c>
      <c r="J14" s="17">
        <v>4</v>
      </c>
      <c r="K14" s="17">
        <v>0</v>
      </c>
      <c r="L14" s="17">
        <v>0</v>
      </c>
      <c r="M14" s="17">
        <f>($E13:$E86*1 + $F13:$F86*2 + $G13:$G86*3 + $H13:$H86*4)</f>
      </c>
      <c r="N14" s="60">
        <f>ROUND($D13:$D86 * ($M13:$M86 / $C13:$C86), 2)</f>
      </c>
      <c r="O14" s="61">
        <v>0.14</v>
      </c>
      <c r="P14" s="16">
        <f>(($E13:$E86 + 2 * $F13:$F86 + 3 * $G13:$G86 + 4 * $H13:$H86) / $C13:$C86)</f>
      </c>
      <c r="Q14" s="16">
        <f>(($D$1:$D$86 + $K$1:$K$86) / ($C$1:$C$86 + $K$1:$K$86))</f>
      </c>
      <c r="R14" s="16">
        <f>(($D$1:$D$76 + $K$1:$K$76) / ($C$1:$C$76 + $K$1:$K$105)) + ((($E$1:$E$117) + (2 * $F$1:$F$117) + (3 * $G$1:$G$117) + (4 * $H$1:$H$117)) / $C$1:$C$76)</f>
      </c>
      <c r="S14" s="62">
        <v>6</v>
      </c>
      <c r="T14" s="14"/>
      <c r="U14" s="14"/>
      <c r="V14" s="14"/>
      <c r="W14" s="14"/>
    </row>
    <row x14ac:dyDescent="0.25" r="15" customHeight="1" ht="21">
      <c r="A15" s="19" t="s">
        <v>21</v>
      </c>
      <c r="B15" s="20">
        <f>$D$1:$D$86/$C$1:$C$86</f>
      </c>
      <c r="C15" s="21">
        <v>6</v>
      </c>
      <c r="D15" s="21">
        <v>4</v>
      </c>
      <c r="E15" s="21">
        <v>4</v>
      </c>
      <c r="F15" s="21">
        <v>0</v>
      </c>
      <c r="G15" s="21">
        <v>0</v>
      </c>
      <c r="H15" s="21">
        <v>0</v>
      </c>
      <c r="I15" s="21">
        <v>1</v>
      </c>
      <c r="J15" s="21">
        <v>2</v>
      </c>
      <c r="K15" s="21">
        <v>0</v>
      </c>
      <c r="L15" s="21">
        <v>0</v>
      </c>
      <c r="M15" s="21">
        <f>($E14:$E87*1 + $F14:$F87*2 + $G14:$G87*3 + $H14:$H87*4)</f>
      </c>
      <c r="N15" s="58">
        <f>ROUND($D14:$D87 * ($M14:$M87 / $C14:$C87), 2)</f>
      </c>
      <c r="O15" s="59">
        <v>0.14</v>
      </c>
      <c r="P15" s="20">
        <f>(($E14:$E87 + 2 * $F14:$F87 + 3 * $G14:$G87 + 4 * $H14:$H87) / $C14:$C87)</f>
      </c>
      <c r="Q15" s="20">
        <f>(($D$1:$D$86 + $K$1:$K$86) / ($C$1:$C$86 + $K$1:$K$86))</f>
      </c>
      <c r="R15" s="20">
        <f>(($D$1:$D$75 + $K$1:$K$75) / ($C$1:$C$75 + $K$1:$K$104)) + ((($E$1:$E$116) + (2 * $F$1:$F$116) + (3 * $G$1:$G$116) + (4 * $H$1:$H$116)) / $C$1:$C$75)</f>
      </c>
      <c r="S15" s="64">
        <v>3</v>
      </c>
      <c r="T15" s="14"/>
      <c r="U15" s="14"/>
      <c r="V15" s="14"/>
      <c r="W15" s="14"/>
    </row>
    <row x14ac:dyDescent="0.25" r="16" customHeight="1" ht="21">
      <c r="A16" s="70" t="s">
        <v>44</v>
      </c>
      <c r="B16" s="16">
        <f>$D$1:$D$86/$C$1:$C$86</f>
      </c>
      <c r="C16" s="17">
        <v>3</v>
      </c>
      <c r="D16" s="17">
        <v>2</v>
      </c>
      <c r="E16" s="17">
        <v>1</v>
      </c>
      <c r="F16" s="17">
        <v>1</v>
      </c>
      <c r="G16" s="17">
        <v>0</v>
      </c>
      <c r="H16" s="17">
        <v>0</v>
      </c>
      <c r="I16" s="17">
        <v>3</v>
      </c>
      <c r="J16" s="17">
        <v>1</v>
      </c>
      <c r="K16" s="17"/>
      <c r="L16" s="17"/>
      <c r="M16" s="17">
        <f>($E15:$E88*1 + $F15:$F88*2 + $G15:$G88*3 + $H15:$H88*4)</f>
      </c>
      <c r="N16" s="60">
        <f>ROUND($D15:$D88 * ($M15:$M88 / $C15:$C88), 2)</f>
      </c>
      <c r="O16" s="61">
        <v>0.12</v>
      </c>
      <c r="P16" s="16">
        <f>(($E15:$E88 + 2 * $F15:$F88 + 3 * $G15:$G88 + 4 * $H15:$H88) / $C15:$C88)</f>
      </c>
      <c r="Q16" s="16">
        <f>(($D$1:$D$86 + $K$1:$K$86) / ($C$1:$C$86 + $K$1:$K$86))</f>
      </c>
      <c r="R16" s="16">
        <f>(($D$1:$D$75 + $K$1:$K$75) / ($C$1:$C$75 + $K$1:$K$104)) + ((($E$1:$E$116) + (2 * $F$1:$F$116) + (3 * $G$1:$G$116) + (4 * $H$1:$H$116)) / $C$1:$C$75)</f>
      </c>
      <c r="S16" s="62">
        <v>2</v>
      </c>
      <c r="T16" s="14"/>
      <c r="U16" s="14"/>
      <c r="V16" s="14"/>
      <c r="W16" s="14"/>
    </row>
    <row x14ac:dyDescent="0.25" r="17" customHeight="1" ht="21">
      <c r="A17" s="19" t="s">
        <v>33</v>
      </c>
      <c r="B17" s="20">
        <f>$D$1:$D$86/$C$1:$C$86</f>
      </c>
      <c r="C17" s="21">
        <v>5</v>
      </c>
      <c r="D17" s="21">
        <v>3</v>
      </c>
      <c r="E17" s="21">
        <v>3</v>
      </c>
      <c r="F17" s="21">
        <v>0</v>
      </c>
      <c r="G17" s="21">
        <v>0</v>
      </c>
      <c r="H17" s="21">
        <v>0</v>
      </c>
      <c r="I17" s="21">
        <v>2</v>
      </c>
      <c r="J17" s="21">
        <v>1</v>
      </c>
      <c r="K17" s="21">
        <v>0</v>
      </c>
      <c r="L17" s="21">
        <v>0</v>
      </c>
      <c r="M17" s="21">
        <f>($E16:$E89*1 + $F16:$F89*2 + $G16:$G89*3 + $H16:$H89*4)</f>
      </c>
      <c r="N17" s="58">
        <f>ROUND($D16:$D89 * ($M16:$M89 / $C16:$C89), 2)</f>
      </c>
      <c r="O17" s="59">
        <v>0.08</v>
      </c>
      <c r="P17" s="20">
        <f>(($E16:$E89 + 2 * $F16:$F89 + 3 * $G16:$G89 + 4 * $H16:$H89) / $C16:$C89)</f>
      </c>
      <c r="Q17" s="20">
        <f>(($D$1:$D$86 + $K$1:$K$86) / ($C$1:$C$86 + $K$1:$K$86))</f>
      </c>
      <c r="R17" s="20">
        <f>(($D$1:$D$75 + $K$1:$K$75) / ($C$1:$C$75 + $K$1:$K$104)) + ((($E$1:$E$116) + (2 * $F$1:$F$116) + (3 * $G$1:$G$116) + (4 * $H$1:$H$116)) / $C$1:$C$75)</f>
      </c>
      <c r="S17" s="64">
        <v>2</v>
      </c>
      <c r="T17" s="14"/>
      <c r="U17" s="14"/>
      <c r="V17" s="14"/>
      <c r="W17" s="14"/>
    </row>
    <row x14ac:dyDescent="0.25" r="18" customHeight="1" ht="21">
      <c r="A18" s="70" t="s">
        <v>55</v>
      </c>
      <c r="B18" s="71">
        <f>$D$1:$D$85/$C$1:$C$85</f>
      </c>
      <c r="C18" s="72">
        <v>3</v>
      </c>
      <c r="D18" s="72">
        <v>2</v>
      </c>
      <c r="E18" s="72">
        <v>2</v>
      </c>
      <c r="F18" s="72">
        <v>0</v>
      </c>
      <c r="G18" s="72">
        <v>0</v>
      </c>
      <c r="H18" s="72">
        <v>0</v>
      </c>
      <c r="I18" s="72">
        <v>1</v>
      </c>
      <c r="J18" s="72">
        <v>1</v>
      </c>
      <c r="K18" s="72">
        <v>0</v>
      </c>
      <c r="L18" s="72">
        <v>0</v>
      </c>
      <c r="M18" s="17">
        <f>($E17:$E90*1 + $F17:$F90*2 + $G17:$G90*3 + $H17:$H90*4)</f>
      </c>
      <c r="N18" s="60">
        <f>ROUND($D17:$D90 * ($M17:$M90 / $C17:$C90), 2)</f>
      </c>
      <c r="O18" s="61">
        <v>0.07</v>
      </c>
      <c r="P18" s="16">
        <f>(($E17:$E90 + 2 * $F17:$F90 + 3 * $G17:$G90 + 4 * $H17:$H90) / $C17:$C90)</f>
      </c>
      <c r="Q18" s="16">
        <f>(($D$1:$D$86 + $K$1:$K$86) / ($C$1:$C$86 + $K$1:$K$86))</f>
      </c>
      <c r="R18" s="16">
        <f>(($D$1:$D$74 + $K$1:$K$74) / ($C$1:$C$74 + $K$1:$K$103)) + ((($E$1:$E$115) + (2 * $F$1:$F$115) + (3 * $G$1:$G$115) + (4 * $H$1:$H$115)) / $C$1:$C$74)</f>
      </c>
      <c r="S18" s="62">
        <v>1</v>
      </c>
      <c r="T18" s="14"/>
      <c r="U18" s="14"/>
      <c r="V18" s="14"/>
      <c r="W18" s="14"/>
    </row>
    <row x14ac:dyDescent="0.25" r="19" customHeight="1" ht="21">
      <c r="A19" s="23" t="s">
        <v>46</v>
      </c>
      <c r="B19" s="20">
        <f>$D$1:$D$87/$C$1:$C$87</f>
      </c>
      <c r="C19" s="21">
        <v>6</v>
      </c>
      <c r="D19" s="21">
        <v>3</v>
      </c>
      <c r="E19" s="21">
        <v>3</v>
      </c>
      <c r="F19" s="21">
        <v>0</v>
      </c>
      <c r="G19" s="21">
        <v>0</v>
      </c>
      <c r="H19" s="21">
        <v>0</v>
      </c>
      <c r="I19" s="21">
        <v>0</v>
      </c>
      <c r="J19" s="21">
        <v>1</v>
      </c>
      <c r="K19" s="21">
        <v>0</v>
      </c>
      <c r="L19" s="21">
        <v>0</v>
      </c>
      <c r="M19" s="21">
        <f>($E18:$E91*1 + $F18:$F91*2 + $G18:$G91*3 + $H18:$H91*4)</f>
      </c>
      <c r="N19" s="58">
        <f>ROUND($D18:$D91 * ($M18:$M91 / $C18:$C91), 2)</f>
      </c>
      <c r="O19" s="59">
        <v>0.04</v>
      </c>
      <c r="P19" s="20">
        <f>(($E18:$E91 + 2 * $F18:$F91 + 3 * $G18:$G91 + 4 * $H18:$H91) / $C18:$C91)</f>
      </c>
      <c r="Q19" s="20">
        <f>(($D$1:$D$86 + $K$1:$K$86) / ($C$1:$C$86 + $K$1:$K$86))</f>
      </c>
      <c r="R19" s="20">
        <f>(($D$1:$D$76 + $K$1:$K$76) / ($C$1:$C$76 + $K$1:$K$105)) + ((($E$1:$E$117) + (2 * $F$1:$F$117) + (3 * $G$1:$G$117) + (4 * $H$1:$H$117)) / $C$1:$C$76)</f>
      </c>
      <c r="S19" s="64">
        <v>4</v>
      </c>
      <c r="T19" s="14"/>
      <c r="U19" s="14"/>
      <c r="V19" s="14"/>
      <c r="W19" s="14"/>
    </row>
    <row x14ac:dyDescent="0.25" r="20" customHeight="1" ht="21">
      <c r="A20" s="15" t="s">
        <v>35</v>
      </c>
      <c r="B20" s="16">
        <f>$D$1:$D$86/$C$1:$C$86</f>
      </c>
      <c r="C20" s="17">
        <v>3</v>
      </c>
      <c r="D20" s="17">
        <v>1</v>
      </c>
      <c r="E20" s="17">
        <v>0</v>
      </c>
      <c r="F20" s="17">
        <v>1</v>
      </c>
      <c r="G20" s="17">
        <v>0</v>
      </c>
      <c r="H20" s="17">
        <v>0</v>
      </c>
      <c r="I20" s="17">
        <v>0</v>
      </c>
      <c r="J20" s="17">
        <v>0</v>
      </c>
      <c r="K20" s="17"/>
      <c r="L20" s="17"/>
      <c r="M20" s="17">
        <f>($E19:$E92*1 + $F19:$F92*2 + $G19:$G92*3 + $H19:$H92*4)</f>
      </c>
      <c r="N20" s="60">
        <f>ROUND($D19:$D92 * ($M19:$M92 / $C19:$C92), 2)</f>
      </c>
      <c r="O20" s="61">
        <v>0.01</v>
      </c>
      <c r="P20" s="16">
        <f>(($E19:$E92 + 2 * $F19:$F92 + 3 * $G19:$G92 + 4 * $H19:$H92) / $C19:$C92)</f>
      </c>
      <c r="Q20" s="16">
        <f>(($D$1:$D$86 + $K$1:$K$86) / ($C$1:$C$86 + $K$1:$K$86))</f>
      </c>
      <c r="R20" s="16">
        <f>(($D$1:$D$75 + $K$1:$K$75) / ($C$1:$C$75 + $K$1:$K$104)) + ((($E$1:$E$116) + (2 * $F$1:$F$116) + (3 * $G$1:$G$116) + (4 * $H$1:$H$116)) / $C$1:$C$75)</f>
      </c>
      <c r="S20" s="62">
        <v>2</v>
      </c>
      <c r="T20" s="14"/>
      <c r="U20" s="14"/>
      <c r="V20" s="14"/>
      <c r="W20" s="14"/>
    </row>
    <row x14ac:dyDescent="0.25" r="21" customHeight="1" ht="21">
      <c r="A21" s="19" t="s">
        <v>31</v>
      </c>
      <c r="B21" s="20">
        <f>$D$1:$D$87/$C$1:$C$87</f>
      </c>
      <c r="C21" s="21">
        <v>2</v>
      </c>
      <c r="D21" s="21">
        <v>1</v>
      </c>
      <c r="E21" s="21">
        <v>1</v>
      </c>
      <c r="F21" s="21">
        <v>0</v>
      </c>
      <c r="G21" s="21">
        <v>0</v>
      </c>
      <c r="H21" s="21">
        <v>0</v>
      </c>
      <c r="I21" s="21">
        <v>1</v>
      </c>
      <c r="J21" s="21">
        <v>0</v>
      </c>
      <c r="K21" s="21">
        <v>0</v>
      </c>
      <c r="L21" s="21">
        <v>0</v>
      </c>
      <c r="M21" s="21">
        <f>($E20:$E93*1 + $F20:$F93*2 + $G20:$G93*3 + $H20:$H93*4)</f>
      </c>
      <c r="N21" s="58">
        <f>ROUND($D20:$D93 * ($M20:$M93 / $C20:$C93), 2)</f>
      </c>
      <c r="O21" s="59">
        <v>0.01</v>
      </c>
      <c r="P21" s="20">
        <f>(($E20:$E93 + 2 * $F20:$F93 + 3 * $G20:$G93 + 4 * $H20:$H93) / $C20:$C93)</f>
      </c>
      <c r="Q21" s="20">
        <f>(($D$1:$D$86 + $K$1:$K$86) / ($C$1:$C$86 + $K$1:$K$86))</f>
      </c>
      <c r="R21" s="20">
        <f>(($D$1:$D$76 + $K$1:$K$76) / ($C$1:$C$76 + $K$1:$K$105)) + ((($E$1:$E$117) + (2 * $F$1:$F$117) + (3 * $G$1:$G$117) + (4 * $H$1:$H$117)) / $C$1:$C$76)</f>
      </c>
      <c r="S21" s="64">
        <v>1</v>
      </c>
      <c r="T21" s="14"/>
      <c r="U21" s="14"/>
      <c r="V21" s="14"/>
      <c r="W21" s="14"/>
    </row>
    <row x14ac:dyDescent="0.25" r="22" customHeight="1" ht="21">
      <c r="A22" s="67" t="s">
        <v>59</v>
      </c>
      <c r="B22" s="68">
        <f>$D$1:$D$85/$C$1:$C$85</f>
      </c>
      <c r="C22" s="69">
        <v>2</v>
      </c>
      <c r="D22" s="69">
        <v>1</v>
      </c>
      <c r="E22" s="69">
        <v>1</v>
      </c>
      <c r="F22" s="69">
        <v>0</v>
      </c>
      <c r="G22" s="69">
        <v>0</v>
      </c>
      <c r="H22" s="69">
        <v>0</v>
      </c>
      <c r="I22" s="69">
        <v>2</v>
      </c>
      <c r="J22" s="69">
        <v>0</v>
      </c>
      <c r="K22" s="69">
        <v>0</v>
      </c>
      <c r="L22" s="69">
        <v>0</v>
      </c>
      <c r="M22" s="17">
        <f>($E21:$E94*1 + $F21:$F94*2 + $G21:$G94*3 + $H21:$H94*4)</f>
      </c>
      <c r="N22" s="60">
        <f>ROUND($D21:$D94 * ($M21:$M94 / $C21:$C94), 2)</f>
      </c>
      <c r="O22" s="61">
        <v>0.01</v>
      </c>
      <c r="P22" s="16">
        <f>(($E21:$E94 + 2 * $F21:$F94 + 3 * $G21:$G94 + 4 * $H21:$H94) / $C21:$C94)</f>
      </c>
      <c r="Q22" s="16">
        <f>(($D$1:$D$86 + $K$1:$K$86) / ($C$1:$C$86 + $K$1:$K$86))</f>
      </c>
      <c r="R22" s="16">
        <f>(($D$1:$D$74 + $K$1:$K$74) / ($C$1:$C$74 + $K$1:$K$103)) + ((($E$1:$E$115) + (2 * $F$1:$F$115) + (3 * $G$1:$G$115) + (4 * $H$1:$H$115)) / $C$1:$C$74)</f>
      </c>
      <c r="S22" s="62">
        <v>1</v>
      </c>
      <c r="T22" s="14"/>
      <c r="U22" s="14"/>
      <c r="V22" s="14"/>
      <c r="W22" s="14"/>
    </row>
    <row x14ac:dyDescent="0.25" r="23" customHeight="1" ht="21">
      <c r="A23" s="19" t="s">
        <v>37</v>
      </c>
      <c r="B23" s="20">
        <f>$D$1:$D$86/$C$1:$C$86</f>
      </c>
      <c r="C23" s="21">
        <v>22</v>
      </c>
      <c r="D23" s="21">
        <v>9</v>
      </c>
      <c r="E23" s="21">
        <v>9</v>
      </c>
      <c r="F23" s="21">
        <v>0</v>
      </c>
      <c r="G23" s="21">
        <v>0</v>
      </c>
      <c r="H23" s="21">
        <v>0</v>
      </c>
      <c r="I23" s="21">
        <v>3</v>
      </c>
      <c r="J23" s="21">
        <v>7</v>
      </c>
      <c r="K23" s="21">
        <v>0</v>
      </c>
      <c r="L23" s="21">
        <v>0</v>
      </c>
      <c r="M23" s="21">
        <f>($E22:$E95*1 + $F22:$F95*2 + $G22:$G95*3 + $H22:$H95*4)</f>
      </c>
      <c r="N23" s="58">
        <f>ROUND($D22:$D95 * ($M22:$M95 / $C22:$C95), 2)</f>
      </c>
      <c r="O23" s="59">
        <v>-0.01</v>
      </c>
      <c r="P23" s="20">
        <f>(($E22:$E95 + 2 * $F22:$F95 + 3 * $G22:$G95 + 4 * $H22:$H95) / $C22:$C95)</f>
      </c>
      <c r="Q23" s="20">
        <f>(($D$1:$D$86 + $K$1:$K$86) / ($C$1:$C$86 + $K$1:$K$86))</f>
      </c>
      <c r="R23" s="20">
        <f>(($D$1:$D$75 + $K$1:$K$75) / ($C$1:$C$75 + $K$1:$K$104)) + ((($E$1:$E$116) + (2 * $F$1:$F$116) + (3 * $G$1:$G$116) + (4 * $H$1:$H$116)) / $C$1:$C$75)</f>
      </c>
      <c r="S23" s="57">
        <v>7</v>
      </c>
      <c r="T23" s="14"/>
      <c r="U23" s="14"/>
      <c r="V23" s="14"/>
      <c r="W23" s="14"/>
    </row>
    <row x14ac:dyDescent="0.25" r="24" customHeight="1" ht="21">
      <c r="A24" s="70" t="s">
        <v>34</v>
      </c>
      <c r="B24" s="20">
        <f>$D$1:$D$86/$C$1:$C$86</f>
      </c>
      <c r="C24" s="21">
        <v>1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/>
      <c r="L24" s="21"/>
      <c r="M24" s="17">
        <f>($E23:$E96*1 + $F23:$F96*2 + $G23:$G96*3 + $H23:$H96*4)</f>
      </c>
      <c r="N24" s="60">
        <f>ROUND($D23:$D96 * ($M23:$M96 / $C23:$C96), 2)</f>
      </c>
      <c r="O24" s="61">
        <v>-0.01</v>
      </c>
      <c r="P24" s="16">
        <f>(($E23:$E96 + 2 * $F23:$F96 + 3 * $G23:$G96 + 4 * $H23:$H96) / $C23:$C96)</f>
      </c>
      <c r="Q24" s="16">
        <f>(($D$1:$D$86 + $K$1:$K$86) / ($C$1:$C$86 + $K$1:$K$86))</f>
      </c>
      <c r="R24" s="16">
        <f>(($D$1:$D$75 + $K$1:$K$75) / ($C$1:$C$75 + $K$1:$K$104)) + ((($E$1:$E$116) + (2 * $F$1:$F$116) + (3 * $G$1:$G$116) + (4 * $H$1:$H$116)) / $C$1:$C$75)</f>
      </c>
      <c r="S24" s="62">
        <v>2</v>
      </c>
      <c r="T24" s="14"/>
      <c r="U24" s="14"/>
      <c r="V24" s="14"/>
      <c r="W24" s="14"/>
    </row>
    <row x14ac:dyDescent="0.25" r="25" customHeight="1" ht="21">
      <c r="A25" s="19" t="s">
        <v>72</v>
      </c>
      <c r="B25" s="20">
        <f>$D$1:$D$86/$C$1:$C$86</f>
      </c>
      <c r="C25" s="21">
        <v>1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f>($E24:$E93*1 + $F24:$F93*2 + $G24:$G93*3 + $H24:$H93*4)</f>
      </c>
      <c r="N25" s="58">
        <f>ROUND($D24:$D94 * ($M24:$M94 / $C24:$C94), 2)</f>
      </c>
      <c r="O25" s="59">
        <v>-0.01</v>
      </c>
      <c r="P25" s="20">
        <f>(($E25 + 2 * $F25 + 3 * $G25 + 4 * $H25) / $C25)</f>
      </c>
      <c r="Q25" s="20">
        <f>(($D$1:$D$86 + $K$1:$K$86) / ($C$1:$C$86 + $K$1:$K$86))</f>
      </c>
      <c r="R25" s="20">
        <f>(($D$14:$D$75 + $K$14:$K$75) / ($C$14:$C$75 + $K$1:$K$104)) + ((($E25:$E123) + (2 * $F25:$F123) + (3 * $G25:$G123) + (4 * $H25:$H123)) / $C$14:$C$75)</f>
      </c>
      <c r="S25" s="64">
        <v>1</v>
      </c>
      <c r="T25" s="14"/>
      <c r="U25" s="14"/>
      <c r="V25" s="14"/>
      <c r="W25" s="14"/>
    </row>
    <row x14ac:dyDescent="0.25" r="26" customHeight="1" ht="14.25">
      <c r="A26" s="23" t="s">
        <v>60</v>
      </c>
      <c r="B26" s="20">
        <f>$D$1:$D$87/$C$1:$C$87</f>
      </c>
      <c r="C26" s="21">
        <v>2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/>
      <c r="L26" s="21"/>
      <c r="M26" s="17">
        <v>0</v>
      </c>
      <c r="N26" s="60">
        <f>ROUND($D22:$D95 * ($M22:$M95 / $C22:$C95), 2)</f>
      </c>
      <c r="O26" s="61">
        <v>-0.03</v>
      </c>
      <c r="P26" s="20">
        <f>(($E26:$E39 + 2 * $F26:$F39 + 3 * $G26:$G39 + 4 * $H26:$H39) / $C26:$C39)</f>
      </c>
      <c r="Q26" s="16">
        <f>(($D$1:$D$87 + $K$1:$K$87) / ($C$1:$C$87 + $K$1:$K$87))</f>
      </c>
      <c r="R26" s="16">
        <f>(($D$1:$D$76 + $K$1:$K$76) / ($C$1:$C$76 + $K$1:$K$105)) + ((($E$1:$E$117) + (2 * $F$1:$F$117) + (3 * $G$1:$G$117) + (4 * $H$1:$H$117)) / $C$1:$C$76)</f>
      </c>
      <c r="S26" s="62">
        <v>1</v>
      </c>
      <c r="T26" s="14"/>
      <c r="U26" s="14"/>
      <c r="V26" s="14"/>
      <c r="W26" s="14"/>
    </row>
    <row x14ac:dyDescent="0.25" r="27" customHeight="1" ht="14.25">
      <c r="A27" s="19" t="s">
        <v>54</v>
      </c>
      <c r="B27" s="20">
        <f>$D$1:$D$86/$C$1:$C$86</f>
      </c>
      <c r="C27" s="21">
        <v>4</v>
      </c>
      <c r="D27" s="21">
        <v>1</v>
      </c>
      <c r="E27" s="21">
        <v>1</v>
      </c>
      <c r="F27" s="21">
        <v>0</v>
      </c>
      <c r="G27" s="21">
        <v>0</v>
      </c>
      <c r="H27" s="21">
        <v>0</v>
      </c>
      <c r="I27" s="21">
        <v>0</v>
      </c>
      <c r="J27" s="21">
        <v>1</v>
      </c>
      <c r="K27" s="21">
        <v>0</v>
      </c>
      <c r="L27" s="21">
        <v>0</v>
      </c>
      <c r="M27" s="21">
        <f>($E25:$E98*1 + $F25:$F98*2 + $G25:$G98*3 + $H25:$H98*4)</f>
      </c>
      <c r="N27" s="58">
        <f>ROUND($D25:$D98 * ($M25:$M98 / $C25:$C98), 2)</f>
      </c>
      <c r="O27" s="59">
        <v>-0.04</v>
      </c>
      <c r="P27" s="20">
        <f>(($E25:$E98 + 2 * $F25:$F98 + 3 * $G25:$G98 + 4 * $H25:$H98) / $C25:$C98)</f>
      </c>
      <c r="Q27" s="20">
        <f>(($D$1:$D$86 + $K$1:$K$86) / ($C$1:$C$86 + $K$1:$K$86))</f>
      </c>
      <c r="R27" s="20">
        <f>(($D$1:$D$75 + $K$1:$K$75) / ($C$1:$C$75 + $K$1:$K$104)) + ((($E$1:$E$116) + (2 * $F$1:$F$116) + (3 * $G$1:$G$116) + (4 * $H$1:$H$116)) / $C$1:$C$75)</f>
      </c>
      <c r="S27" s="64">
        <v>2</v>
      </c>
      <c r="T27" s="14"/>
      <c r="U27" s="14"/>
      <c r="V27" s="14"/>
      <c r="W27" s="14"/>
    </row>
    <row x14ac:dyDescent="0.25" r="28" customHeight="1" ht="14.25">
      <c r="A28" s="15" t="s">
        <v>53</v>
      </c>
      <c r="B28" s="16">
        <f>$D$1:$D$87/$C$1:$C$87</f>
      </c>
      <c r="C28" s="17">
        <v>17</v>
      </c>
      <c r="D28" s="17">
        <v>6</v>
      </c>
      <c r="E28" s="17">
        <v>6</v>
      </c>
      <c r="F28" s="17">
        <v>0</v>
      </c>
      <c r="G28" s="17">
        <v>0</v>
      </c>
      <c r="H28" s="17">
        <v>0</v>
      </c>
      <c r="I28" s="17">
        <v>1</v>
      </c>
      <c r="J28" s="17">
        <v>1</v>
      </c>
      <c r="K28" s="17">
        <v>0</v>
      </c>
      <c r="L28" s="17">
        <v>0</v>
      </c>
      <c r="M28" s="17">
        <f>($E23:$E96*1 + $F23:$F96*2 + $G23:$G96*3 + $H23:$H96*4)</f>
      </c>
      <c r="N28" s="60">
        <f>ROUND($D24:$D97 * ($M24:$M97 / $C24:$C97), 2)</f>
      </c>
      <c r="O28" s="61">
        <v>-0.07</v>
      </c>
      <c r="P28" s="16">
        <f>(($E28:$E41 + 2 * $F28:$F41 + 3 * $G28:$G41 + 4 * $H28:$H41) / $C28:$C41)</f>
      </c>
      <c r="Q28" s="16">
        <f>(($D$1:$D$87 + $K$1:$K$87) / ($C$1:$C$87 + $K$1:$K$87))</f>
      </c>
      <c r="R28" s="16">
        <f>(($D$1:$D$76 + $K$1:$K$76) / ($C$1:$C$76 + $K$1:$K$105)) + ((($E$1:$E$117) + (2 * $F$1:$F$117) + (3 * $G$1:$G$117) + (4 * $H$1:$H$117)) / $C$1:$C$76)</f>
      </c>
      <c r="S28" s="62">
        <v>6</v>
      </c>
      <c r="T28" s="14"/>
      <c r="U28" s="14"/>
      <c r="V28" s="4"/>
      <c r="W28" s="4"/>
    </row>
    <row x14ac:dyDescent="0.25" r="29" customHeight="1" ht="14.25">
      <c r="A29" s="47" t="s">
        <v>39</v>
      </c>
      <c r="B29" s="48">
        <f>$D$1:$D$86/$C$1:$C$86</f>
      </c>
      <c r="C29" s="49">
        <v>10</v>
      </c>
      <c r="D29" s="49">
        <v>2</v>
      </c>
      <c r="E29" s="49">
        <v>2</v>
      </c>
      <c r="F29" s="49">
        <v>0</v>
      </c>
      <c r="G29" s="49">
        <v>0</v>
      </c>
      <c r="H29" s="49">
        <v>0</v>
      </c>
      <c r="I29" s="49">
        <v>2</v>
      </c>
      <c r="J29" s="49">
        <v>2</v>
      </c>
      <c r="K29" s="49">
        <v>0</v>
      </c>
      <c r="L29" s="49">
        <v>0</v>
      </c>
      <c r="M29" s="26">
        <f>($E28:$E97*1 + $F28:$F97*2 + $G28:$G97*3 + $H28:$H97*4)</f>
      </c>
      <c r="N29" s="73">
        <f>ROUND($D28:$D97 * ($M28:$M97 / $C28:$C97), 2)</f>
      </c>
      <c r="O29" s="74">
        <v>-0.11</v>
      </c>
      <c r="P29" s="48">
        <f>(($E28:$E97 + 2 * $F28:$F97 + 3 * $G28:$G97 + 4 * $H28:$H97) / $C28:$C97)</f>
      </c>
      <c r="Q29" s="48">
        <f>(($D$1:$D$86 + $K$1:$K$86) / ($C$1:$C$86 + $K$1:$K$86))</f>
      </c>
      <c r="R29" s="25">
        <f>(($D$1:$D$75 + $K$1:$K$75) / ($C$1:$C$75 + $K$1:$K$104)) + ((($E$1:$E$116) + (2 * $F$1:$F$116) + (3 * $G$1:$G$116) + (4 * $H$1:$H$116)) / $C$1:$C$75)</f>
      </c>
      <c r="S29" s="75">
        <v>3</v>
      </c>
      <c r="T29" s="14"/>
      <c r="U29" s="14"/>
      <c r="V29" s="4"/>
      <c r="W29" s="4"/>
    </row>
    <row x14ac:dyDescent="0.25" r="30" customHeight="1" ht="14.25">
      <c r="A30" s="29"/>
      <c r="B30" s="29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29"/>
      <c r="O30" s="76"/>
      <c r="P30" s="29"/>
      <c r="Q30" s="29"/>
      <c r="R30" s="4"/>
      <c r="S30" s="28"/>
      <c r="T30" s="14"/>
      <c r="U30" s="14"/>
      <c r="V30" s="4"/>
      <c r="W30" s="4"/>
    </row>
    <row x14ac:dyDescent="0.25" r="31" customHeight="1" ht="14.25">
      <c r="A31" s="29"/>
      <c r="B31" s="29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29"/>
      <c r="O31" s="76"/>
      <c r="P31" s="29"/>
      <c r="Q31" s="29"/>
      <c r="R31" s="4"/>
      <c r="S31" s="28"/>
      <c r="T31" s="14"/>
      <c r="U31" s="14"/>
      <c r="V31" s="4"/>
      <c r="W31" s="4"/>
    </row>
    <row x14ac:dyDescent="0.25" r="32" customHeight="1" ht="14.25">
      <c r="A32" s="29"/>
      <c r="B32" s="29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29"/>
      <c r="O32" s="76"/>
      <c r="P32" s="29"/>
      <c r="Q32" s="29"/>
      <c r="R32" s="4"/>
      <c r="S32" s="28"/>
      <c r="T32" s="14"/>
      <c r="U32" s="14"/>
      <c r="V32" s="4"/>
      <c r="W32" s="4"/>
    </row>
    <row x14ac:dyDescent="0.25" r="33" customHeight="1" ht="14.25">
      <c r="A33" s="29"/>
      <c r="B33" s="29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29"/>
      <c r="O33" s="76"/>
      <c r="P33" s="29"/>
      <c r="Q33" s="29"/>
      <c r="R33" s="4"/>
      <c r="S33" s="28"/>
      <c r="T33" s="14"/>
      <c r="U33" s="14"/>
      <c r="V33" s="4"/>
      <c r="W33" s="4"/>
    </row>
    <row x14ac:dyDescent="0.25" r="34" customHeight="1" ht="14.25">
      <c r="A34" s="29"/>
      <c r="B34" s="29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29"/>
      <c r="O34" s="76"/>
      <c r="P34" s="29"/>
      <c r="Q34" s="29"/>
      <c r="R34" s="4"/>
      <c r="S34" s="28"/>
      <c r="T34" s="14"/>
      <c r="U34" s="14"/>
      <c r="V34" s="4"/>
      <c r="W34" s="4"/>
    </row>
    <row x14ac:dyDescent="0.25" r="35" customHeight="1" ht="14.25">
      <c r="A35" s="29"/>
      <c r="B35" s="29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29"/>
      <c r="O35" s="76"/>
      <c r="P35" s="29"/>
      <c r="Q35" s="29"/>
      <c r="R35" s="4"/>
      <c r="S35" s="28"/>
      <c r="T35" s="14"/>
      <c r="U35" s="14"/>
      <c r="V35" s="4"/>
      <c r="W35" s="4"/>
    </row>
    <row x14ac:dyDescent="0.25" r="36" customHeight="1" ht="14.25">
      <c r="A36" s="29"/>
      <c r="B36" s="29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29"/>
      <c r="O36" s="76"/>
      <c r="P36" s="29"/>
      <c r="Q36" s="29"/>
      <c r="R36" s="4"/>
      <c r="S36" s="28"/>
      <c r="T36" s="14"/>
      <c r="U36" s="14"/>
      <c r="V36" s="4"/>
      <c r="W36" s="4"/>
    </row>
    <row x14ac:dyDescent="0.25" r="37" customHeight="1" ht="14.25">
      <c r="A37" s="29"/>
      <c r="B37" s="29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29"/>
      <c r="O37" s="76"/>
      <c r="P37" s="29"/>
      <c r="Q37" s="29"/>
      <c r="R37" s="4"/>
      <c r="S37" s="28"/>
      <c r="T37" s="14"/>
      <c r="U37" s="14"/>
      <c r="V37" s="4"/>
      <c r="W37" s="4"/>
    </row>
    <row x14ac:dyDescent="0.25" r="38" customHeight="1" ht="14.25">
      <c r="A38" s="29"/>
      <c r="B38" s="29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29"/>
      <c r="O38" s="76"/>
      <c r="P38" s="29"/>
      <c r="Q38" s="29"/>
      <c r="R38" s="4"/>
      <c r="S38" s="28"/>
      <c r="T38" s="14"/>
      <c r="U38" s="14"/>
      <c r="V38" s="4"/>
      <c r="W38" s="4"/>
    </row>
    <row x14ac:dyDescent="0.25" r="39" customHeight="1" ht="14.25">
      <c r="A39" s="29"/>
      <c r="B39" s="29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29"/>
      <c r="O39" s="76"/>
      <c r="P39" s="29"/>
      <c r="Q39" s="29"/>
      <c r="R39" s="4"/>
      <c r="S39" s="28"/>
      <c r="T39" s="14"/>
      <c r="U39" s="14"/>
      <c r="V39" s="4"/>
      <c r="W39" s="4"/>
    </row>
    <row x14ac:dyDescent="0.25" r="40" customHeight="1" ht="14.25">
      <c r="A40" s="29"/>
      <c r="B40" s="29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29"/>
      <c r="O40" s="76"/>
      <c r="P40" s="29"/>
      <c r="Q40" s="29"/>
      <c r="R40" s="4"/>
      <c r="S40" s="28"/>
      <c r="T40" s="14"/>
      <c r="U40" s="14"/>
      <c r="V40" s="4"/>
      <c r="W40" s="4"/>
    </row>
    <row x14ac:dyDescent="0.25" r="41" customHeight="1" ht="14.25">
      <c r="A41" s="29"/>
      <c r="B41" s="29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29"/>
      <c r="O41" s="76"/>
      <c r="P41" s="29"/>
      <c r="Q41" s="29"/>
      <c r="R41" s="4"/>
      <c r="S41" s="28"/>
      <c r="T41" s="4"/>
      <c r="U41" s="4"/>
      <c r="V41" s="4"/>
      <c r="W41" s="4"/>
    </row>
    <row x14ac:dyDescent="0.25" r="42" customHeight="1" ht="14.25">
      <c r="A42" s="29"/>
      <c r="B42" s="29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29"/>
      <c r="O42" s="76"/>
      <c r="P42" s="29"/>
      <c r="Q42" s="29"/>
      <c r="R42" s="4"/>
      <c r="S42" s="28"/>
      <c r="T42" s="4"/>
      <c r="U42" s="4"/>
      <c r="V42" s="4"/>
      <c r="W42" s="4"/>
    </row>
    <row x14ac:dyDescent="0.25" r="43" customHeight="1" ht="14.25">
      <c r="A43" s="29"/>
      <c r="B43" s="29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29"/>
      <c r="O43" s="76"/>
      <c r="P43" s="29"/>
      <c r="Q43" s="29"/>
      <c r="R43" s="4"/>
      <c r="S43" s="28"/>
      <c r="T43" s="4"/>
      <c r="U43" s="4"/>
      <c r="V43" s="4"/>
      <c r="W43" s="4"/>
    </row>
    <row x14ac:dyDescent="0.25" r="44" customHeight="1" ht="14.25">
      <c r="A44" s="29"/>
      <c r="B44" s="29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29"/>
      <c r="O44" s="76"/>
      <c r="P44" s="29"/>
      <c r="Q44" s="29"/>
      <c r="R44" s="4"/>
      <c r="S44" s="28"/>
      <c r="T44" s="4"/>
      <c r="U44" s="4"/>
      <c r="V44" s="4"/>
      <c r="W44" s="4"/>
    </row>
    <row x14ac:dyDescent="0.25" r="45" customHeight="1" ht="12.75">
      <c r="A45" s="29"/>
      <c r="B45" s="29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29"/>
      <c r="O45" s="76"/>
      <c r="P45" s="29"/>
      <c r="Q45" s="29"/>
      <c r="R45" s="4"/>
      <c r="S45" s="32"/>
      <c r="T45" s="4"/>
      <c r="U45" s="4"/>
      <c r="V45" s="4"/>
      <c r="W45" s="4"/>
    </row>
    <row x14ac:dyDescent="0.25" r="46" customHeight="1" ht="12.75">
      <c r="A46" s="29"/>
      <c r="B46" s="29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29"/>
      <c r="O46" s="76"/>
      <c r="P46" s="29"/>
      <c r="Q46" s="29"/>
      <c r="R46" s="4"/>
      <c r="S46" s="32"/>
      <c r="T46" s="4"/>
      <c r="U46" s="4"/>
      <c r="V46" s="4"/>
      <c r="W46" s="4"/>
    </row>
    <row x14ac:dyDescent="0.25" r="47" customHeight="1" ht="12.75">
      <c r="A47" s="29"/>
      <c r="B47" s="29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29"/>
      <c r="O47" s="76"/>
      <c r="P47" s="29"/>
      <c r="Q47" s="29"/>
      <c r="R47" s="4"/>
      <c r="S47" s="32"/>
      <c r="T47" s="4"/>
      <c r="U47" s="4"/>
      <c r="V47" s="4"/>
      <c r="W47" s="4"/>
    </row>
    <row x14ac:dyDescent="0.25" r="48" customHeight="1" ht="12.75">
      <c r="A48" s="29"/>
      <c r="B48" s="29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29"/>
      <c r="O48" s="76"/>
      <c r="P48" s="29"/>
      <c r="Q48" s="29"/>
      <c r="R48" s="4"/>
      <c r="S48" s="32"/>
      <c r="T48" s="4"/>
      <c r="U48" s="4"/>
      <c r="V48" s="4"/>
      <c r="W48" s="4"/>
    </row>
    <row x14ac:dyDescent="0.25" r="49" customHeight="1" ht="12.75">
      <c r="A49" s="29"/>
      <c r="B49" s="29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29"/>
      <c r="O49" s="76"/>
      <c r="P49" s="29"/>
      <c r="Q49" s="29"/>
      <c r="R49" s="4"/>
      <c r="S49" s="32"/>
      <c r="T49" s="4"/>
      <c r="U49" s="4"/>
      <c r="V49" s="4"/>
      <c r="W49" s="4"/>
    </row>
    <row x14ac:dyDescent="0.25" r="50" customHeight="1" ht="12.75">
      <c r="A50" s="29"/>
      <c r="B50" s="29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29"/>
      <c r="O50" s="76"/>
      <c r="P50" s="29"/>
      <c r="Q50" s="29"/>
      <c r="R50" s="4"/>
      <c r="S50" s="32"/>
      <c r="T50" s="4"/>
      <c r="U50" s="4"/>
      <c r="V50" s="4"/>
      <c r="W50" s="4"/>
    </row>
    <row x14ac:dyDescent="0.25" r="51" customHeight="1" ht="12.75">
      <c r="A51" s="29"/>
      <c r="B51" s="29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29"/>
      <c r="O51" s="76"/>
      <c r="P51" s="29"/>
      <c r="Q51" s="29"/>
      <c r="R51" s="4"/>
      <c r="S51" s="32"/>
      <c r="T51" s="4"/>
      <c r="U51" s="4"/>
      <c r="V51" s="4"/>
      <c r="W51" s="4"/>
    </row>
    <row x14ac:dyDescent="0.25" r="52" customHeight="1" ht="12.75">
      <c r="A52" s="4"/>
      <c r="B52" s="29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29"/>
      <c r="O52" s="76"/>
      <c r="P52" s="29"/>
      <c r="Q52" s="29"/>
      <c r="R52" s="4"/>
      <c r="S52" s="32"/>
      <c r="T52" s="4"/>
      <c r="U52" s="4"/>
      <c r="V52" s="4"/>
      <c r="W52" s="4"/>
    </row>
    <row x14ac:dyDescent="0.25" r="53" customHeight="1" ht="12.75">
      <c r="A53" s="4"/>
      <c r="B53" s="29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29"/>
      <c r="O53" s="76"/>
      <c r="P53" s="29"/>
      <c r="Q53" s="29"/>
      <c r="R53" s="4"/>
      <c r="S53" s="32"/>
      <c r="T53" s="4"/>
      <c r="U53" s="4"/>
      <c r="V53" s="4"/>
      <c r="W53" s="4"/>
    </row>
    <row x14ac:dyDescent="0.25" r="54" customHeight="1" ht="12.75">
      <c r="A54" s="4"/>
      <c r="B54" s="29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29"/>
      <c r="O54" s="76"/>
      <c r="P54" s="29"/>
      <c r="Q54" s="29"/>
      <c r="R54" s="4"/>
      <c r="S54" s="32"/>
      <c r="T54" s="4"/>
      <c r="U54" s="4"/>
      <c r="V54" s="4"/>
      <c r="W54" s="4"/>
    </row>
    <row x14ac:dyDescent="0.25" r="55" customHeight="1" ht="12.75">
      <c r="A55" s="4"/>
      <c r="B55" s="29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29"/>
      <c r="O55" s="76"/>
      <c r="P55" s="29"/>
      <c r="Q55" s="29"/>
      <c r="R55" s="4"/>
      <c r="S55" s="32"/>
      <c r="T55" s="4"/>
      <c r="U55" s="4"/>
      <c r="V55" s="4"/>
      <c r="W55" s="4"/>
    </row>
    <row x14ac:dyDescent="0.25" r="56" customHeight="1" ht="12.75">
      <c r="A56" s="4"/>
      <c r="B56" s="29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29"/>
      <c r="O56" s="76"/>
      <c r="P56" s="29"/>
      <c r="Q56" s="29"/>
      <c r="R56" s="4"/>
      <c r="S56" s="32"/>
      <c r="T56" s="4"/>
      <c r="U56" s="4"/>
      <c r="V56" s="4"/>
      <c r="W56" s="4"/>
    </row>
    <row x14ac:dyDescent="0.25" r="57" customHeight="1" ht="12.75">
      <c r="A57" s="4"/>
      <c r="B57" s="29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29"/>
      <c r="O57" s="76"/>
      <c r="P57" s="29"/>
      <c r="Q57" s="29"/>
      <c r="R57" s="4"/>
      <c r="S57" s="32"/>
      <c r="T57" s="4"/>
      <c r="U57" s="4"/>
      <c r="V57" s="4"/>
      <c r="W57" s="4"/>
    </row>
    <row x14ac:dyDescent="0.25" r="58" customHeight="1" ht="12.75">
      <c r="A58" s="4"/>
      <c r="B58" s="29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29"/>
      <c r="O58" s="76"/>
      <c r="P58" s="29"/>
      <c r="Q58" s="29"/>
      <c r="R58" s="4"/>
      <c r="S58" s="32"/>
      <c r="T58" s="4"/>
      <c r="U58" s="4"/>
      <c r="V58" s="4"/>
      <c r="W58" s="4"/>
    </row>
    <row x14ac:dyDescent="0.25" r="59" customHeight="1" ht="12.75">
      <c r="A59" s="4"/>
      <c r="B59" s="29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29"/>
      <c r="O59" s="76"/>
      <c r="P59" s="29"/>
      <c r="Q59" s="29"/>
      <c r="R59" s="4"/>
      <c r="S59" s="32"/>
      <c r="T59" s="4"/>
      <c r="U59" s="4"/>
      <c r="V59" s="4"/>
      <c r="W59" s="4"/>
    </row>
    <row x14ac:dyDescent="0.25" r="60" customHeight="1" ht="12.75">
      <c r="A60" s="4"/>
      <c r="B60" s="29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29"/>
      <c r="O60" s="76"/>
      <c r="P60" s="29"/>
      <c r="Q60" s="29"/>
      <c r="R60" s="4"/>
      <c r="S60" s="32"/>
      <c r="T60" s="4"/>
      <c r="U60" s="4"/>
      <c r="V60" s="4"/>
      <c r="W60" s="4"/>
    </row>
    <row x14ac:dyDescent="0.25" r="61" customHeight="1" ht="12.75">
      <c r="A61" s="4"/>
      <c r="B61" s="29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29"/>
      <c r="O61" s="76"/>
      <c r="P61" s="29"/>
      <c r="Q61" s="29"/>
      <c r="R61" s="4"/>
      <c r="S61" s="32"/>
      <c r="T61" s="4"/>
      <c r="U61" s="4"/>
      <c r="V61" s="4"/>
      <c r="W61" s="4"/>
    </row>
    <row x14ac:dyDescent="0.25" r="62" customHeight="1" ht="12.75">
      <c r="A62" s="4"/>
      <c r="B62" s="29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29"/>
      <c r="O62" s="76"/>
      <c r="P62" s="29"/>
      <c r="Q62" s="29"/>
      <c r="R62" s="4"/>
      <c r="S62" s="32"/>
      <c r="T62" s="4"/>
      <c r="U62" s="4"/>
      <c r="V62" s="4"/>
      <c r="W62" s="4"/>
    </row>
    <row x14ac:dyDescent="0.25" r="63" customHeight="1" ht="12.75">
      <c r="A63" s="4"/>
      <c r="B63" s="29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29"/>
      <c r="O63" s="76"/>
      <c r="P63" s="29"/>
      <c r="Q63" s="29"/>
      <c r="R63" s="4"/>
      <c r="S63" s="32"/>
      <c r="T63" s="4"/>
      <c r="U63" s="4"/>
      <c r="V63" s="4"/>
      <c r="W63" s="4"/>
    </row>
    <row x14ac:dyDescent="0.25" r="64" customHeight="1" ht="12.75">
      <c r="A64" s="4"/>
      <c r="B64" s="29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29"/>
      <c r="O64" s="76"/>
      <c r="P64" s="29"/>
      <c r="Q64" s="29"/>
      <c r="R64" s="4"/>
      <c r="S64" s="32"/>
      <c r="T64" s="4"/>
      <c r="U64" s="4"/>
      <c r="V64" s="4"/>
      <c r="W64" s="4"/>
    </row>
    <row x14ac:dyDescent="0.25" r="65" customHeight="1" ht="12.75">
      <c r="A65" s="4"/>
      <c r="B65" s="29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29"/>
      <c r="O65" s="76"/>
      <c r="P65" s="29"/>
      <c r="Q65" s="29"/>
      <c r="R65" s="4"/>
      <c r="S65" s="32"/>
      <c r="T65" s="4"/>
      <c r="U65" s="4"/>
      <c r="V65" s="4"/>
      <c r="W65" s="4"/>
    </row>
    <row x14ac:dyDescent="0.25" r="66" customHeight="1" ht="12.75">
      <c r="A66" s="4"/>
      <c r="B66" s="29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29"/>
      <c r="O66" s="76"/>
      <c r="P66" s="29"/>
      <c r="Q66" s="29"/>
      <c r="R66" s="4"/>
      <c r="S66" s="32"/>
      <c r="T66" s="4"/>
      <c r="U66" s="4"/>
      <c r="V66" s="4"/>
      <c r="W66" s="4"/>
    </row>
    <row x14ac:dyDescent="0.25" r="67" customHeight="1" ht="12.75">
      <c r="A67" s="4"/>
      <c r="B67" s="29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29"/>
      <c r="O67" s="76"/>
      <c r="P67" s="29"/>
      <c r="Q67" s="29"/>
      <c r="R67" s="4"/>
      <c r="S67" s="32"/>
      <c r="T67" s="4"/>
      <c r="U67" s="4"/>
      <c r="V67" s="4"/>
      <c r="W67" s="4"/>
    </row>
    <row x14ac:dyDescent="0.25" r="68" customHeight="1" ht="12.75">
      <c r="A68" s="4"/>
      <c r="B68" s="29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29"/>
      <c r="O68" s="76"/>
      <c r="P68" s="29"/>
      <c r="Q68" s="29"/>
      <c r="R68" s="4"/>
      <c r="S68" s="32"/>
      <c r="T68" s="4"/>
      <c r="U68" s="4"/>
      <c r="V68" s="4"/>
      <c r="W68" s="4"/>
    </row>
    <row x14ac:dyDescent="0.25" r="69" customHeight="1" ht="12.75">
      <c r="A69" s="4"/>
      <c r="B69" s="29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29"/>
      <c r="O69" s="76"/>
      <c r="P69" s="29"/>
      <c r="Q69" s="29"/>
      <c r="R69" s="4"/>
      <c r="S69" s="32"/>
      <c r="T69" s="4"/>
      <c r="U69" s="4"/>
      <c r="V69" s="4"/>
      <c r="W69" s="4"/>
    </row>
    <row x14ac:dyDescent="0.25" r="70" customHeight="1" ht="12.75">
      <c r="A70" s="4"/>
      <c r="B70" s="29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29"/>
      <c r="O70" s="76"/>
      <c r="P70" s="29"/>
      <c r="Q70" s="29"/>
      <c r="R70" s="4"/>
      <c r="S70" s="32"/>
      <c r="T70" s="4"/>
      <c r="U70" s="4"/>
      <c r="V70" s="4"/>
      <c r="W70" s="4"/>
    </row>
    <row x14ac:dyDescent="0.25" r="71" customHeight="1" ht="12.75">
      <c r="A71" s="4"/>
      <c r="B71" s="29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29"/>
      <c r="O71" s="76"/>
      <c r="P71" s="29"/>
      <c r="Q71" s="29"/>
      <c r="R71" s="4"/>
      <c r="S71" s="32"/>
      <c r="T71" s="4"/>
      <c r="U71" s="4"/>
      <c r="V71" s="4"/>
      <c r="W71" s="4"/>
    </row>
    <row x14ac:dyDescent="0.25" r="72" customHeight="1" ht="12.75">
      <c r="A72" s="4"/>
      <c r="B72" s="29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29"/>
      <c r="O72" s="76"/>
      <c r="P72" s="29"/>
      <c r="Q72" s="29"/>
      <c r="R72" s="4"/>
      <c r="S72" s="32"/>
      <c r="T72" s="4"/>
      <c r="U72" s="4"/>
      <c r="V72" s="4"/>
      <c r="W72" s="4"/>
    </row>
    <row x14ac:dyDescent="0.25" r="73" customHeight="1" ht="12.75">
      <c r="A73" s="4"/>
      <c r="B73" s="29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29"/>
      <c r="O73" s="76"/>
      <c r="P73" s="29"/>
      <c r="Q73" s="29"/>
      <c r="R73" s="4"/>
      <c r="S73" s="32"/>
      <c r="T73" s="4"/>
      <c r="U73" s="4"/>
      <c r="V73" s="4"/>
      <c r="W73" s="4"/>
    </row>
    <row x14ac:dyDescent="0.25" r="74" customHeight="1" ht="12.75">
      <c r="A74" s="4"/>
      <c r="B74" s="29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29"/>
      <c r="O74" s="76"/>
      <c r="P74" s="29"/>
      <c r="Q74" s="29"/>
      <c r="R74" s="4"/>
      <c r="S74" s="32"/>
      <c r="T74" s="4"/>
      <c r="U74" s="4"/>
      <c r="V74" s="4"/>
      <c r="W74" s="4"/>
    </row>
    <row x14ac:dyDescent="0.25" r="75" customHeight="1" ht="12.75">
      <c r="A75" s="4"/>
      <c r="B75" s="29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29"/>
      <c r="O75" s="76"/>
      <c r="P75" s="29"/>
      <c r="Q75" s="29"/>
      <c r="R75" s="4"/>
      <c r="S75" s="32"/>
      <c r="T75" s="4"/>
      <c r="U75" s="4"/>
      <c r="V75" s="4"/>
      <c r="W75" s="4"/>
    </row>
    <row x14ac:dyDescent="0.25" r="76" customHeight="1" ht="12.75">
      <c r="A76" s="4"/>
      <c r="B76" s="29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29"/>
      <c r="O76" s="76"/>
      <c r="P76" s="29"/>
      <c r="Q76" s="29"/>
      <c r="R76" s="4"/>
      <c r="S76" s="32"/>
      <c r="T76" s="4"/>
      <c r="U76" s="4"/>
      <c r="V76" s="4"/>
      <c r="W76" s="4"/>
    </row>
    <row x14ac:dyDescent="0.25" r="77" customHeight="1" ht="12.75">
      <c r="A77" s="4"/>
      <c r="B77" s="29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29"/>
      <c r="O77" s="76"/>
      <c r="P77" s="29"/>
      <c r="Q77" s="29"/>
      <c r="R77" s="4"/>
      <c r="S77" s="32"/>
      <c r="T77" s="4"/>
      <c r="U77" s="4"/>
      <c r="V77" s="4"/>
      <c r="W77" s="4"/>
    </row>
    <row x14ac:dyDescent="0.25" r="78" customHeight="1" ht="12.75">
      <c r="A78" s="4"/>
      <c r="B78" s="29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29"/>
      <c r="O78" s="76"/>
      <c r="P78" s="29"/>
      <c r="Q78" s="29"/>
      <c r="R78" s="4"/>
      <c r="S78" s="32"/>
      <c r="T78" s="4"/>
      <c r="U78" s="4"/>
      <c r="V78" s="4"/>
      <c r="W78" s="4"/>
    </row>
    <row x14ac:dyDescent="0.25" r="79" customHeight="1" ht="12.75">
      <c r="A79" s="4"/>
      <c r="B79" s="29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29"/>
      <c r="O79" s="76"/>
      <c r="P79" s="29"/>
      <c r="Q79" s="29"/>
      <c r="R79" s="4"/>
      <c r="S79" s="32"/>
      <c r="T79" s="4"/>
      <c r="U79" s="4"/>
      <c r="V79" s="4"/>
      <c r="W79" s="4"/>
    </row>
    <row x14ac:dyDescent="0.25" r="80" customHeight="1" ht="12.75">
      <c r="A80" s="4"/>
      <c r="B80" s="29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29"/>
      <c r="O80" s="76"/>
      <c r="P80" s="29"/>
      <c r="Q80" s="29"/>
      <c r="R80" s="4"/>
      <c r="S80" s="32"/>
      <c r="T80" s="4"/>
      <c r="U80" s="4"/>
      <c r="V80" s="4"/>
      <c r="W80" s="4"/>
    </row>
    <row x14ac:dyDescent="0.25" r="81" customHeight="1" ht="12.75">
      <c r="A81" s="4"/>
      <c r="B81" s="29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29"/>
      <c r="O81" s="76"/>
      <c r="P81" s="29"/>
      <c r="Q81" s="29"/>
      <c r="R81" s="4"/>
      <c r="S81" s="32"/>
      <c r="T81" s="4"/>
      <c r="U81" s="4"/>
      <c r="V81" s="4"/>
      <c r="W81" s="4"/>
    </row>
    <row x14ac:dyDescent="0.25" r="82" customHeight="1" ht="12.75">
      <c r="A82" s="4"/>
      <c r="B82" s="29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29"/>
      <c r="O82" s="76"/>
      <c r="P82" s="29"/>
      <c r="Q82" s="29"/>
      <c r="R82" s="4"/>
      <c r="S82" s="32"/>
      <c r="T82" s="4"/>
      <c r="U82" s="4"/>
      <c r="V82" s="4"/>
      <c r="W82" s="4"/>
    </row>
    <row x14ac:dyDescent="0.25" r="83" customHeight="1" ht="12.75">
      <c r="A83" s="4"/>
      <c r="B83" s="29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29"/>
      <c r="O83" s="76"/>
      <c r="P83" s="29"/>
      <c r="Q83" s="29"/>
      <c r="R83" s="4"/>
      <c r="S83" s="32"/>
      <c r="T83" s="4"/>
      <c r="U83" s="4"/>
      <c r="V83" s="4"/>
      <c r="W83" s="4"/>
    </row>
    <row x14ac:dyDescent="0.25" r="84" customHeight="1" ht="12.75">
      <c r="A84" s="4"/>
      <c r="B84" s="29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29"/>
      <c r="O84" s="76"/>
      <c r="P84" s="29"/>
      <c r="Q84" s="29"/>
      <c r="R84" s="4"/>
      <c r="S84" s="32"/>
      <c r="T84" s="4"/>
      <c r="U84" s="4"/>
      <c r="V84" s="4"/>
      <c r="W84" s="4"/>
    </row>
    <row x14ac:dyDescent="0.25" r="85" customHeight="1" ht="12.75">
      <c r="A85" s="4"/>
      <c r="B85" s="29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29"/>
      <c r="O85" s="76"/>
      <c r="P85" s="29"/>
      <c r="Q85" s="29"/>
      <c r="R85" s="4"/>
      <c r="S85" s="32"/>
      <c r="T85" s="4"/>
      <c r="U85" s="4"/>
      <c r="V85" s="4"/>
      <c r="W85" s="4"/>
    </row>
    <row x14ac:dyDescent="0.25" r="86" customHeight="1" ht="12.75">
      <c r="A86" s="4"/>
      <c r="B86" s="29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29"/>
      <c r="O86" s="76"/>
      <c r="P86" s="29"/>
      <c r="Q86" s="29"/>
      <c r="R86" s="4"/>
      <c r="S86" s="32"/>
      <c r="T86" s="4"/>
      <c r="U86" s="4"/>
      <c r="V86" s="4"/>
      <c r="W86" s="4"/>
    </row>
    <row x14ac:dyDescent="0.25" r="87" customHeight="1" ht="12.75">
      <c r="A87" s="4"/>
      <c r="B87" s="29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29"/>
      <c r="O87" s="76"/>
      <c r="P87" s="29"/>
      <c r="Q87" s="29"/>
      <c r="R87" s="4"/>
      <c r="S87" s="32"/>
      <c r="T87" s="4"/>
      <c r="U87" s="4"/>
      <c r="V87" s="4"/>
      <c r="W87" s="4"/>
    </row>
    <row x14ac:dyDescent="0.25" r="88" customHeight="1" ht="12.75">
      <c r="A88" s="4"/>
      <c r="B88" s="29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29"/>
      <c r="O88" s="76"/>
      <c r="P88" s="29"/>
      <c r="Q88" s="29"/>
      <c r="R88" s="4"/>
      <c r="S88" s="32"/>
      <c r="T88" s="4"/>
      <c r="U88" s="4"/>
      <c r="V88" s="4"/>
      <c r="W88" s="4"/>
    </row>
    <row x14ac:dyDescent="0.25" r="89" customHeight="1" ht="12.75">
      <c r="A89" s="4"/>
      <c r="B89" s="29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29"/>
      <c r="O89" s="76"/>
      <c r="P89" s="29"/>
      <c r="Q89" s="29"/>
      <c r="R89" s="4"/>
      <c r="S89" s="32"/>
      <c r="T89" s="4"/>
      <c r="U89" s="4"/>
      <c r="V89" s="4"/>
      <c r="W89" s="4"/>
    </row>
    <row x14ac:dyDescent="0.25" r="90" customHeight="1" ht="12.75">
      <c r="A90" s="4"/>
      <c r="B90" s="29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29"/>
      <c r="O90" s="76"/>
      <c r="P90" s="29"/>
      <c r="Q90" s="29"/>
      <c r="R90" s="4"/>
      <c r="S90" s="32"/>
      <c r="T90" s="4"/>
      <c r="U90" s="4"/>
      <c r="V90" s="4"/>
      <c r="W90" s="4"/>
    </row>
    <row x14ac:dyDescent="0.25" r="91" customHeight="1" ht="12.75">
      <c r="A91" s="4"/>
      <c r="B91" s="29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29"/>
      <c r="O91" s="76"/>
      <c r="P91" s="29"/>
      <c r="Q91" s="29"/>
      <c r="R91" s="4"/>
      <c r="S91" s="32"/>
      <c r="T91" s="4"/>
      <c r="U91" s="4"/>
      <c r="V91" s="4"/>
      <c r="W91" s="4"/>
    </row>
    <row x14ac:dyDescent="0.25" r="92" customHeight="1" ht="12.75">
      <c r="A92" s="4"/>
      <c r="B92" s="29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29"/>
      <c r="O92" s="76"/>
      <c r="P92" s="29"/>
      <c r="Q92" s="29"/>
      <c r="R92" s="4"/>
      <c r="S92" s="32"/>
      <c r="T92" s="4"/>
      <c r="U92" s="4"/>
      <c r="V92" s="4"/>
      <c r="W92" s="4"/>
    </row>
    <row x14ac:dyDescent="0.25" r="93" customHeight="1" ht="12.75">
      <c r="A93" s="4"/>
      <c r="B93" s="29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29"/>
      <c r="O93" s="76"/>
      <c r="P93" s="29"/>
      <c r="Q93" s="29"/>
      <c r="R93" s="4"/>
      <c r="S93" s="32"/>
      <c r="T93" s="4"/>
      <c r="U93" s="4"/>
      <c r="V93" s="4"/>
      <c r="W93" s="4"/>
    </row>
    <row x14ac:dyDescent="0.25" r="94" customHeight="1" ht="12.75">
      <c r="A94" s="4"/>
      <c r="B94" s="29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29"/>
      <c r="O94" s="76"/>
      <c r="P94" s="29"/>
      <c r="Q94" s="29"/>
      <c r="R94" s="4"/>
      <c r="S94" s="32"/>
      <c r="T94" s="4"/>
      <c r="U94" s="4"/>
      <c r="V94" s="4"/>
      <c r="W94" s="4"/>
    </row>
    <row x14ac:dyDescent="0.25" r="95" customHeight="1" ht="12.75">
      <c r="A95" s="4"/>
      <c r="B95" s="29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29"/>
      <c r="O95" s="76"/>
      <c r="P95" s="29"/>
      <c r="Q95" s="29"/>
      <c r="R95" s="4"/>
      <c r="S95" s="32"/>
      <c r="T95" s="4"/>
      <c r="U95" s="4"/>
      <c r="V95" s="4"/>
      <c r="W95" s="4"/>
    </row>
    <row x14ac:dyDescent="0.25" r="96" customHeight="1" ht="12.75">
      <c r="A96" s="4"/>
      <c r="B96" s="29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29"/>
      <c r="O96" s="76"/>
      <c r="P96" s="29"/>
      <c r="Q96" s="29"/>
      <c r="R96" s="4"/>
      <c r="S96" s="32"/>
      <c r="T96" s="4"/>
      <c r="U96" s="4"/>
      <c r="V96" s="4"/>
      <c r="W96" s="4"/>
    </row>
    <row x14ac:dyDescent="0.25" r="97" customHeight="1" ht="12.75">
      <c r="A97" s="4"/>
      <c r="B97" s="29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29"/>
      <c r="O97" s="76"/>
      <c r="P97" s="29"/>
      <c r="Q97" s="29"/>
      <c r="R97" s="4"/>
      <c r="S97" s="32"/>
      <c r="T97" s="4"/>
      <c r="U97" s="4"/>
      <c r="V97" s="4"/>
      <c r="W97" s="4"/>
    </row>
    <row x14ac:dyDescent="0.25" r="98" customHeight="1" ht="12.75">
      <c r="A98" s="4"/>
      <c r="B98" s="29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29"/>
      <c r="O98" s="76"/>
      <c r="P98" s="29"/>
      <c r="Q98" s="29"/>
      <c r="R98" s="4"/>
      <c r="S98" s="32"/>
      <c r="T98" s="4"/>
      <c r="U98" s="4"/>
      <c r="V98" s="4"/>
      <c r="W98" s="4"/>
    </row>
    <row x14ac:dyDescent="0.25" r="99" customHeight="1" ht="12.75">
      <c r="A99" s="4"/>
      <c r="B99" s="29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29"/>
      <c r="O99" s="76"/>
      <c r="P99" s="29"/>
      <c r="Q99" s="29"/>
      <c r="R99" s="4"/>
      <c r="S99" s="32"/>
      <c r="T99" s="4"/>
      <c r="U99" s="4"/>
      <c r="V99" s="4"/>
      <c r="W99" s="4"/>
    </row>
    <row x14ac:dyDescent="0.25" r="100" customHeight="1" ht="12.75">
      <c r="A100" s="4"/>
      <c r="B100" s="29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29"/>
      <c r="O100" s="76"/>
      <c r="P100" s="29"/>
      <c r="Q100" s="29"/>
      <c r="R100" s="4"/>
      <c r="S100" s="32"/>
      <c r="T100" s="4"/>
      <c r="U100" s="4"/>
      <c r="V100" s="4"/>
      <c r="W100" s="4"/>
    </row>
    <row x14ac:dyDescent="0.25" r="101" customHeight="1" ht="12.75">
      <c r="A101" s="4"/>
      <c r="B101" s="29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29"/>
      <c r="O101" s="76"/>
      <c r="P101" s="29"/>
      <c r="Q101" s="29"/>
      <c r="R101" s="4"/>
      <c r="S101" s="32"/>
      <c r="T101" s="4"/>
      <c r="U101" s="4"/>
      <c r="V101" s="4"/>
      <c r="W101" s="4"/>
    </row>
    <row x14ac:dyDescent="0.25" r="102" customHeight="1" ht="12.75">
      <c r="A102" s="4"/>
      <c r="B102" s="29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29"/>
      <c r="O102" s="76"/>
      <c r="P102" s="29"/>
      <c r="Q102" s="29"/>
      <c r="R102" s="4"/>
      <c r="S102" s="32"/>
      <c r="T102" s="4"/>
      <c r="U102" s="4"/>
      <c r="V102" s="4"/>
      <c r="W102" s="4"/>
    </row>
    <row x14ac:dyDescent="0.25" r="103" customHeight="1" ht="12.75">
      <c r="A103" s="4"/>
      <c r="B103" s="29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29"/>
      <c r="O103" s="76"/>
      <c r="P103" s="29"/>
      <c r="Q103" s="29"/>
      <c r="R103" s="4"/>
      <c r="S103" s="32"/>
      <c r="T103" s="4"/>
      <c r="U103" s="4"/>
      <c r="V103" s="4"/>
      <c r="W103" s="4"/>
    </row>
    <row x14ac:dyDescent="0.25" r="104" customHeight="1" ht="12.75">
      <c r="A104" s="4"/>
      <c r="B104" s="29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29"/>
      <c r="O104" s="76"/>
      <c r="P104" s="29"/>
      <c r="Q104" s="29"/>
      <c r="R104" s="4"/>
      <c r="S104" s="32"/>
      <c r="T104" s="4"/>
      <c r="U104" s="4"/>
      <c r="V104" s="4"/>
      <c r="W104" s="4"/>
    </row>
    <row x14ac:dyDescent="0.25" r="105" customHeight="1" ht="12.75">
      <c r="A105" s="4"/>
      <c r="B105" s="29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29"/>
      <c r="O105" s="76"/>
      <c r="P105" s="29"/>
      <c r="Q105" s="29"/>
      <c r="R105" s="4"/>
      <c r="S105" s="32"/>
      <c r="T105" s="4"/>
      <c r="U105" s="4"/>
      <c r="V105" s="4"/>
      <c r="W105" s="4"/>
    </row>
    <row x14ac:dyDescent="0.25" r="106" customHeight="1" ht="12.75">
      <c r="A106" s="4"/>
      <c r="B106" s="29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29"/>
      <c r="O106" s="76"/>
      <c r="P106" s="29"/>
      <c r="Q106" s="29"/>
      <c r="R106" s="4"/>
      <c r="S106" s="32"/>
      <c r="T106" s="4"/>
      <c r="U106" s="4"/>
      <c r="V106" s="4"/>
      <c r="W106" s="4"/>
    </row>
    <row x14ac:dyDescent="0.25" r="107" customHeight="1" ht="12.75">
      <c r="A107" s="4"/>
      <c r="B107" s="29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29"/>
      <c r="O107" s="76"/>
      <c r="P107" s="29"/>
      <c r="Q107" s="29"/>
      <c r="R107" s="4"/>
      <c r="S107" s="32"/>
      <c r="T107" s="4"/>
      <c r="U107" s="4"/>
      <c r="V107" s="4"/>
      <c r="W107" s="4"/>
    </row>
    <row x14ac:dyDescent="0.25" r="108" customHeight="1" ht="12.75">
      <c r="A108" s="4"/>
      <c r="B108" s="29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29"/>
      <c r="O108" s="76"/>
      <c r="P108" s="29"/>
      <c r="Q108" s="29"/>
      <c r="R108" s="4"/>
      <c r="S108" s="32"/>
      <c r="T108" s="4"/>
      <c r="U108" s="4"/>
      <c r="V108" s="4"/>
      <c r="W108" s="4"/>
    </row>
    <row x14ac:dyDescent="0.25" r="109" customHeight="1" ht="12.75">
      <c r="A109" s="4"/>
      <c r="B109" s="29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29"/>
      <c r="O109" s="76"/>
      <c r="P109" s="29"/>
      <c r="Q109" s="29"/>
      <c r="R109" s="4"/>
      <c r="S109" s="32"/>
      <c r="T109" s="4"/>
      <c r="U109" s="4"/>
      <c r="V109" s="4"/>
      <c r="W109" s="4"/>
    </row>
    <row x14ac:dyDescent="0.25" r="110" customHeight="1" ht="12.75">
      <c r="A110" s="4"/>
      <c r="B110" s="29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29"/>
      <c r="O110" s="76"/>
      <c r="P110" s="29"/>
      <c r="Q110" s="29"/>
      <c r="R110" s="4"/>
      <c r="S110" s="32"/>
      <c r="T110" s="4"/>
      <c r="U110" s="4"/>
      <c r="V110" s="4"/>
      <c r="W110" s="4"/>
    </row>
    <row x14ac:dyDescent="0.25" r="111" customHeight="1" ht="12.75">
      <c r="A111" s="4"/>
      <c r="B111" s="29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29"/>
      <c r="O111" s="76"/>
      <c r="P111" s="29"/>
      <c r="Q111" s="29"/>
      <c r="R111" s="4"/>
      <c r="S111" s="32"/>
      <c r="T111" s="4"/>
      <c r="U111" s="4"/>
      <c r="V111" s="4"/>
      <c r="W111" s="4"/>
    </row>
    <row x14ac:dyDescent="0.25" r="112" customHeight="1" ht="12.75">
      <c r="A112" s="4"/>
      <c r="B112" s="29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29"/>
      <c r="O112" s="76"/>
      <c r="P112" s="29"/>
      <c r="Q112" s="29"/>
      <c r="R112" s="4"/>
      <c r="S112" s="32"/>
      <c r="T112" s="4"/>
      <c r="U112" s="4"/>
      <c r="V112" s="4"/>
      <c r="W112" s="4"/>
    </row>
    <row x14ac:dyDescent="0.25" r="113" customHeight="1" ht="12.75">
      <c r="A113" s="4"/>
      <c r="B113" s="29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29"/>
      <c r="O113" s="76"/>
      <c r="P113" s="29"/>
      <c r="Q113" s="29"/>
      <c r="R113" s="4"/>
      <c r="S113" s="32"/>
      <c r="T113" s="4"/>
      <c r="U113" s="4"/>
      <c r="V113" s="4"/>
      <c r="W113" s="4"/>
    </row>
    <row x14ac:dyDescent="0.25" r="114" customHeight="1" ht="12.75">
      <c r="A114" s="4"/>
      <c r="B114" s="29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29"/>
      <c r="O114" s="76"/>
      <c r="P114" s="29"/>
      <c r="Q114" s="29"/>
      <c r="R114" s="4"/>
      <c r="S114" s="32"/>
      <c r="T114" s="4"/>
      <c r="U114" s="4"/>
      <c r="V114" s="4"/>
      <c r="W114" s="4"/>
    </row>
    <row x14ac:dyDescent="0.25" r="115" customHeight="1" ht="12.75">
      <c r="A115" s="4"/>
      <c r="B115" s="29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29"/>
      <c r="O115" s="76"/>
      <c r="P115" s="29"/>
      <c r="Q115" s="29"/>
      <c r="R115" s="4"/>
      <c r="S115" s="32"/>
      <c r="T115" s="4"/>
      <c r="U115" s="4"/>
      <c r="V115" s="4"/>
      <c r="W115" s="4"/>
    </row>
    <row x14ac:dyDescent="0.25" r="116" customHeight="1" ht="12.75">
      <c r="A116" s="4"/>
      <c r="B116" s="29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29"/>
      <c r="O116" s="76"/>
      <c r="P116" s="29"/>
      <c r="Q116" s="29"/>
      <c r="R116" s="4"/>
      <c r="S116" s="32"/>
      <c r="T116" s="4"/>
      <c r="U116" s="4"/>
      <c r="V116" s="4"/>
      <c r="W116" s="4"/>
    </row>
    <row x14ac:dyDescent="0.25" r="117" customHeight="1" ht="12.75">
      <c r="A117" s="4"/>
      <c r="B117" s="29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29"/>
      <c r="O117" s="76"/>
      <c r="P117" s="29"/>
      <c r="Q117" s="29"/>
      <c r="R117" s="4"/>
      <c r="S117" s="32"/>
      <c r="T117" s="4"/>
      <c r="U117" s="4"/>
      <c r="V117" s="4"/>
      <c r="W117" s="4"/>
    </row>
    <row x14ac:dyDescent="0.25" r="118" customHeight="1" ht="12.75">
      <c r="A118" s="4"/>
      <c r="B118" s="29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29"/>
      <c r="O118" s="76"/>
      <c r="P118" s="29"/>
      <c r="Q118" s="29"/>
      <c r="R118" s="4"/>
      <c r="S118" s="32"/>
      <c r="T118" s="4"/>
      <c r="U118" s="4"/>
      <c r="V118" s="4"/>
      <c r="W118" s="4"/>
    </row>
    <row x14ac:dyDescent="0.25" r="119" customHeight="1" ht="12.75">
      <c r="A119" s="4"/>
      <c r="B119" s="29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29"/>
      <c r="O119" s="76"/>
      <c r="P119" s="29"/>
      <c r="Q119" s="29"/>
      <c r="R119" s="4"/>
      <c r="S119" s="32"/>
      <c r="T119" s="4"/>
      <c r="U119" s="4"/>
      <c r="V119" s="4"/>
      <c r="W119" s="4"/>
    </row>
    <row x14ac:dyDescent="0.25" r="120" customHeight="1" ht="12.75">
      <c r="A120" s="4"/>
      <c r="B120" s="29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29"/>
      <c r="O120" s="76"/>
      <c r="P120" s="29"/>
      <c r="Q120" s="29"/>
      <c r="R120" s="4"/>
      <c r="S120" s="32"/>
      <c r="T120" s="4"/>
      <c r="U120" s="4"/>
      <c r="V120" s="4"/>
      <c r="W120" s="4"/>
    </row>
    <row x14ac:dyDescent="0.25" r="121" customHeight="1" ht="12.75">
      <c r="A121" s="4"/>
      <c r="B121" s="29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29"/>
      <c r="O121" s="76"/>
      <c r="P121" s="29"/>
      <c r="Q121" s="29"/>
      <c r="R121" s="4"/>
      <c r="S121" s="32"/>
      <c r="T121" s="4"/>
      <c r="U121" s="4"/>
      <c r="V121" s="4"/>
      <c r="W121" s="4"/>
    </row>
    <row x14ac:dyDescent="0.25" r="122" customHeight="1" ht="12.75">
      <c r="A122" s="4"/>
      <c r="B122" s="29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29"/>
      <c r="O122" s="76"/>
      <c r="P122" s="29"/>
      <c r="Q122" s="29"/>
      <c r="R122" s="4"/>
      <c r="S122" s="32"/>
      <c r="T122" s="4"/>
      <c r="U122" s="4"/>
      <c r="V122" s="4"/>
      <c r="W122" s="4"/>
    </row>
    <row x14ac:dyDescent="0.25" r="123" customHeight="1" ht="12.75">
      <c r="A123" s="4"/>
      <c r="B123" s="29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29"/>
      <c r="O123" s="76"/>
      <c r="P123" s="29"/>
      <c r="Q123" s="29"/>
      <c r="R123" s="4"/>
      <c r="S123" s="32"/>
      <c r="T123" s="4"/>
      <c r="U123" s="4"/>
      <c r="V123" s="4"/>
      <c r="W123" s="4"/>
    </row>
    <row x14ac:dyDescent="0.25" r="124" customHeight="1" ht="12.75">
      <c r="A124" s="4"/>
      <c r="B124" s="29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29"/>
      <c r="O124" s="76"/>
      <c r="P124" s="29"/>
      <c r="Q124" s="29"/>
      <c r="R124" s="4"/>
      <c r="S124" s="32"/>
      <c r="T124" s="4"/>
      <c r="U124" s="4"/>
      <c r="V124" s="4"/>
      <c r="W124" s="4"/>
    </row>
    <row x14ac:dyDescent="0.25" r="125" customHeight="1" ht="12.75">
      <c r="A125" s="4"/>
      <c r="B125" s="29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29"/>
      <c r="O125" s="76"/>
      <c r="P125" s="29"/>
      <c r="Q125" s="29"/>
      <c r="R125" s="4"/>
      <c r="S125" s="32"/>
      <c r="T125" s="4"/>
      <c r="U125" s="4"/>
      <c r="V125" s="4"/>
      <c r="W125" s="4"/>
    </row>
    <row x14ac:dyDescent="0.25" r="126" customHeight="1" ht="12.75">
      <c r="A126" s="4"/>
      <c r="B126" s="29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29"/>
      <c r="O126" s="76"/>
      <c r="P126" s="29"/>
      <c r="Q126" s="29"/>
      <c r="R126" s="4"/>
      <c r="S126" s="32"/>
      <c r="T126" s="4"/>
      <c r="U126" s="4"/>
      <c r="V126" s="4"/>
      <c r="W126" s="4"/>
    </row>
    <row x14ac:dyDescent="0.25" r="127" customHeight="1" ht="12.75">
      <c r="A127" s="4"/>
      <c r="B127" s="29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29"/>
      <c r="O127" s="76"/>
      <c r="P127" s="29"/>
      <c r="Q127" s="29"/>
      <c r="R127" s="4"/>
      <c r="S127" s="32"/>
      <c r="T127" s="4"/>
      <c r="U127" s="4"/>
      <c r="V127" s="4"/>
      <c r="W127" s="4"/>
    </row>
    <row x14ac:dyDescent="0.25" r="128" customHeight="1" ht="12.75">
      <c r="A128" s="4"/>
      <c r="B128" s="29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29"/>
      <c r="O128" s="76"/>
      <c r="P128" s="29"/>
      <c r="Q128" s="29"/>
      <c r="R128" s="4"/>
      <c r="S128" s="32"/>
      <c r="T128" s="4"/>
      <c r="U128" s="4"/>
      <c r="V128" s="4"/>
      <c r="W128" s="4"/>
    </row>
    <row x14ac:dyDescent="0.25" r="129" customHeight="1" ht="12.75">
      <c r="A129" s="4"/>
      <c r="B129" s="29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29"/>
      <c r="O129" s="76"/>
      <c r="P129" s="29"/>
      <c r="Q129" s="29"/>
      <c r="R129" s="4"/>
      <c r="S129" s="32"/>
      <c r="T129" s="4"/>
      <c r="U129" s="4"/>
      <c r="V129" s="4"/>
      <c r="W129" s="4"/>
    </row>
    <row x14ac:dyDescent="0.25" r="130" customHeight="1" ht="12.75">
      <c r="A130" s="4"/>
      <c r="B130" s="29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29"/>
      <c r="O130" s="76"/>
      <c r="P130" s="29"/>
      <c r="Q130" s="29"/>
      <c r="R130" s="4"/>
      <c r="S130" s="32"/>
      <c r="T130" s="4"/>
      <c r="U130" s="4"/>
      <c r="V130" s="4"/>
      <c r="W130" s="4"/>
    </row>
    <row x14ac:dyDescent="0.25" r="131" customHeight="1" ht="12.75">
      <c r="A131" s="4"/>
      <c r="B131" s="29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29"/>
      <c r="O131" s="76"/>
      <c r="P131" s="29"/>
      <c r="Q131" s="29"/>
      <c r="R131" s="4"/>
      <c r="S131" s="32"/>
      <c r="T131" s="4"/>
      <c r="U131" s="4"/>
      <c r="V131" s="4"/>
      <c r="W131" s="4"/>
    </row>
    <row x14ac:dyDescent="0.25" r="132" customHeight="1" ht="12.75">
      <c r="A132" s="4"/>
      <c r="B132" s="29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29"/>
      <c r="O132" s="76"/>
      <c r="P132" s="29"/>
      <c r="Q132" s="29"/>
      <c r="R132" s="4"/>
      <c r="S132" s="32"/>
      <c r="T132" s="4"/>
      <c r="U132" s="4"/>
      <c r="V132" s="4"/>
      <c r="W132" s="4"/>
    </row>
    <row x14ac:dyDescent="0.25" r="133" customHeight="1" ht="12.75">
      <c r="A133" s="4"/>
      <c r="B133" s="29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29"/>
      <c r="O133" s="76"/>
      <c r="P133" s="29"/>
      <c r="Q133" s="29"/>
      <c r="R133" s="4"/>
      <c r="S133" s="32"/>
      <c r="T133" s="4"/>
      <c r="U133" s="4"/>
      <c r="V133" s="4"/>
      <c r="W133" s="4"/>
    </row>
    <row x14ac:dyDescent="0.25" r="134" customHeight="1" ht="12.75">
      <c r="A134" s="4"/>
      <c r="B134" s="29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29"/>
      <c r="O134" s="76"/>
      <c r="P134" s="29"/>
      <c r="Q134" s="29"/>
      <c r="R134" s="4"/>
      <c r="S134" s="32"/>
      <c r="T134" s="4"/>
      <c r="U134" s="4"/>
      <c r="V134" s="4"/>
      <c r="W134" s="4"/>
    </row>
    <row x14ac:dyDescent="0.25" r="135" customHeight="1" ht="12.75">
      <c r="A135" s="4"/>
      <c r="B135" s="29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29"/>
      <c r="O135" s="76"/>
      <c r="P135" s="29"/>
      <c r="Q135" s="29"/>
      <c r="R135" s="4"/>
      <c r="S135" s="32"/>
      <c r="T135" s="4"/>
      <c r="U135" s="4"/>
      <c r="V135" s="4"/>
      <c r="W135" s="4"/>
    </row>
    <row x14ac:dyDescent="0.25" r="136" customHeight="1" ht="12.75">
      <c r="A136" s="4"/>
      <c r="B136" s="29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29"/>
      <c r="O136" s="76"/>
      <c r="P136" s="29"/>
      <c r="Q136" s="29"/>
      <c r="R136" s="4"/>
      <c r="S136" s="32"/>
      <c r="T136" s="4"/>
      <c r="U136" s="4"/>
      <c r="V136" s="4"/>
      <c r="W136" s="4"/>
    </row>
    <row x14ac:dyDescent="0.25" r="137" customHeight="1" ht="12.75">
      <c r="A137" s="4"/>
      <c r="B137" s="29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29"/>
      <c r="O137" s="76"/>
      <c r="P137" s="29"/>
      <c r="Q137" s="29"/>
      <c r="R137" s="4"/>
      <c r="S137" s="32"/>
      <c r="T137" s="4"/>
      <c r="U137" s="4"/>
      <c r="V137" s="4"/>
      <c r="W137" s="4"/>
    </row>
    <row x14ac:dyDescent="0.25" r="138" customHeight="1" ht="12.75">
      <c r="A138" s="4"/>
      <c r="B138" s="29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29"/>
      <c r="O138" s="76"/>
      <c r="P138" s="29"/>
      <c r="Q138" s="29"/>
      <c r="R138" s="4"/>
      <c r="S138" s="32"/>
      <c r="T138" s="4"/>
      <c r="U138" s="4"/>
      <c r="V138" s="4"/>
      <c r="W138" s="4"/>
    </row>
    <row x14ac:dyDescent="0.25" r="139" customHeight="1" ht="12.75">
      <c r="A139" s="4"/>
      <c r="B139" s="29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29"/>
      <c r="O139" s="76"/>
      <c r="P139" s="29"/>
      <c r="Q139" s="29"/>
      <c r="R139" s="4"/>
      <c r="S139" s="32"/>
      <c r="T139" s="4"/>
      <c r="U139" s="4"/>
      <c r="V139" s="4"/>
      <c r="W139" s="4"/>
    </row>
    <row x14ac:dyDescent="0.25" r="140" customHeight="1" ht="12.75">
      <c r="A140" s="4"/>
      <c r="B140" s="29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29"/>
      <c r="O140" s="76"/>
      <c r="P140" s="29"/>
      <c r="Q140" s="29"/>
      <c r="R140" s="4"/>
      <c r="S140" s="32"/>
      <c r="T140" s="4"/>
      <c r="U140" s="4"/>
      <c r="V140" s="4"/>
      <c r="W140" s="4"/>
    </row>
    <row x14ac:dyDescent="0.25" r="141" customHeight="1" ht="12.75">
      <c r="A141" s="4"/>
      <c r="B141" s="29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29"/>
      <c r="O141" s="76"/>
      <c r="P141" s="29"/>
      <c r="Q141" s="29"/>
      <c r="R141" s="4"/>
      <c r="S141" s="32"/>
      <c r="T141" s="4"/>
      <c r="U141" s="4"/>
      <c r="V141" s="4"/>
      <c r="W141" s="4"/>
    </row>
    <row x14ac:dyDescent="0.25" r="142" customHeight="1" ht="12.75">
      <c r="A142" s="4"/>
      <c r="B142" s="29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29"/>
      <c r="O142" s="76"/>
      <c r="P142" s="29"/>
      <c r="Q142" s="29"/>
      <c r="R142" s="4"/>
      <c r="S142" s="32"/>
      <c r="T142" s="4"/>
      <c r="U142" s="4"/>
      <c r="V142" s="4"/>
      <c r="W142" s="4"/>
    </row>
    <row x14ac:dyDescent="0.25" r="143" customHeight="1" ht="12.75">
      <c r="A143" s="4"/>
      <c r="B143" s="29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29"/>
      <c r="O143" s="76"/>
      <c r="P143" s="29"/>
      <c r="Q143" s="29"/>
      <c r="R143" s="4"/>
      <c r="S143" s="32"/>
      <c r="T143" s="4"/>
      <c r="U143" s="4"/>
      <c r="V143" s="4"/>
      <c r="W143" s="4"/>
    </row>
    <row x14ac:dyDescent="0.25" r="144" customHeight="1" ht="12.75">
      <c r="A144" s="4"/>
      <c r="B144" s="29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29"/>
      <c r="O144" s="76"/>
      <c r="P144" s="29"/>
      <c r="Q144" s="29"/>
      <c r="R144" s="4"/>
      <c r="S144" s="32"/>
      <c r="T144" s="4"/>
      <c r="U144" s="4"/>
      <c r="V144" s="4"/>
      <c r="W144" s="4"/>
    </row>
    <row x14ac:dyDescent="0.25" r="145" customHeight="1" ht="12.75">
      <c r="A145" s="4"/>
      <c r="B145" s="29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29"/>
      <c r="O145" s="76"/>
      <c r="P145" s="29"/>
      <c r="Q145" s="29"/>
      <c r="R145" s="4"/>
      <c r="S145" s="32"/>
      <c r="T145" s="4"/>
      <c r="U145" s="4"/>
      <c r="V145" s="4"/>
      <c r="W145" s="4"/>
    </row>
    <row x14ac:dyDescent="0.25" r="146" customHeight="1" ht="12.75">
      <c r="A146" s="4"/>
      <c r="B146" s="29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29"/>
      <c r="O146" s="76"/>
      <c r="P146" s="29"/>
      <c r="Q146" s="29"/>
      <c r="R146" s="4"/>
      <c r="S146" s="32"/>
      <c r="T146" s="4"/>
      <c r="U146" s="4"/>
      <c r="V146" s="4"/>
      <c r="W146" s="4"/>
    </row>
    <row x14ac:dyDescent="0.25" r="147" customHeight="1" ht="12.75">
      <c r="A147" s="4"/>
      <c r="B147" s="29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29"/>
      <c r="O147" s="76"/>
      <c r="P147" s="29"/>
      <c r="Q147" s="29"/>
      <c r="R147" s="4"/>
      <c r="S147" s="32"/>
      <c r="T147" s="4"/>
      <c r="U147" s="4"/>
      <c r="V147" s="4"/>
      <c r="W147" s="4"/>
    </row>
    <row x14ac:dyDescent="0.25" r="148" customHeight="1" ht="12.75">
      <c r="A148" s="4"/>
      <c r="B148" s="29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29"/>
      <c r="O148" s="76"/>
      <c r="P148" s="29"/>
      <c r="Q148" s="29"/>
      <c r="R148" s="4"/>
      <c r="S148" s="32"/>
      <c r="T148" s="4"/>
      <c r="U148" s="4"/>
      <c r="V148" s="4"/>
      <c r="W148" s="4"/>
    </row>
    <row x14ac:dyDescent="0.25" r="149" customHeight="1" ht="12.75">
      <c r="A149" s="4"/>
      <c r="B149" s="29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29"/>
      <c r="O149" s="76"/>
      <c r="P149" s="29"/>
      <c r="Q149" s="29"/>
      <c r="R149" s="4"/>
      <c r="S149" s="32"/>
      <c r="T149" s="4"/>
      <c r="U149" s="4"/>
      <c r="V149" s="4"/>
      <c r="W149" s="4"/>
    </row>
    <row x14ac:dyDescent="0.25" r="150" customHeight="1" ht="12.75">
      <c r="A150" s="4"/>
      <c r="B150" s="29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29"/>
      <c r="O150" s="76"/>
      <c r="P150" s="29"/>
      <c r="Q150" s="29"/>
      <c r="R150" s="4"/>
      <c r="S150" s="32"/>
      <c r="T150" s="4"/>
      <c r="U150" s="4"/>
      <c r="V150" s="4"/>
      <c r="W150" s="4"/>
    </row>
    <row x14ac:dyDescent="0.25" r="151" customHeight="1" ht="12.75">
      <c r="A151" s="4"/>
      <c r="B151" s="29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29"/>
      <c r="O151" s="76"/>
      <c r="P151" s="29"/>
      <c r="Q151" s="29"/>
      <c r="R151" s="4"/>
      <c r="S151" s="32"/>
      <c r="T151" s="4"/>
      <c r="U151" s="4"/>
      <c r="V151" s="4"/>
      <c r="W151" s="4"/>
    </row>
    <row x14ac:dyDescent="0.25" r="152" customHeight="1" ht="12.75">
      <c r="A152" s="4"/>
      <c r="B152" s="29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29"/>
      <c r="O152" s="76"/>
      <c r="P152" s="29"/>
      <c r="Q152" s="29"/>
      <c r="R152" s="4"/>
      <c r="S152" s="32"/>
      <c r="T152" s="4"/>
      <c r="U152" s="4"/>
      <c r="V152" s="4"/>
      <c r="W152" s="4"/>
    </row>
    <row x14ac:dyDescent="0.25" r="153" customHeight="1" ht="12.75">
      <c r="A153" s="4"/>
      <c r="B153" s="29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29"/>
      <c r="O153" s="76"/>
      <c r="P153" s="29"/>
      <c r="Q153" s="29"/>
      <c r="R153" s="4"/>
      <c r="S153" s="32"/>
      <c r="T153" s="4"/>
      <c r="U153" s="4"/>
      <c r="V153" s="4"/>
      <c r="W153" s="4"/>
    </row>
    <row x14ac:dyDescent="0.25" r="154" customHeight="1" ht="12.75">
      <c r="A154" s="4"/>
      <c r="B154" s="29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29"/>
      <c r="O154" s="76"/>
      <c r="P154" s="29"/>
      <c r="Q154" s="29"/>
      <c r="R154" s="4"/>
      <c r="S154" s="32"/>
      <c r="T154" s="4"/>
      <c r="U154" s="4"/>
      <c r="V154" s="4"/>
      <c r="W154" s="4"/>
    </row>
    <row x14ac:dyDescent="0.25" r="155" customHeight="1" ht="12.75">
      <c r="A155" s="4"/>
      <c r="B155" s="29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29"/>
      <c r="O155" s="76"/>
      <c r="P155" s="29"/>
      <c r="Q155" s="29"/>
      <c r="R155" s="4"/>
      <c r="S155" s="32"/>
      <c r="T155" s="4"/>
      <c r="U155" s="4"/>
      <c r="V155" s="4"/>
      <c r="W155" s="4"/>
    </row>
    <row x14ac:dyDescent="0.25" r="156" customHeight="1" ht="12.75">
      <c r="A156" s="4"/>
      <c r="B156" s="29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29"/>
      <c r="O156" s="76"/>
      <c r="P156" s="29"/>
      <c r="Q156" s="29"/>
      <c r="R156" s="4"/>
      <c r="S156" s="32"/>
      <c r="T156" s="4"/>
      <c r="U156" s="4"/>
      <c r="V156" s="4"/>
      <c r="W156" s="4"/>
    </row>
    <row x14ac:dyDescent="0.25" r="157" customHeight="1" ht="12.75">
      <c r="A157" s="4"/>
      <c r="B157" s="29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29"/>
      <c r="O157" s="76"/>
      <c r="P157" s="29"/>
      <c r="Q157" s="29"/>
      <c r="R157" s="4"/>
      <c r="S157" s="32"/>
      <c r="T157" s="4"/>
      <c r="U157" s="4"/>
      <c r="V157" s="4"/>
      <c r="W157" s="4"/>
    </row>
    <row x14ac:dyDescent="0.25" r="158" customHeight="1" ht="12.75">
      <c r="A158" s="4"/>
      <c r="B158" s="29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29"/>
      <c r="O158" s="76"/>
      <c r="P158" s="29"/>
      <c r="Q158" s="29"/>
      <c r="R158" s="4"/>
      <c r="S158" s="32"/>
      <c r="T158" s="4"/>
      <c r="U158" s="4"/>
      <c r="V158" s="4"/>
      <c r="W158" s="4"/>
    </row>
    <row x14ac:dyDescent="0.25" r="159" customHeight="1" ht="12.75">
      <c r="A159" s="4"/>
      <c r="B159" s="29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29"/>
      <c r="O159" s="76"/>
      <c r="P159" s="29"/>
      <c r="Q159" s="29"/>
      <c r="R159" s="4"/>
      <c r="S159" s="32"/>
      <c r="T159" s="4"/>
      <c r="U159" s="4"/>
      <c r="V159" s="4"/>
      <c r="W159" s="4"/>
    </row>
    <row x14ac:dyDescent="0.25" r="160" customHeight="1" ht="12.75">
      <c r="A160" s="4"/>
      <c r="B160" s="29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29"/>
      <c r="O160" s="76"/>
      <c r="P160" s="29"/>
      <c r="Q160" s="29"/>
      <c r="R160" s="4"/>
      <c r="S160" s="32"/>
      <c r="T160" s="4"/>
      <c r="U160" s="4"/>
      <c r="V160" s="4"/>
      <c r="W160" s="4"/>
    </row>
    <row x14ac:dyDescent="0.25" r="161" customHeight="1" ht="12.75">
      <c r="A161" s="4"/>
      <c r="B161" s="29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29"/>
      <c r="O161" s="76"/>
      <c r="P161" s="29"/>
      <c r="Q161" s="29"/>
      <c r="R161" s="4"/>
      <c r="S161" s="32"/>
      <c r="T161" s="4"/>
      <c r="U161" s="4"/>
      <c r="V161" s="4"/>
      <c r="W161" s="4"/>
    </row>
    <row x14ac:dyDescent="0.25" r="162" customHeight="1" ht="12.75">
      <c r="A162" s="4"/>
      <c r="B162" s="29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29"/>
      <c r="O162" s="76"/>
      <c r="P162" s="29"/>
      <c r="Q162" s="29"/>
      <c r="R162" s="4"/>
      <c r="S162" s="32"/>
      <c r="T162" s="4"/>
      <c r="U162" s="4"/>
      <c r="V162" s="4"/>
      <c r="W162" s="4"/>
    </row>
    <row x14ac:dyDescent="0.25" r="163" customHeight="1" ht="12.75">
      <c r="A163" s="4"/>
      <c r="B163" s="29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29"/>
      <c r="O163" s="76"/>
      <c r="P163" s="29"/>
      <c r="Q163" s="29"/>
      <c r="R163" s="4"/>
      <c r="S163" s="32"/>
      <c r="T163" s="4"/>
      <c r="U163" s="4"/>
      <c r="V163" s="4"/>
      <c r="W163" s="4"/>
    </row>
    <row x14ac:dyDescent="0.25" r="164" customHeight="1" ht="12.75">
      <c r="A164" s="4"/>
      <c r="B164" s="29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29"/>
      <c r="O164" s="76"/>
      <c r="P164" s="29"/>
      <c r="Q164" s="29"/>
      <c r="R164" s="4"/>
      <c r="S164" s="32"/>
      <c r="T164" s="4"/>
      <c r="U164" s="4"/>
      <c r="V164" s="4"/>
      <c r="W164" s="4"/>
    </row>
    <row x14ac:dyDescent="0.25" r="165" customHeight="1" ht="12.75">
      <c r="A165" s="4"/>
      <c r="B165" s="29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29"/>
      <c r="O165" s="76"/>
      <c r="P165" s="29"/>
      <c r="Q165" s="29"/>
      <c r="R165" s="4"/>
      <c r="S165" s="32"/>
      <c r="T165" s="4"/>
      <c r="U165" s="4"/>
      <c r="V165" s="4"/>
      <c r="W165" s="4"/>
    </row>
    <row x14ac:dyDescent="0.25" r="166" customHeight="1" ht="12.75">
      <c r="A166" s="4"/>
      <c r="B166" s="29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29"/>
      <c r="O166" s="76"/>
      <c r="P166" s="29"/>
      <c r="Q166" s="29"/>
      <c r="R166" s="4"/>
      <c r="S166" s="32"/>
      <c r="T166" s="4"/>
      <c r="U166" s="4"/>
      <c r="V166" s="4"/>
      <c r="W166" s="4"/>
    </row>
    <row x14ac:dyDescent="0.25" r="167" customHeight="1" ht="12.75">
      <c r="A167" s="4"/>
      <c r="B167" s="29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29"/>
      <c r="O167" s="76"/>
      <c r="P167" s="29"/>
      <c r="Q167" s="29"/>
      <c r="R167" s="4"/>
      <c r="S167" s="32"/>
      <c r="T167" s="4"/>
      <c r="U167" s="4"/>
      <c r="V167" s="4"/>
      <c r="W167" s="4"/>
    </row>
    <row x14ac:dyDescent="0.25" r="168" customHeight="1" ht="12.75">
      <c r="A168" s="4"/>
      <c r="B168" s="29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29"/>
      <c r="O168" s="76"/>
      <c r="P168" s="29"/>
      <c r="Q168" s="29"/>
      <c r="R168" s="4"/>
      <c r="S168" s="32"/>
      <c r="T168" s="4"/>
      <c r="U168" s="4"/>
      <c r="V168" s="4"/>
      <c r="W168" s="4"/>
    </row>
    <row x14ac:dyDescent="0.25" r="169" customHeight="1" ht="12.75">
      <c r="A169" s="4"/>
      <c r="B169" s="29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29"/>
      <c r="O169" s="76"/>
      <c r="P169" s="29"/>
      <c r="Q169" s="29"/>
      <c r="R169" s="4"/>
      <c r="S169" s="32"/>
      <c r="T169" s="4"/>
      <c r="U169" s="4"/>
      <c r="V169" s="4"/>
      <c r="W169" s="4"/>
    </row>
    <row x14ac:dyDescent="0.25" r="170" customHeight="1" ht="12.75">
      <c r="A170" s="4"/>
      <c r="B170" s="29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29"/>
      <c r="O170" s="76"/>
      <c r="P170" s="29"/>
      <c r="Q170" s="29"/>
      <c r="R170" s="4"/>
      <c r="S170" s="32"/>
      <c r="T170" s="4"/>
      <c r="U170" s="4"/>
      <c r="V170" s="4"/>
      <c r="W170" s="4"/>
    </row>
    <row x14ac:dyDescent="0.25" r="171" customHeight="1" ht="12.75">
      <c r="A171" s="4"/>
      <c r="B171" s="29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29"/>
      <c r="O171" s="76"/>
      <c r="P171" s="29"/>
      <c r="Q171" s="29"/>
      <c r="R171" s="4"/>
      <c r="S171" s="32"/>
      <c r="T171" s="4"/>
      <c r="U171" s="4"/>
      <c r="V171" s="4"/>
      <c r="W171" s="4"/>
    </row>
    <row x14ac:dyDescent="0.25" r="172" customHeight="1" ht="12.75">
      <c r="A172" s="4"/>
      <c r="B172" s="29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29"/>
      <c r="O172" s="76"/>
      <c r="P172" s="29"/>
      <c r="Q172" s="29"/>
      <c r="R172" s="4"/>
      <c r="S172" s="32"/>
      <c r="T172" s="4"/>
      <c r="U172" s="4"/>
      <c r="V172" s="4"/>
      <c r="W172" s="4"/>
    </row>
    <row x14ac:dyDescent="0.25" r="173" customHeight="1" ht="12.75">
      <c r="A173" s="4"/>
      <c r="B173" s="29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29"/>
      <c r="O173" s="76"/>
      <c r="P173" s="29"/>
      <c r="Q173" s="29"/>
      <c r="R173" s="4"/>
      <c r="S173" s="32"/>
      <c r="T173" s="4"/>
      <c r="U173" s="4"/>
      <c r="V173" s="4"/>
      <c r="W173" s="4"/>
    </row>
    <row x14ac:dyDescent="0.25" r="174" customHeight="1" ht="12.75">
      <c r="A174" s="4"/>
      <c r="B174" s="29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29"/>
      <c r="O174" s="76"/>
      <c r="P174" s="29"/>
      <c r="Q174" s="29"/>
      <c r="R174" s="4"/>
      <c r="S174" s="32"/>
      <c r="T174" s="4"/>
      <c r="U174" s="4"/>
      <c r="V174" s="4"/>
      <c r="W174" s="4"/>
    </row>
    <row x14ac:dyDescent="0.25" r="175" customHeight="1" ht="12.75">
      <c r="A175" s="4"/>
      <c r="B175" s="29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29"/>
      <c r="O175" s="76"/>
      <c r="P175" s="29"/>
      <c r="Q175" s="29"/>
      <c r="R175" s="4"/>
      <c r="S175" s="32"/>
      <c r="T175" s="4"/>
      <c r="U175" s="4"/>
      <c r="V175" s="4"/>
      <c r="W175" s="4"/>
    </row>
    <row x14ac:dyDescent="0.25" r="176" customHeight="1" ht="12.75">
      <c r="A176" s="4"/>
      <c r="B176" s="29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29"/>
      <c r="O176" s="76"/>
      <c r="P176" s="29"/>
      <c r="Q176" s="29"/>
      <c r="R176" s="4"/>
      <c r="S176" s="32"/>
      <c r="T176" s="4"/>
      <c r="U176" s="4"/>
      <c r="V176" s="4"/>
      <c r="W176" s="4"/>
    </row>
    <row x14ac:dyDescent="0.25" r="177" customHeight="1" ht="12.75">
      <c r="A177" s="4"/>
      <c r="B177" s="29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29"/>
      <c r="O177" s="76"/>
      <c r="P177" s="29"/>
      <c r="Q177" s="29"/>
      <c r="R177" s="4"/>
      <c r="S177" s="32"/>
      <c r="T177" s="4"/>
      <c r="U177" s="4"/>
      <c r="V177" s="4"/>
      <c r="W177" s="4"/>
    </row>
    <row x14ac:dyDescent="0.25" r="178" customHeight="1" ht="12.75">
      <c r="A178" s="4"/>
      <c r="B178" s="29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29"/>
      <c r="O178" s="76"/>
      <c r="P178" s="29"/>
      <c r="Q178" s="29"/>
      <c r="R178" s="4"/>
      <c r="S178" s="32"/>
      <c r="T178" s="4"/>
      <c r="U178" s="4"/>
      <c r="V178" s="4"/>
      <c r="W178" s="4"/>
    </row>
    <row x14ac:dyDescent="0.25" r="179" customHeight="1" ht="12.75">
      <c r="A179" s="4"/>
      <c r="B179" s="29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29"/>
      <c r="O179" s="76"/>
      <c r="P179" s="29"/>
      <c r="Q179" s="29"/>
      <c r="R179" s="4"/>
      <c r="S179" s="32"/>
      <c r="T179" s="4"/>
      <c r="U179" s="4"/>
      <c r="V179" s="4"/>
      <c r="W179" s="4"/>
    </row>
    <row x14ac:dyDescent="0.25" r="180" customHeight="1" ht="12.75">
      <c r="A180" s="4"/>
      <c r="B180" s="29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29"/>
      <c r="O180" s="76"/>
      <c r="P180" s="29"/>
      <c r="Q180" s="29"/>
      <c r="R180" s="4"/>
      <c r="S180" s="32"/>
      <c r="T180" s="4"/>
      <c r="U180" s="4"/>
      <c r="V180" s="4"/>
      <c r="W180" s="4"/>
    </row>
    <row x14ac:dyDescent="0.25" r="181" customHeight="1" ht="12.75">
      <c r="A181" s="4"/>
      <c r="B181" s="29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29"/>
      <c r="O181" s="76"/>
      <c r="P181" s="29"/>
      <c r="Q181" s="29"/>
      <c r="R181" s="4"/>
      <c r="S181" s="32"/>
      <c r="T181" s="4"/>
      <c r="U181" s="4"/>
      <c r="V181" s="4"/>
      <c r="W181" s="4"/>
    </row>
    <row x14ac:dyDescent="0.25" r="182" customHeight="1" ht="12.75">
      <c r="A182" s="4"/>
      <c r="B182" s="29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29"/>
      <c r="O182" s="76"/>
      <c r="P182" s="29"/>
      <c r="Q182" s="29"/>
      <c r="R182" s="4"/>
      <c r="S182" s="32"/>
      <c r="T182" s="4"/>
      <c r="U182" s="4"/>
      <c r="V182" s="4"/>
      <c r="W182" s="4"/>
    </row>
    <row x14ac:dyDescent="0.25" r="183" customHeight="1" ht="12.75">
      <c r="A183" s="4"/>
      <c r="B183" s="29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29"/>
      <c r="O183" s="76"/>
      <c r="P183" s="29"/>
      <c r="Q183" s="29"/>
      <c r="R183" s="4"/>
      <c r="S183" s="32"/>
      <c r="T183" s="4"/>
      <c r="U183" s="4"/>
      <c r="V183" s="4"/>
      <c r="W183" s="4"/>
    </row>
    <row x14ac:dyDescent="0.25" r="184" customHeight="1" ht="12.75">
      <c r="A184" s="4"/>
      <c r="B184" s="29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29"/>
      <c r="O184" s="76"/>
      <c r="P184" s="29"/>
      <c r="Q184" s="29"/>
      <c r="R184" s="4"/>
      <c r="S184" s="32"/>
      <c r="T184" s="4"/>
      <c r="U184" s="4"/>
      <c r="V184" s="4"/>
      <c r="W184" s="4"/>
    </row>
    <row x14ac:dyDescent="0.25" r="185" customHeight="1" ht="12.75">
      <c r="A185" s="4"/>
      <c r="B185" s="29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29"/>
      <c r="O185" s="76"/>
      <c r="P185" s="29"/>
      <c r="Q185" s="29"/>
      <c r="R185" s="4"/>
      <c r="S185" s="32"/>
      <c r="T185" s="4"/>
      <c r="U185" s="4"/>
      <c r="V185" s="4"/>
      <c r="W185" s="4"/>
    </row>
    <row x14ac:dyDescent="0.25" r="186" customHeight="1" ht="12.75">
      <c r="A186" s="4"/>
      <c r="B186" s="29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29"/>
      <c r="O186" s="76"/>
      <c r="P186" s="29"/>
      <c r="Q186" s="29"/>
      <c r="R186" s="4"/>
      <c r="S186" s="32"/>
      <c r="T186" s="4"/>
      <c r="U186" s="4"/>
      <c r="V186" s="4"/>
      <c r="W186" s="4"/>
    </row>
    <row x14ac:dyDescent="0.25" r="187" customHeight="1" ht="12.75">
      <c r="A187" s="4"/>
      <c r="B187" s="29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29"/>
      <c r="O187" s="76"/>
      <c r="P187" s="29"/>
      <c r="Q187" s="29"/>
      <c r="R187" s="4"/>
      <c r="S187" s="32"/>
      <c r="T187" s="4"/>
      <c r="U187" s="4"/>
      <c r="V187" s="4"/>
      <c r="W187" s="4"/>
    </row>
    <row x14ac:dyDescent="0.25" r="188" customHeight="1" ht="12.75">
      <c r="A188" s="4"/>
      <c r="B188" s="29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29"/>
      <c r="O188" s="76"/>
      <c r="P188" s="29"/>
      <c r="Q188" s="29"/>
      <c r="R188" s="4"/>
      <c r="S188" s="32"/>
      <c r="T188" s="4"/>
      <c r="U188" s="4"/>
      <c r="V188" s="4"/>
      <c r="W188" s="4"/>
    </row>
    <row x14ac:dyDescent="0.25" r="189" customHeight="1" ht="12.75">
      <c r="A189" s="4"/>
      <c r="B189" s="29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29"/>
      <c r="O189" s="76"/>
      <c r="P189" s="29"/>
      <c r="Q189" s="29"/>
      <c r="R189" s="4"/>
      <c r="S189" s="32"/>
      <c r="T189" s="4"/>
      <c r="U189" s="4"/>
      <c r="V189" s="4"/>
      <c r="W189" s="4"/>
    </row>
    <row x14ac:dyDescent="0.25" r="190" customHeight="1" ht="12.75">
      <c r="A190" s="4"/>
      <c r="B190" s="29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29"/>
      <c r="O190" s="76"/>
      <c r="P190" s="29"/>
      <c r="Q190" s="29"/>
      <c r="R190" s="4"/>
      <c r="S190" s="32"/>
      <c r="T190" s="4"/>
      <c r="U190" s="4"/>
      <c r="V190" s="4"/>
      <c r="W190" s="4"/>
    </row>
    <row x14ac:dyDescent="0.25" r="191" customHeight="1" ht="12.75">
      <c r="A191" s="4"/>
      <c r="B191" s="29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29"/>
      <c r="O191" s="76"/>
      <c r="P191" s="29"/>
      <c r="Q191" s="29"/>
      <c r="R191" s="4"/>
      <c r="S191" s="32"/>
      <c r="T191" s="4"/>
      <c r="U191" s="4"/>
      <c r="V191" s="4"/>
      <c r="W191" s="4"/>
    </row>
    <row x14ac:dyDescent="0.25" r="192" customHeight="1" ht="12.75">
      <c r="A192" s="4"/>
      <c r="B192" s="29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29"/>
      <c r="O192" s="76"/>
      <c r="P192" s="29"/>
      <c r="Q192" s="29"/>
      <c r="R192" s="4"/>
      <c r="S192" s="32"/>
      <c r="T192" s="4"/>
      <c r="U192" s="4"/>
      <c r="V192" s="4"/>
      <c r="W192" s="4"/>
    </row>
    <row x14ac:dyDescent="0.25" r="193" customHeight="1" ht="12.75">
      <c r="A193" s="4"/>
      <c r="B193" s="29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29"/>
      <c r="O193" s="76"/>
      <c r="P193" s="29"/>
      <c r="Q193" s="29"/>
      <c r="R193" s="4"/>
      <c r="S193" s="32"/>
      <c r="T193" s="4"/>
      <c r="U193" s="4"/>
      <c r="V193" s="4"/>
      <c r="W193" s="4"/>
    </row>
    <row x14ac:dyDescent="0.25" r="194" customHeight="1" ht="12.75">
      <c r="A194" s="4"/>
      <c r="B194" s="29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29"/>
      <c r="O194" s="76"/>
      <c r="P194" s="29"/>
      <c r="Q194" s="29"/>
      <c r="R194" s="4"/>
      <c r="S194" s="32"/>
      <c r="T194" s="4"/>
      <c r="U194" s="4"/>
      <c r="V194" s="4"/>
      <c r="W194" s="4"/>
    </row>
    <row x14ac:dyDescent="0.25" r="195" customHeight="1" ht="12.75">
      <c r="A195" s="4"/>
      <c r="B195" s="29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29"/>
      <c r="O195" s="76"/>
      <c r="P195" s="29"/>
      <c r="Q195" s="29"/>
      <c r="R195" s="4"/>
      <c r="S195" s="32"/>
      <c r="T195" s="4"/>
      <c r="U195" s="4"/>
      <c r="V195" s="4"/>
      <c r="W195" s="4"/>
    </row>
    <row x14ac:dyDescent="0.25" r="196" customHeight="1" ht="12.75">
      <c r="A196" s="4"/>
      <c r="B196" s="29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29"/>
      <c r="O196" s="76"/>
      <c r="P196" s="29"/>
      <c r="Q196" s="29"/>
      <c r="R196" s="4"/>
      <c r="S196" s="32"/>
      <c r="T196" s="4"/>
      <c r="U196" s="4"/>
      <c r="V196" s="4"/>
      <c r="W196" s="4"/>
    </row>
    <row x14ac:dyDescent="0.25" r="197" customHeight="1" ht="12.75">
      <c r="A197" s="4"/>
      <c r="B197" s="29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29"/>
      <c r="O197" s="76"/>
      <c r="P197" s="29"/>
      <c r="Q197" s="29"/>
      <c r="R197" s="4"/>
      <c r="S197" s="32"/>
      <c r="T197" s="4"/>
      <c r="U197" s="4"/>
      <c r="V197" s="4"/>
      <c r="W197" s="4"/>
    </row>
    <row x14ac:dyDescent="0.25" r="198" customHeight="1" ht="12.75">
      <c r="A198" s="4"/>
      <c r="B198" s="29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29"/>
      <c r="O198" s="76"/>
      <c r="P198" s="29"/>
      <c r="Q198" s="29"/>
      <c r="R198" s="4"/>
      <c r="S198" s="32"/>
      <c r="T198" s="4"/>
      <c r="U198" s="4"/>
      <c r="V198" s="4"/>
      <c r="W198" s="4"/>
    </row>
    <row x14ac:dyDescent="0.25" r="199" customHeight="1" ht="12.75">
      <c r="A199" s="4"/>
      <c r="B199" s="29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29"/>
      <c r="O199" s="76"/>
      <c r="P199" s="29"/>
      <c r="Q199" s="29"/>
      <c r="R199" s="4"/>
      <c r="S199" s="32"/>
      <c r="T199" s="4"/>
      <c r="U199" s="4"/>
      <c r="V199" s="4"/>
      <c r="W199" s="4"/>
    </row>
    <row x14ac:dyDescent="0.25" r="200" customHeight="1" ht="12.75">
      <c r="A200" s="4"/>
      <c r="B200" s="29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29"/>
      <c r="O200" s="76"/>
      <c r="P200" s="29"/>
      <c r="Q200" s="29"/>
      <c r="R200" s="4"/>
      <c r="S200" s="32"/>
      <c r="T200" s="4"/>
      <c r="U200" s="4"/>
      <c r="V200" s="4"/>
      <c r="W200" s="4"/>
    </row>
    <row x14ac:dyDescent="0.25" r="201" customHeight="1" ht="12.75">
      <c r="A201" s="4"/>
      <c r="B201" s="29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29"/>
      <c r="O201" s="76"/>
      <c r="P201" s="29"/>
      <c r="Q201" s="29"/>
      <c r="R201" s="4"/>
      <c r="S201" s="32"/>
      <c r="T201" s="4"/>
      <c r="U201" s="4"/>
      <c r="V201" s="4"/>
      <c r="W201" s="4"/>
    </row>
    <row x14ac:dyDescent="0.25" r="202" customHeight="1" ht="12.75">
      <c r="A202" s="4"/>
      <c r="B202" s="29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29"/>
      <c r="O202" s="76"/>
      <c r="P202" s="29"/>
      <c r="Q202" s="29"/>
      <c r="R202" s="4"/>
      <c r="S202" s="32"/>
      <c r="T202" s="4"/>
      <c r="U202" s="4"/>
      <c r="V202" s="4"/>
      <c r="W202" s="4"/>
    </row>
    <row x14ac:dyDescent="0.25" r="203" customHeight="1" ht="12.75">
      <c r="A203" s="4"/>
      <c r="B203" s="29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29"/>
      <c r="O203" s="76"/>
      <c r="P203" s="29"/>
      <c r="Q203" s="29"/>
      <c r="R203" s="4"/>
      <c r="S203" s="32"/>
      <c r="T203" s="4"/>
      <c r="U203" s="4"/>
      <c r="V203" s="4"/>
      <c r="W203" s="4"/>
    </row>
    <row x14ac:dyDescent="0.25" r="204" customHeight="1" ht="12.75">
      <c r="A204" s="4"/>
      <c r="B204" s="29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29"/>
      <c r="O204" s="76"/>
      <c r="P204" s="29"/>
      <c r="Q204" s="29"/>
      <c r="R204" s="4"/>
      <c r="S204" s="32"/>
      <c r="T204" s="4"/>
      <c r="U204" s="4"/>
      <c r="V204" s="4"/>
      <c r="W204" s="4"/>
    </row>
    <row x14ac:dyDescent="0.25" r="205" customHeight="1" ht="12.75">
      <c r="A205" s="4"/>
      <c r="B205" s="29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29"/>
      <c r="O205" s="76"/>
      <c r="P205" s="29"/>
      <c r="Q205" s="29"/>
      <c r="R205" s="4"/>
      <c r="S205" s="32"/>
      <c r="T205" s="4"/>
      <c r="U205" s="4"/>
      <c r="V205" s="4"/>
      <c r="W205" s="4"/>
    </row>
    <row x14ac:dyDescent="0.25" r="206" customHeight="1" ht="12.75">
      <c r="A206" s="4"/>
      <c r="B206" s="29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29"/>
      <c r="O206" s="76"/>
      <c r="P206" s="29"/>
      <c r="Q206" s="29"/>
      <c r="R206" s="4"/>
      <c r="S206" s="32"/>
      <c r="T206" s="4"/>
      <c r="U206" s="4"/>
      <c r="V206" s="4"/>
      <c r="W206" s="4"/>
    </row>
    <row x14ac:dyDescent="0.25" r="207" customHeight="1" ht="12.75">
      <c r="A207" s="4"/>
      <c r="B207" s="29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29"/>
      <c r="O207" s="76"/>
      <c r="P207" s="29"/>
      <c r="Q207" s="29"/>
      <c r="R207" s="4"/>
      <c r="S207" s="32"/>
      <c r="T207" s="4"/>
      <c r="U207" s="4"/>
      <c r="V207" s="4"/>
      <c r="W207" s="4"/>
    </row>
    <row x14ac:dyDescent="0.25" r="208" customHeight="1" ht="12.75">
      <c r="A208" s="4"/>
      <c r="B208" s="29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29"/>
      <c r="O208" s="76"/>
      <c r="P208" s="29"/>
      <c r="Q208" s="29"/>
      <c r="R208" s="4"/>
      <c r="S208" s="32"/>
      <c r="T208" s="4"/>
      <c r="U208" s="4"/>
      <c r="V208" s="4"/>
      <c r="W208" s="4"/>
    </row>
    <row x14ac:dyDescent="0.25" r="209" customHeight="1" ht="12.75">
      <c r="A209" s="4"/>
      <c r="B209" s="29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29"/>
      <c r="O209" s="76"/>
      <c r="P209" s="29"/>
      <c r="Q209" s="29"/>
      <c r="R209" s="4"/>
      <c r="S209" s="32"/>
      <c r="T209" s="4"/>
      <c r="U209" s="4"/>
      <c r="V209" s="4"/>
      <c r="W209" s="4"/>
    </row>
    <row x14ac:dyDescent="0.25" r="210" customHeight="1" ht="12.75">
      <c r="A210" s="4"/>
      <c r="B210" s="29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29"/>
      <c r="O210" s="76"/>
      <c r="P210" s="29"/>
      <c r="Q210" s="29"/>
      <c r="R210" s="4"/>
      <c r="S210" s="32"/>
      <c r="T210" s="4"/>
      <c r="U210" s="4"/>
      <c r="V210" s="4"/>
      <c r="W210" s="4"/>
    </row>
    <row x14ac:dyDescent="0.25" r="211" customHeight="1" ht="12.75">
      <c r="A211" s="4"/>
      <c r="B211" s="29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29"/>
      <c r="O211" s="76"/>
      <c r="P211" s="29"/>
      <c r="Q211" s="29"/>
      <c r="R211" s="4"/>
      <c r="S211" s="32"/>
      <c r="T211" s="4"/>
      <c r="U211" s="4"/>
      <c r="V211" s="4"/>
      <c r="W211" s="4"/>
    </row>
    <row x14ac:dyDescent="0.25" r="212" customHeight="1" ht="12.75">
      <c r="A212" s="4"/>
      <c r="B212" s="29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29"/>
      <c r="O212" s="76"/>
      <c r="P212" s="29"/>
      <c r="Q212" s="29"/>
      <c r="R212" s="4"/>
      <c r="S212" s="32"/>
      <c r="T212" s="4"/>
      <c r="U212" s="4"/>
      <c r="V212" s="4"/>
      <c r="W212" s="4"/>
    </row>
    <row x14ac:dyDescent="0.25" r="213" customHeight="1" ht="12.75">
      <c r="A213" s="4"/>
      <c r="B213" s="29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29"/>
      <c r="O213" s="76"/>
      <c r="P213" s="29"/>
      <c r="Q213" s="29"/>
      <c r="R213" s="4"/>
      <c r="S213" s="32"/>
      <c r="T213" s="4"/>
      <c r="U213" s="4"/>
      <c r="V213" s="4"/>
      <c r="W213" s="4"/>
    </row>
    <row x14ac:dyDescent="0.25" r="214" customHeight="1" ht="12.75">
      <c r="A214" s="4"/>
      <c r="B214" s="29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29"/>
      <c r="O214" s="76"/>
      <c r="P214" s="29"/>
      <c r="Q214" s="29"/>
      <c r="R214" s="4"/>
      <c r="S214" s="32"/>
      <c r="T214" s="4"/>
      <c r="U214" s="4"/>
      <c r="V214" s="4"/>
      <c r="W214" s="4"/>
    </row>
    <row x14ac:dyDescent="0.25" r="215" customHeight="1" ht="12.75">
      <c r="A215" s="4"/>
      <c r="B215" s="29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29"/>
      <c r="O215" s="76"/>
      <c r="P215" s="29"/>
      <c r="Q215" s="29"/>
      <c r="R215" s="4"/>
      <c r="S215" s="32"/>
      <c r="T215" s="4"/>
      <c r="U215" s="4"/>
      <c r="V215" s="4"/>
      <c r="W215" s="4"/>
    </row>
    <row x14ac:dyDescent="0.25" r="216" customHeight="1" ht="12.75">
      <c r="A216" s="4"/>
      <c r="B216" s="29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29"/>
      <c r="O216" s="76"/>
      <c r="P216" s="29"/>
      <c r="Q216" s="29"/>
      <c r="R216" s="4"/>
      <c r="S216" s="32"/>
      <c r="T216" s="4"/>
      <c r="U216" s="4"/>
      <c r="V216" s="4"/>
      <c r="W216" s="4"/>
    </row>
    <row x14ac:dyDescent="0.25" r="217" customHeight="1" ht="12.75">
      <c r="A217" s="4"/>
      <c r="B217" s="29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29"/>
      <c r="O217" s="76"/>
      <c r="P217" s="29"/>
      <c r="Q217" s="29"/>
      <c r="R217" s="4"/>
      <c r="S217" s="32"/>
      <c r="T217" s="4"/>
      <c r="U217" s="4"/>
      <c r="V217" s="4"/>
      <c r="W217" s="4"/>
    </row>
    <row x14ac:dyDescent="0.25" r="218" customHeight="1" ht="12.75">
      <c r="A218" s="4"/>
      <c r="B218" s="29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29"/>
      <c r="O218" s="76"/>
      <c r="P218" s="29"/>
      <c r="Q218" s="29"/>
      <c r="R218" s="4"/>
      <c r="S218" s="32"/>
      <c r="T218" s="4"/>
      <c r="U218" s="4"/>
      <c r="V218" s="4"/>
      <c r="W218" s="4"/>
    </row>
    <row x14ac:dyDescent="0.25" r="219" customHeight="1" ht="12.75">
      <c r="A219" s="4"/>
      <c r="B219" s="29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29"/>
      <c r="O219" s="76"/>
      <c r="P219" s="29"/>
      <c r="Q219" s="29"/>
      <c r="R219" s="4"/>
      <c r="S219" s="32"/>
      <c r="T219" s="4"/>
      <c r="U219" s="4"/>
      <c r="V219" s="4"/>
      <c r="W219" s="4"/>
    </row>
    <row x14ac:dyDescent="0.25" r="220" customHeight="1" ht="12.75">
      <c r="A220" s="4"/>
      <c r="B220" s="29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29"/>
      <c r="O220" s="76"/>
      <c r="P220" s="29"/>
      <c r="Q220" s="29"/>
      <c r="R220" s="4"/>
      <c r="S220" s="32"/>
      <c r="T220" s="4"/>
      <c r="U220" s="4"/>
      <c r="V220" s="4"/>
      <c r="W220" s="4"/>
    </row>
    <row x14ac:dyDescent="0.25" r="221" customHeight="1" ht="12.75">
      <c r="A221" s="4"/>
      <c r="B221" s="29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29"/>
      <c r="O221" s="76"/>
      <c r="P221" s="29"/>
      <c r="Q221" s="29"/>
      <c r="R221" s="4"/>
      <c r="S221" s="32"/>
      <c r="T221" s="4"/>
      <c r="U221" s="4"/>
      <c r="V221" s="4"/>
      <c r="W221" s="4"/>
    </row>
    <row x14ac:dyDescent="0.25" r="222" customHeight="1" ht="12.75">
      <c r="A222" s="4"/>
      <c r="B222" s="29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29"/>
      <c r="O222" s="76"/>
      <c r="P222" s="29"/>
      <c r="Q222" s="29"/>
      <c r="R222" s="4"/>
      <c r="S222" s="32"/>
      <c r="T222" s="4"/>
      <c r="U222" s="4"/>
      <c r="V222" s="4"/>
      <c r="W222" s="4"/>
    </row>
    <row x14ac:dyDescent="0.25" r="223" customHeight="1" ht="12.75">
      <c r="A223" s="4"/>
      <c r="B223" s="29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29"/>
      <c r="O223" s="76"/>
      <c r="P223" s="29"/>
      <c r="Q223" s="29"/>
      <c r="R223" s="4"/>
      <c r="S223" s="32"/>
      <c r="T223" s="4"/>
      <c r="U223" s="4"/>
      <c r="V223" s="4"/>
      <c r="W223" s="4"/>
    </row>
    <row x14ac:dyDescent="0.25" r="224" customHeight="1" ht="12.75">
      <c r="A224" s="4"/>
      <c r="B224" s="29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29"/>
      <c r="O224" s="76"/>
      <c r="P224" s="29"/>
      <c r="Q224" s="29"/>
      <c r="R224" s="4"/>
      <c r="S224" s="32"/>
      <c r="T224" s="4"/>
      <c r="U224" s="4"/>
      <c r="V224" s="4"/>
      <c r="W224" s="4"/>
    </row>
    <row x14ac:dyDescent="0.25" r="225" customHeight="1" ht="12.75">
      <c r="A225" s="4"/>
      <c r="B225" s="29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29"/>
      <c r="O225" s="76"/>
      <c r="P225" s="29"/>
      <c r="Q225" s="29"/>
      <c r="R225" s="4"/>
      <c r="S225" s="32"/>
      <c r="T225" s="4"/>
      <c r="U225" s="4"/>
      <c r="V225" s="4"/>
      <c r="W225" s="4"/>
    </row>
    <row x14ac:dyDescent="0.25" r="226" customHeight="1" ht="12.75">
      <c r="A226" s="4"/>
      <c r="B226" s="29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29"/>
      <c r="O226" s="76"/>
      <c r="P226" s="29"/>
      <c r="Q226" s="29"/>
      <c r="R226" s="4"/>
      <c r="S226" s="32"/>
      <c r="T226" s="4"/>
      <c r="U226" s="4"/>
      <c r="V226" s="4"/>
      <c r="W226" s="4"/>
    </row>
    <row x14ac:dyDescent="0.25" r="227" customHeight="1" ht="12.75">
      <c r="A227" s="4"/>
      <c r="B227" s="29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29"/>
      <c r="O227" s="76"/>
      <c r="P227" s="29"/>
      <c r="Q227" s="29"/>
      <c r="R227" s="4"/>
      <c r="S227" s="32"/>
      <c r="T227" s="4"/>
      <c r="U227" s="4"/>
      <c r="V227" s="4"/>
      <c r="W227" s="4"/>
    </row>
    <row x14ac:dyDescent="0.25" r="228" customHeight="1" ht="12.75">
      <c r="A228" s="4"/>
      <c r="B228" s="29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29"/>
      <c r="O228" s="76"/>
      <c r="P228" s="29"/>
      <c r="Q228" s="29"/>
      <c r="R228" s="4"/>
      <c r="S228" s="32"/>
      <c r="T228" s="4"/>
      <c r="U228" s="4"/>
      <c r="V228" s="4"/>
      <c r="W228" s="4"/>
    </row>
    <row x14ac:dyDescent="0.25" r="229" customHeight="1" ht="12.75">
      <c r="A229" s="4"/>
      <c r="B229" s="29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29"/>
      <c r="O229" s="76"/>
      <c r="P229" s="29"/>
      <c r="Q229" s="29"/>
      <c r="R229" s="4"/>
      <c r="S229" s="32"/>
      <c r="T229" s="4"/>
      <c r="U229" s="4"/>
      <c r="V229" s="4"/>
      <c r="W229" s="4"/>
    </row>
    <row x14ac:dyDescent="0.25" r="230" customHeight="1" ht="12.75">
      <c r="A230" s="4"/>
      <c r="B230" s="29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29"/>
      <c r="O230" s="76"/>
      <c r="P230" s="29"/>
      <c r="Q230" s="29"/>
      <c r="R230" s="4"/>
      <c r="S230" s="32"/>
      <c r="T230" s="4"/>
      <c r="U230" s="4"/>
      <c r="V230" s="4"/>
      <c r="W230" s="4"/>
    </row>
    <row x14ac:dyDescent="0.25" r="231" customHeight="1" ht="12.75">
      <c r="A231" s="4"/>
      <c r="B231" s="29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29"/>
      <c r="O231" s="76"/>
      <c r="P231" s="29"/>
      <c r="Q231" s="29"/>
      <c r="R231" s="4"/>
      <c r="S231" s="32"/>
      <c r="T231" s="4"/>
      <c r="U231" s="4"/>
      <c r="V231" s="4"/>
      <c r="W231" s="4"/>
    </row>
    <row x14ac:dyDescent="0.25" r="232" customHeight="1" ht="12.75">
      <c r="A232" s="4"/>
      <c r="B232" s="29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29"/>
      <c r="O232" s="76"/>
      <c r="P232" s="29"/>
      <c r="Q232" s="29"/>
      <c r="R232" s="4"/>
      <c r="S232" s="32"/>
      <c r="T232" s="4"/>
      <c r="U232" s="4"/>
      <c r="V232" s="4"/>
      <c r="W232" s="4"/>
    </row>
    <row x14ac:dyDescent="0.25" r="233" customHeight="1" ht="12.75">
      <c r="A233" s="4"/>
      <c r="B233" s="29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29"/>
      <c r="O233" s="76"/>
      <c r="P233" s="29"/>
      <c r="Q233" s="29"/>
      <c r="R233" s="4"/>
      <c r="S233" s="32"/>
      <c r="T233" s="4"/>
      <c r="U233" s="4"/>
      <c r="V233" s="4"/>
      <c r="W233" s="4"/>
    </row>
    <row x14ac:dyDescent="0.25" r="234" customHeight="1" ht="12.75">
      <c r="A234" s="4"/>
      <c r="B234" s="29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29"/>
      <c r="O234" s="76"/>
      <c r="P234" s="29"/>
      <c r="Q234" s="29"/>
      <c r="R234" s="4"/>
      <c r="S234" s="32"/>
      <c r="T234" s="4"/>
      <c r="U234" s="4"/>
      <c r="V234" s="4"/>
      <c r="W234" s="4"/>
    </row>
    <row x14ac:dyDescent="0.25" r="235" customHeight="1" ht="12.75">
      <c r="A235" s="4"/>
      <c r="B235" s="29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29"/>
      <c r="O235" s="76"/>
      <c r="P235" s="29"/>
      <c r="Q235" s="29"/>
      <c r="R235" s="4"/>
      <c r="S235" s="32"/>
      <c r="T235" s="4"/>
      <c r="U235" s="4"/>
      <c r="V235" s="4"/>
      <c r="W235" s="4"/>
    </row>
    <row x14ac:dyDescent="0.25" r="236" customHeight="1" ht="12.75">
      <c r="A236" s="4"/>
      <c r="B236" s="29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29"/>
      <c r="O236" s="76"/>
      <c r="P236" s="29"/>
      <c r="Q236" s="29"/>
      <c r="R236" s="4"/>
      <c r="S236" s="32"/>
      <c r="T236" s="4"/>
      <c r="U236" s="4"/>
      <c r="V236" s="4"/>
      <c r="W236" s="4"/>
    </row>
    <row x14ac:dyDescent="0.25" r="237" customHeight="1" ht="12.75">
      <c r="A237" s="4"/>
      <c r="B237" s="29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29"/>
      <c r="O237" s="76"/>
      <c r="P237" s="29"/>
      <c r="Q237" s="29"/>
      <c r="R237" s="4"/>
      <c r="S237" s="32"/>
      <c r="T237" s="4"/>
      <c r="U237" s="4"/>
      <c r="V237" s="4"/>
      <c r="W237" s="4"/>
    </row>
    <row x14ac:dyDescent="0.25" r="238" customHeight="1" ht="12.75">
      <c r="A238" s="4"/>
      <c r="B238" s="29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29"/>
      <c r="O238" s="76"/>
      <c r="P238" s="29"/>
      <c r="Q238" s="29"/>
      <c r="R238" s="4"/>
      <c r="S238" s="32"/>
      <c r="T238" s="4"/>
      <c r="U238" s="4"/>
      <c r="V238" s="4"/>
      <c r="W238" s="4"/>
    </row>
    <row x14ac:dyDescent="0.25" r="239" customHeight="1" ht="12.75">
      <c r="A239" s="4"/>
      <c r="B239" s="29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29"/>
      <c r="O239" s="76"/>
      <c r="P239" s="29"/>
      <c r="Q239" s="29"/>
      <c r="R239" s="4"/>
      <c r="S239" s="32"/>
      <c r="T239" s="4"/>
      <c r="U239" s="4"/>
      <c r="V239" s="4"/>
      <c r="W239" s="4"/>
    </row>
    <row x14ac:dyDescent="0.25" r="240" customHeight="1" ht="12.75">
      <c r="A240" s="4"/>
      <c r="B240" s="29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29"/>
      <c r="O240" s="76"/>
      <c r="P240" s="29"/>
      <c r="Q240" s="29"/>
      <c r="R240" s="4"/>
      <c r="S240" s="32"/>
      <c r="T240" s="4"/>
      <c r="U240" s="4"/>
      <c r="V240" s="4"/>
      <c r="W240" s="4"/>
    </row>
    <row x14ac:dyDescent="0.25" r="241" customHeight="1" ht="12.75">
      <c r="A241" s="4"/>
      <c r="B241" s="29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29"/>
      <c r="O241" s="76"/>
      <c r="P241" s="29"/>
      <c r="Q241" s="29"/>
      <c r="R241" s="4"/>
      <c r="S241" s="32"/>
      <c r="T241" s="4"/>
      <c r="U241" s="4"/>
      <c r="V241" s="4"/>
      <c r="W241" s="4"/>
    </row>
    <row x14ac:dyDescent="0.25" r="242" customHeight="1" ht="12.75">
      <c r="A242" s="4"/>
      <c r="B242" s="29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29"/>
      <c r="O242" s="76"/>
      <c r="P242" s="29"/>
      <c r="Q242" s="29"/>
      <c r="R242" s="4"/>
      <c r="S242" s="32"/>
      <c r="T242" s="4"/>
      <c r="U242" s="4"/>
      <c r="V242" s="4"/>
      <c r="W242" s="4"/>
    </row>
    <row x14ac:dyDescent="0.25" r="243" customHeight="1" ht="12.75">
      <c r="A243" s="4"/>
      <c r="B243" s="29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29"/>
      <c r="O243" s="76"/>
      <c r="P243" s="29"/>
      <c r="Q243" s="29"/>
      <c r="R243" s="4"/>
      <c r="S243" s="32"/>
      <c r="T243" s="4"/>
      <c r="U243" s="4"/>
      <c r="V243" s="4"/>
      <c r="W243" s="4"/>
    </row>
    <row x14ac:dyDescent="0.25" r="244" customHeight="1" ht="12.75">
      <c r="A244" s="4"/>
      <c r="B244" s="29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29"/>
      <c r="O244" s="76"/>
      <c r="P244" s="29"/>
      <c r="Q244" s="29"/>
      <c r="R244" s="4"/>
      <c r="S244" s="32"/>
      <c r="T244" s="4"/>
      <c r="U244" s="4"/>
      <c r="V244" s="4"/>
      <c r="W244" s="4"/>
    </row>
    <row x14ac:dyDescent="0.25" r="245" customHeight="1" ht="12.75">
      <c r="A245" s="4"/>
      <c r="B245" s="29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29"/>
      <c r="O245" s="76"/>
      <c r="P245" s="29"/>
      <c r="Q245" s="29"/>
      <c r="R245" s="4"/>
      <c r="S245" s="32"/>
      <c r="T245" s="4"/>
      <c r="U245" s="4"/>
      <c r="V245" s="4"/>
      <c r="W245" s="4"/>
    </row>
    <row x14ac:dyDescent="0.25" r="246" customHeight="1" ht="12.75">
      <c r="A246" s="4"/>
      <c r="B246" s="29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29"/>
      <c r="O246" s="76"/>
      <c r="P246" s="29"/>
      <c r="Q246" s="29"/>
      <c r="R246" s="4"/>
      <c r="S246" s="32"/>
      <c r="T246" s="4"/>
      <c r="U246" s="4"/>
      <c r="V246" s="4"/>
      <c r="W246" s="4"/>
    </row>
    <row x14ac:dyDescent="0.25" r="247" customHeight="1" ht="12.75">
      <c r="A247" s="4"/>
      <c r="B247" s="29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29"/>
      <c r="O247" s="76"/>
      <c r="P247" s="29"/>
      <c r="Q247" s="29"/>
      <c r="R247" s="4"/>
      <c r="S247" s="32"/>
      <c r="T247" s="4"/>
      <c r="U247" s="4"/>
      <c r="V247" s="4"/>
      <c r="W247" s="4"/>
    </row>
    <row x14ac:dyDescent="0.25" r="248" customHeight="1" ht="12.75">
      <c r="A248" s="4"/>
      <c r="B248" s="29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29"/>
      <c r="O248" s="76"/>
      <c r="P248" s="29"/>
      <c r="Q248" s="29"/>
      <c r="R248" s="4"/>
      <c r="S248" s="32"/>
      <c r="T248" s="4"/>
      <c r="U248" s="4"/>
      <c r="V248" s="4"/>
      <c r="W248" s="4"/>
    </row>
    <row x14ac:dyDescent="0.25" r="249" customHeight="1" ht="12.75">
      <c r="A249" s="4"/>
      <c r="B249" s="29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29"/>
      <c r="O249" s="76"/>
      <c r="P249" s="29"/>
      <c r="Q249" s="29"/>
      <c r="R249" s="4"/>
      <c r="S249" s="32"/>
      <c r="T249" s="4"/>
      <c r="U249" s="4"/>
      <c r="V249" s="4"/>
      <c r="W249" s="4"/>
    </row>
    <row x14ac:dyDescent="0.25" r="250" customHeight="1" ht="12.75">
      <c r="A250" s="4"/>
      <c r="B250" s="29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29"/>
      <c r="O250" s="76"/>
      <c r="P250" s="29"/>
      <c r="Q250" s="29"/>
      <c r="R250" s="4"/>
      <c r="S250" s="32"/>
      <c r="T250" s="4"/>
      <c r="U250" s="4"/>
      <c r="V250" s="4"/>
      <c r="W250" s="4"/>
    </row>
    <row x14ac:dyDescent="0.25" r="251" customHeight="1" ht="12.75">
      <c r="A251" s="4"/>
      <c r="B251" s="29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29"/>
      <c r="O251" s="76"/>
      <c r="P251" s="29"/>
      <c r="Q251" s="29"/>
      <c r="R251" s="4"/>
      <c r="S251" s="32"/>
      <c r="T251" s="4"/>
      <c r="U251" s="4"/>
      <c r="V251" s="4"/>
      <c r="W251" s="4"/>
    </row>
    <row x14ac:dyDescent="0.25" r="252" customHeight="1" ht="12.75">
      <c r="A252" s="4"/>
      <c r="B252" s="29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29"/>
      <c r="O252" s="76"/>
      <c r="P252" s="29"/>
      <c r="Q252" s="29"/>
      <c r="R252" s="4"/>
      <c r="S252" s="32"/>
      <c r="T252" s="4"/>
      <c r="U252" s="4"/>
      <c r="V252" s="4"/>
      <c r="W252" s="4"/>
    </row>
    <row x14ac:dyDescent="0.25" r="253" customHeight="1" ht="12.75">
      <c r="A253" s="4"/>
      <c r="B253" s="29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29"/>
      <c r="O253" s="76"/>
      <c r="P253" s="29"/>
      <c r="Q253" s="29"/>
      <c r="R253" s="4"/>
      <c r="S253" s="32"/>
      <c r="T253" s="4"/>
      <c r="U253" s="4"/>
      <c r="V253" s="4"/>
      <c r="W253" s="4"/>
    </row>
    <row x14ac:dyDescent="0.25" r="254" customHeight="1" ht="12.75">
      <c r="A254" s="4"/>
      <c r="B254" s="29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29"/>
      <c r="O254" s="76"/>
      <c r="P254" s="29"/>
      <c r="Q254" s="29"/>
      <c r="R254" s="4"/>
      <c r="S254" s="32"/>
      <c r="T254" s="4"/>
      <c r="U254" s="4"/>
      <c r="V254" s="4"/>
      <c r="W254" s="4"/>
    </row>
    <row x14ac:dyDescent="0.25" r="255" customHeight="1" ht="12.75">
      <c r="A255" s="4"/>
      <c r="B255" s="29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29"/>
      <c r="O255" s="76"/>
      <c r="P255" s="29"/>
      <c r="Q255" s="29"/>
      <c r="R255" s="4"/>
      <c r="S255" s="32"/>
      <c r="T255" s="4"/>
      <c r="U255" s="4"/>
      <c r="V255" s="4"/>
      <c r="W255" s="4"/>
    </row>
    <row x14ac:dyDescent="0.25" r="256" customHeight="1" ht="12.75">
      <c r="A256" s="4"/>
      <c r="B256" s="29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29"/>
      <c r="O256" s="76"/>
      <c r="P256" s="29"/>
      <c r="Q256" s="29"/>
      <c r="R256" s="4"/>
      <c r="S256" s="32"/>
      <c r="T256" s="4"/>
      <c r="U256" s="4"/>
      <c r="V256" s="4"/>
      <c r="W256" s="4"/>
    </row>
    <row x14ac:dyDescent="0.25" r="257" customHeight="1" ht="12.75">
      <c r="A257" s="4"/>
      <c r="B257" s="29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29"/>
      <c r="O257" s="76"/>
      <c r="P257" s="29"/>
      <c r="Q257" s="29"/>
      <c r="R257" s="4"/>
      <c r="S257" s="32"/>
      <c r="T257" s="4"/>
      <c r="U257" s="4"/>
      <c r="V257" s="4"/>
      <c r="W257" s="4"/>
    </row>
    <row x14ac:dyDescent="0.25" r="258" customHeight="1" ht="12.75">
      <c r="A258" s="4"/>
      <c r="B258" s="29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29"/>
      <c r="O258" s="76"/>
      <c r="P258" s="29"/>
      <c r="Q258" s="29"/>
      <c r="R258" s="4"/>
      <c r="S258" s="32"/>
      <c r="T258" s="4"/>
      <c r="U258" s="4"/>
      <c r="V258" s="4"/>
      <c r="W258" s="4"/>
    </row>
    <row x14ac:dyDescent="0.25" r="259" customHeight="1" ht="12.75">
      <c r="A259" s="4"/>
      <c r="B259" s="29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29"/>
      <c r="O259" s="76"/>
      <c r="P259" s="29"/>
      <c r="Q259" s="29"/>
      <c r="R259" s="4"/>
      <c r="S259" s="32"/>
      <c r="T259" s="4"/>
      <c r="U259" s="4"/>
      <c r="V259" s="4"/>
      <c r="W259" s="4"/>
    </row>
    <row x14ac:dyDescent="0.25" r="260" customHeight="1" ht="12.75">
      <c r="A260" s="4"/>
      <c r="B260" s="29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29"/>
      <c r="O260" s="76"/>
      <c r="P260" s="29"/>
      <c r="Q260" s="29"/>
      <c r="R260" s="4"/>
      <c r="S260" s="32"/>
      <c r="T260" s="4"/>
      <c r="U260" s="4"/>
      <c r="V260" s="4"/>
      <c r="W260" s="4"/>
    </row>
    <row x14ac:dyDescent="0.25" r="261" customHeight="1" ht="12.75">
      <c r="A261" s="4"/>
      <c r="B261" s="29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29"/>
      <c r="O261" s="76"/>
      <c r="P261" s="29"/>
      <c r="Q261" s="29"/>
      <c r="R261" s="4"/>
      <c r="S261" s="32"/>
      <c r="T261" s="4"/>
      <c r="U261" s="4"/>
      <c r="V261" s="4"/>
      <c r="W261" s="4"/>
    </row>
    <row x14ac:dyDescent="0.25" r="262" customHeight="1" ht="12.75">
      <c r="A262" s="4"/>
      <c r="B262" s="29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29"/>
      <c r="O262" s="76"/>
      <c r="P262" s="29"/>
      <c r="Q262" s="29"/>
      <c r="R262" s="4"/>
      <c r="S262" s="32"/>
      <c r="T262" s="4"/>
      <c r="U262" s="4"/>
      <c r="V262" s="4"/>
      <c r="W262" s="4"/>
    </row>
    <row x14ac:dyDescent="0.25" r="263" customHeight="1" ht="12.75">
      <c r="A263" s="4"/>
      <c r="B263" s="29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29"/>
      <c r="O263" s="76"/>
      <c r="P263" s="29"/>
      <c r="Q263" s="29"/>
      <c r="R263" s="4"/>
      <c r="S263" s="32"/>
      <c r="T263" s="4"/>
      <c r="U263" s="4"/>
      <c r="V263" s="4"/>
      <c r="W263" s="4"/>
    </row>
    <row x14ac:dyDescent="0.25" r="264" customHeight="1" ht="12.75">
      <c r="A264" s="4"/>
      <c r="B264" s="29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29"/>
      <c r="O264" s="76"/>
      <c r="P264" s="29"/>
      <c r="Q264" s="29"/>
      <c r="R264" s="4"/>
      <c r="S264" s="32"/>
      <c r="T264" s="4"/>
      <c r="U264" s="4"/>
      <c r="V264" s="4"/>
      <c r="W264" s="4"/>
    </row>
    <row x14ac:dyDescent="0.25" r="265" customHeight="1" ht="12.75">
      <c r="A265" s="4"/>
      <c r="B265" s="29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29"/>
      <c r="O265" s="76"/>
      <c r="P265" s="29"/>
      <c r="Q265" s="29"/>
      <c r="R265" s="4"/>
      <c r="S265" s="32"/>
      <c r="T265" s="4"/>
      <c r="U265" s="4"/>
      <c r="V265" s="4"/>
      <c r="W265" s="4"/>
    </row>
    <row x14ac:dyDescent="0.25" r="266" customHeight="1" ht="12.75">
      <c r="A266" s="4"/>
      <c r="B266" s="29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29"/>
      <c r="O266" s="76"/>
      <c r="P266" s="29"/>
      <c r="Q266" s="29"/>
      <c r="R266" s="4"/>
      <c r="S266" s="32"/>
      <c r="T266" s="4"/>
      <c r="U266" s="4"/>
      <c r="V266" s="4"/>
      <c r="W266" s="4"/>
    </row>
    <row x14ac:dyDescent="0.25" r="267" customHeight="1" ht="12.75">
      <c r="A267" s="4"/>
      <c r="B267" s="29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29"/>
      <c r="O267" s="76"/>
      <c r="P267" s="29"/>
      <c r="Q267" s="29"/>
      <c r="R267" s="4"/>
      <c r="S267" s="32"/>
      <c r="T267" s="4"/>
      <c r="U267" s="4"/>
      <c r="V267" s="4"/>
      <c r="W267" s="4"/>
    </row>
    <row x14ac:dyDescent="0.25" r="268" customHeight="1" ht="12.75">
      <c r="A268" s="4"/>
      <c r="B268" s="29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29"/>
      <c r="O268" s="76"/>
      <c r="P268" s="29"/>
      <c r="Q268" s="29"/>
      <c r="R268" s="4"/>
      <c r="S268" s="32"/>
      <c r="T268" s="4"/>
      <c r="U268" s="4"/>
      <c r="V268" s="4"/>
      <c r="W268" s="4"/>
    </row>
    <row x14ac:dyDescent="0.25" r="269" customHeight="1" ht="12.75">
      <c r="A269" s="4"/>
      <c r="B269" s="29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29"/>
      <c r="O269" s="76"/>
      <c r="P269" s="29"/>
      <c r="Q269" s="29"/>
      <c r="R269" s="4"/>
      <c r="S269" s="32"/>
      <c r="T269" s="4"/>
      <c r="U269" s="4"/>
      <c r="V269" s="4"/>
      <c r="W269" s="4"/>
    </row>
    <row x14ac:dyDescent="0.25" r="270" customHeight="1" ht="12.75">
      <c r="A270" s="4"/>
      <c r="B270" s="29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29"/>
      <c r="O270" s="76"/>
      <c r="P270" s="29"/>
      <c r="Q270" s="29"/>
      <c r="R270" s="4"/>
      <c r="S270" s="32"/>
      <c r="T270" s="4"/>
      <c r="U270" s="4"/>
      <c r="V270" s="4"/>
      <c r="W270" s="4"/>
    </row>
    <row x14ac:dyDescent="0.25" r="271" customHeight="1" ht="12.75">
      <c r="A271" s="4"/>
      <c r="B271" s="29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29"/>
      <c r="O271" s="76"/>
      <c r="P271" s="29"/>
      <c r="Q271" s="29"/>
      <c r="R271" s="4"/>
      <c r="S271" s="32"/>
      <c r="T271" s="4"/>
      <c r="U271" s="4"/>
      <c r="V271" s="4"/>
      <c r="W271" s="4"/>
    </row>
    <row x14ac:dyDescent="0.25" r="272" customHeight="1" ht="12.75">
      <c r="A272" s="4"/>
      <c r="B272" s="29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29"/>
      <c r="O272" s="76"/>
      <c r="P272" s="29"/>
      <c r="Q272" s="29"/>
      <c r="R272" s="4"/>
      <c r="S272" s="32"/>
      <c r="T272" s="4"/>
      <c r="U272" s="4"/>
      <c r="V272" s="4"/>
      <c r="W272" s="4"/>
    </row>
    <row x14ac:dyDescent="0.25" r="273" customHeight="1" ht="12.75">
      <c r="A273" s="4"/>
      <c r="B273" s="29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29"/>
      <c r="O273" s="76"/>
      <c r="P273" s="29"/>
      <c r="Q273" s="29"/>
      <c r="R273" s="4"/>
      <c r="S273" s="32"/>
      <c r="T273" s="4"/>
      <c r="U273" s="4"/>
      <c r="V273" s="4"/>
      <c r="W273" s="4"/>
    </row>
    <row x14ac:dyDescent="0.25" r="274" customHeight="1" ht="12.75">
      <c r="A274" s="4"/>
      <c r="B274" s="29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29"/>
      <c r="O274" s="76"/>
      <c r="P274" s="29"/>
      <c r="Q274" s="29"/>
      <c r="R274" s="4"/>
      <c r="S274" s="32"/>
      <c r="T274" s="4"/>
      <c r="U274" s="4"/>
      <c r="V274" s="4"/>
      <c r="W274" s="4"/>
    </row>
    <row x14ac:dyDescent="0.25" r="275" customHeight="1" ht="12.75">
      <c r="A275" s="4"/>
      <c r="B275" s="29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29"/>
      <c r="O275" s="76"/>
      <c r="P275" s="29"/>
      <c r="Q275" s="29"/>
      <c r="R275" s="4"/>
      <c r="S275" s="32"/>
      <c r="T275" s="4"/>
      <c r="U275" s="4"/>
      <c r="V275" s="4"/>
      <c r="W275" s="4"/>
    </row>
    <row x14ac:dyDescent="0.25" r="276" customHeight="1" ht="12.75">
      <c r="A276" s="4"/>
      <c r="B276" s="29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29"/>
      <c r="O276" s="76"/>
      <c r="P276" s="29"/>
      <c r="Q276" s="29"/>
      <c r="R276" s="4"/>
      <c r="S276" s="32"/>
      <c r="T276" s="4"/>
      <c r="U276" s="4"/>
      <c r="V276" s="4"/>
      <c r="W276" s="4"/>
    </row>
    <row x14ac:dyDescent="0.25" r="277" customHeight="1" ht="12.75">
      <c r="A277" s="4"/>
      <c r="B277" s="29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29"/>
      <c r="O277" s="76"/>
      <c r="P277" s="29"/>
      <c r="Q277" s="29"/>
      <c r="R277" s="4"/>
      <c r="S277" s="32"/>
      <c r="T277" s="4"/>
      <c r="U277" s="4"/>
      <c r="V277" s="4"/>
      <c r="W277" s="4"/>
    </row>
    <row x14ac:dyDescent="0.25" r="278" customHeight="1" ht="12.75">
      <c r="A278" s="4"/>
      <c r="B278" s="29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29"/>
      <c r="O278" s="76"/>
      <c r="P278" s="29"/>
      <c r="Q278" s="29"/>
      <c r="R278" s="4"/>
      <c r="S278" s="32"/>
      <c r="T278" s="4"/>
      <c r="U278" s="4"/>
      <c r="V278" s="4"/>
      <c r="W278" s="4"/>
    </row>
    <row x14ac:dyDescent="0.25" r="279" customHeight="1" ht="12.75">
      <c r="A279" s="4"/>
      <c r="B279" s="29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29"/>
      <c r="O279" s="76"/>
      <c r="P279" s="29"/>
      <c r="Q279" s="29"/>
      <c r="R279" s="4"/>
      <c r="S279" s="32"/>
      <c r="T279" s="4"/>
      <c r="U279" s="4"/>
      <c r="V279" s="4"/>
      <c r="W279" s="4"/>
    </row>
    <row x14ac:dyDescent="0.25" r="280" customHeight="1" ht="12.75">
      <c r="A280" s="4"/>
      <c r="B280" s="29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29"/>
      <c r="O280" s="76"/>
      <c r="P280" s="29"/>
      <c r="Q280" s="29"/>
      <c r="R280" s="4"/>
      <c r="S280" s="32"/>
      <c r="T280" s="4"/>
      <c r="U280" s="4"/>
      <c r="V280" s="4"/>
      <c r="W280" s="4"/>
    </row>
    <row x14ac:dyDescent="0.25" r="281" customHeight="1" ht="12.75">
      <c r="A281" s="4"/>
      <c r="B281" s="29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29"/>
      <c r="O281" s="76"/>
      <c r="P281" s="29"/>
      <c r="Q281" s="29"/>
      <c r="R281" s="4"/>
      <c r="S281" s="32"/>
      <c r="T281" s="4"/>
      <c r="U281" s="4"/>
      <c r="V281" s="4"/>
      <c r="W281" s="4"/>
    </row>
    <row x14ac:dyDescent="0.25" r="282" customHeight="1" ht="12.75">
      <c r="A282" s="4"/>
      <c r="B282" s="29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29"/>
      <c r="O282" s="76"/>
      <c r="P282" s="29"/>
      <c r="Q282" s="29"/>
      <c r="R282" s="4"/>
      <c r="S282" s="32"/>
      <c r="T282" s="4"/>
      <c r="U282" s="4"/>
      <c r="V282" s="4"/>
      <c r="W282" s="4"/>
    </row>
    <row x14ac:dyDescent="0.25" r="283" customHeight="1" ht="12.75">
      <c r="A283" s="4"/>
      <c r="B283" s="29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29"/>
      <c r="O283" s="76"/>
      <c r="P283" s="29"/>
      <c r="Q283" s="29"/>
      <c r="R283" s="4"/>
      <c r="S283" s="32"/>
      <c r="T283" s="4"/>
      <c r="U283" s="4"/>
      <c r="V283" s="4"/>
      <c r="W283" s="4"/>
    </row>
    <row x14ac:dyDescent="0.25" r="284" customHeight="1" ht="12.75">
      <c r="A284" s="4"/>
      <c r="B284" s="29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29"/>
      <c r="O284" s="76"/>
      <c r="P284" s="29"/>
      <c r="Q284" s="29"/>
      <c r="R284" s="4"/>
      <c r="S284" s="32"/>
      <c r="T284" s="4"/>
      <c r="U284" s="4"/>
      <c r="V284" s="4"/>
      <c r="W284" s="4"/>
    </row>
    <row x14ac:dyDescent="0.25" r="285" customHeight="1" ht="12.75">
      <c r="A285" s="4"/>
      <c r="B285" s="29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29"/>
      <c r="O285" s="76"/>
      <c r="P285" s="29"/>
      <c r="Q285" s="29"/>
      <c r="R285" s="4"/>
      <c r="S285" s="32"/>
      <c r="T285" s="4"/>
      <c r="U285" s="4"/>
      <c r="V285" s="4"/>
      <c r="W285" s="4"/>
    </row>
    <row x14ac:dyDescent="0.25" r="286" customHeight="1" ht="12.75">
      <c r="A286" s="4"/>
      <c r="B286" s="29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29"/>
      <c r="O286" s="76"/>
      <c r="P286" s="29"/>
      <c r="Q286" s="29"/>
      <c r="R286" s="4"/>
      <c r="S286" s="32"/>
      <c r="T286" s="4"/>
      <c r="U286" s="4"/>
      <c r="V286" s="4"/>
      <c r="W286" s="4"/>
    </row>
    <row x14ac:dyDescent="0.25" r="287" customHeight="1" ht="12.75">
      <c r="A287" s="4"/>
      <c r="B287" s="29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29"/>
      <c r="O287" s="76"/>
      <c r="P287" s="29"/>
      <c r="Q287" s="29"/>
      <c r="R287" s="4"/>
      <c r="S287" s="32"/>
      <c r="T287" s="4"/>
      <c r="U287" s="4"/>
      <c r="V287" s="4"/>
      <c r="W287" s="4"/>
    </row>
    <row x14ac:dyDescent="0.25" r="288" customHeight="1" ht="12.75">
      <c r="A288" s="4"/>
      <c r="B288" s="29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29"/>
      <c r="O288" s="76"/>
      <c r="P288" s="29"/>
      <c r="Q288" s="29"/>
      <c r="R288" s="4"/>
      <c r="S288" s="32"/>
      <c r="T288" s="4"/>
      <c r="U288" s="4"/>
      <c r="V288" s="4"/>
      <c r="W288" s="4"/>
    </row>
    <row x14ac:dyDescent="0.25" r="289" customHeight="1" ht="12.75">
      <c r="A289" s="4"/>
      <c r="B289" s="29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29"/>
      <c r="O289" s="76"/>
      <c r="P289" s="29"/>
      <c r="Q289" s="29"/>
      <c r="R289" s="4"/>
      <c r="S289" s="32"/>
      <c r="T289" s="4"/>
      <c r="U289" s="4"/>
      <c r="V289" s="4"/>
      <c r="W289" s="4"/>
    </row>
    <row x14ac:dyDescent="0.25" r="290" customHeight="1" ht="12.75">
      <c r="A290" s="4"/>
      <c r="B290" s="29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29"/>
      <c r="O290" s="76"/>
      <c r="P290" s="29"/>
      <c r="Q290" s="29"/>
      <c r="R290" s="4"/>
      <c r="S290" s="32"/>
      <c r="T290" s="4"/>
      <c r="U290" s="4"/>
      <c r="V290" s="4"/>
      <c r="W290" s="4"/>
    </row>
    <row x14ac:dyDescent="0.25" r="291" customHeight="1" ht="12.75">
      <c r="A291" s="4"/>
      <c r="B291" s="29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29"/>
      <c r="O291" s="76"/>
      <c r="P291" s="29"/>
      <c r="Q291" s="29"/>
      <c r="R291" s="4"/>
      <c r="S291" s="32"/>
      <c r="T291" s="4"/>
      <c r="U291" s="4"/>
      <c r="V291" s="4"/>
      <c r="W291" s="4"/>
    </row>
    <row x14ac:dyDescent="0.25" r="292" customHeight="1" ht="12.75">
      <c r="A292" s="4"/>
      <c r="B292" s="29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29"/>
      <c r="O292" s="76"/>
      <c r="P292" s="29"/>
      <c r="Q292" s="29"/>
      <c r="R292" s="4"/>
      <c r="S292" s="32"/>
      <c r="T292" s="4"/>
      <c r="U292" s="4"/>
      <c r="V292" s="4"/>
      <c r="W292" s="4"/>
    </row>
    <row x14ac:dyDescent="0.25" r="293" customHeight="1" ht="12.75">
      <c r="A293" s="4"/>
      <c r="B293" s="29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29"/>
      <c r="O293" s="76"/>
      <c r="P293" s="29"/>
      <c r="Q293" s="29"/>
      <c r="R293" s="4"/>
      <c r="S293" s="32"/>
      <c r="T293" s="4"/>
      <c r="U293" s="4"/>
      <c r="V293" s="4"/>
      <c r="W293" s="4"/>
    </row>
    <row x14ac:dyDescent="0.25" r="294" customHeight="1" ht="12.75">
      <c r="A294" s="4"/>
      <c r="B294" s="29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29"/>
      <c r="O294" s="76"/>
      <c r="P294" s="29"/>
      <c r="Q294" s="29"/>
      <c r="R294" s="4"/>
      <c r="S294" s="32"/>
      <c r="T294" s="4"/>
      <c r="U294" s="4"/>
      <c r="V294" s="4"/>
      <c r="W294" s="4"/>
    </row>
    <row x14ac:dyDescent="0.25" r="295" customHeight="1" ht="12.75">
      <c r="A295" s="4"/>
      <c r="B295" s="29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29"/>
      <c r="O295" s="76"/>
      <c r="P295" s="29"/>
      <c r="Q295" s="29"/>
      <c r="R295" s="4"/>
      <c r="S295" s="32"/>
      <c r="T295" s="4"/>
      <c r="U295" s="4"/>
      <c r="V295" s="4"/>
      <c r="W295" s="4"/>
    </row>
    <row x14ac:dyDescent="0.25" r="296" customHeight="1" ht="12.75">
      <c r="A296" s="4"/>
      <c r="B296" s="29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29"/>
      <c r="O296" s="76"/>
      <c r="P296" s="29"/>
      <c r="Q296" s="29"/>
      <c r="R296" s="4"/>
      <c r="S296" s="32"/>
      <c r="T296" s="4"/>
      <c r="U296" s="4"/>
      <c r="V296" s="4"/>
      <c r="W296" s="4"/>
    </row>
    <row x14ac:dyDescent="0.25" r="297" customHeight="1" ht="12.75">
      <c r="A297" s="4"/>
      <c r="B297" s="29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29"/>
      <c r="O297" s="76"/>
      <c r="P297" s="29"/>
      <c r="Q297" s="29"/>
      <c r="R297" s="4"/>
      <c r="S297" s="32"/>
      <c r="T297" s="4"/>
      <c r="U297" s="4"/>
      <c r="V297" s="4"/>
      <c r="W297" s="4"/>
    </row>
    <row x14ac:dyDescent="0.25" r="298" customHeight="1" ht="12.75">
      <c r="A298" s="4"/>
      <c r="B298" s="29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29"/>
      <c r="O298" s="76"/>
      <c r="P298" s="29"/>
      <c r="Q298" s="29"/>
      <c r="R298" s="4"/>
      <c r="S298" s="32"/>
      <c r="T298" s="4"/>
      <c r="U298" s="4"/>
      <c r="V298" s="4"/>
      <c r="W298" s="4"/>
    </row>
    <row x14ac:dyDescent="0.25" r="299" customHeight="1" ht="12.75">
      <c r="A299" s="4"/>
      <c r="B299" s="29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29"/>
      <c r="O299" s="76"/>
      <c r="P299" s="29"/>
      <c r="Q299" s="29"/>
      <c r="R299" s="4"/>
      <c r="S299" s="32"/>
      <c r="T299" s="4"/>
      <c r="U299" s="4"/>
      <c r="V299" s="4"/>
      <c r="W299" s="4"/>
    </row>
    <row x14ac:dyDescent="0.25" r="300" customHeight="1" ht="12.75">
      <c r="A300" s="4"/>
      <c r="B300" s="29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29"/>
      <c r="O300" s="76"/>
      <c r="P300" s="29"/>
      <c r="Q300" s="29"/>
      <c r="R300" s="4"/>
      <c r="S300" s="32"/>
      <c r="T300" s="4"/>
      <c r="U300" s="4"/>
      <c r="V300" s="4"/>
      <c r="W300" s="4"/>
    </row>
    <row x14ac:dyDescent="0.25" r="301" customHeight="1" ht="12.75">
      <c r="A301" s="4"/>
      <c r="B301" s="29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29"/>
      <c r="O301" s="76"/>
      <c r="P301" s="29"/>
      <c r="Q301" s="29"/>
      <c r="R301" s="4"/>
      <c r="S301" s="32"/>
      <c r="T301" s="4"/>
      <c r="U301" s="4"/>
      <c r="V301" s="4"/>
      <c r="W301" s="4"/>
    </row>
    <row x14ac:dyDescent="0.25" r="302" customHeight="1" ht="12.75">
      <c r="A302" s="4"/>
      <c r="B302" s="29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29"/>
      <c r="O302" s="76"/>
      <c r="P302" s="29"/>
      <c r="Q302" s="29"/>
      <c r="R302" s="4"/>
      <c r="S302" s="32"/>
      <c r="T302" s="4"/>
      <c r="U302" s="4"/>
      <c r="V302" s="4"/>
      <c r="W302" s="4"/>
    </row>
    <row x14ac:dyDescent="0.25" r="303" customHeight="1" ht="12.75">
      <c r="A303" s="4"/>
      <c r="B303" s="29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29"/>
      <c r="O303" s="76"/>
      <c r="P303" s="29"/>
      <c r="Q303" s="29"/>
      <c r="R303" s="4"/>
      <c r="S303" s="32"/>
      <c r="T303" s="4"/>
      <c r="U303" s="4"/>
      <c r="V303" s="4"/>
      <c r="W303" s="4"/>
    </row>
    <row x14ac:dyDescent="0.25" r="304" customHeight="1" ht="12.75">
      <c r="A304" s="4"/>
      <c r="B304" s="29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29"/>
      <c r="O304" s="76"/>
      <c r="P304" s="29"/>
      <c r="Q304" s="29"/>
      <c r="R304" s="4"/>
      <c r="S304" s="32"/>
      <c r="T304" s="4"/>
      <c r="U304" s="4"/>
      <c r="V304" s="4"/>
      <c r="W304" s="4"/>
    </row>
    <row x14ac:dyDescent="0.25" r="305" customHeight="1" ht="12.75">
      <c r="A305" s="4"/>
      <c r="B305" s="29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29"/>
      <c r="O305" s="76"/>
      <c r="P305" s="29"/>
      <c r="Q305" s="29"/>
      <c r="R305" s="4"/>
      <c r="S305" s="32"/>
      <c r="T305" s="4"/>
      <c r="U305" s="4"/>
      <c r="V305" s="4"/>
      <c r="W305" s="4"/>
    </row>
    <row x14ac:dyDescent="0.25" r="306" customHeight="1" ht="12.75">
      <c r="A306" s="4"/>
      <c r="B306" s="29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29"/>
      <c r="O306" s="76"/>
      <c r="P306" s="29"/>
      <c r="Q306" s="29"/>
      <c r="R306" s="4"/>
      <c r="S306" s="32"/>
      <c r="T306" s="4"/>
      <c r="U306" s="4"/>
      <c r="V306" s="4"/>
      <c r="W306" s="4"/>
    </row>
    <row x14ac:dyDescent="0.25" r="307" customHeight="1" ht="12.75">
      <c r="A307" s="4"/>
      <c r="B307" s="29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29"/>
      <c r="O307" s="76"/>
      <c r="P307" s="29"/>
      <c r="Q307" s="29"/>
      <c r="R307" s="4"/>
      <c r="S307" s="32"/>
      <c r="T307" s="4"/>
      <c r="U307" s="4"/>
      <c r="V307" s="4"/>
      <c r="W307" s="4"/>
    </row>
    <row x14ac:dyDescent="0.25" r="308" customHeight="1" ht="12.75">
      <c r="A308" s="4"/>
      <c r="B308" s="29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29"/>
      <c r="O308" s="76"/>
      <c r="P308" s="29"/>
      <c r="Q308" s="29"/>
      <c r="R308" s="4"/>
      <c r="S308" s="32"/>
      <c r="T308" s="4"/>
      <c r="U308" s="4"/>
      <c r="V308" s="4"/>
      <c r="W308" s="4"/>
    </row>
    <row x14ac:dyDescent="0.25" r="309" customHeight="1" ht="12.75">
      <c r="A309" s="4"/>
      <c r="B309" s="29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29"/>
      <c r="O309" s="76"/>
      <c r="P309" s="29"/>
      <c r="Q309" s="29"/>
      <c r="R309" s="4"/>
      <c r="S309" s="32"/>
      <c r="T309" s="4"/>
      <c r="U309" s="4"/>
      <c r="V309" s="4"/>
      <c r="W309" s="4"/>
    </row>
    <row x14ac:dyDescent="0.25" r="310" customHeight="1" ht="12.75">
      <c r="A310" s="4"/>
      <c r="B310" s="29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29"/>
      <c r="O310" s="76"/>
      <c r="P310" s="29"/>
      <c r="Q310" s="29"/>
      <c r="R310" s="4"/>
      <c r="S310" s="32"/>
      <c r="T310" s="4"/>
      <c r="U310" s="4"/>
      <c r="V310" s="4"/>
      <c r="W310" s="4"/>
    </row>
    <row x14ac:dyDescent="0.25" r="311" customHeight="1" ht="12.75">
      <c r="A311" s="4"/>
      <c r="B311" s="29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29"/>
      <c r="O311" s="76"/>
      <c r="P311" s="29"/>
      <c r="Q311" s="29"/>
      <c r="R311" s="4"/>
      <c r="S311" s="32"/>
      <c r="T311" s="4"/>
      <c r="U311" s="4"/>
      <c r="V311" s="4"/>
      <c r="W311" s="4"/>
    </row>
    <row x14ac:dyDescent="0.25" r="312" customHeight="1" ht="12.75">
      <c r="A312" s="4"/>
      <c r="B312" s="29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29"/>
      <c r="O312" s="76"/>
      <c r="P312" s="29"/>
      <c r="Q312" s="29"/>
      <c r="R312" s="4"/>
      <c r="S312" s="32"/>
      <c r="T312" s="4"/>
      <c r="U312" s="4"/>
      <c r="V312" s="4"/>
      <c r="W312" s="4"/>
    </row>
    <row x14ac:dyDescent="0.25" r="313" customHeight="1" ht="12.75">
      <c r="A313" s="4"/>
      <c r="B313" s="29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29"/>
      <c r="O313" s="76"/>
      <c r="P313" s="29"/>
      <c r="Q313" s="29"/>
      <c r="R313" s="4"/>
      <c r="S313" s="32"/>
      <c r="T313" s="4"/>
      <c r="U313" s="4"/>
      <c r="V313" s="4"/>
      <c r="W313" s="4"/>
    </row>
    <row x14ac:dyDescent="0.25" r="314" customHeight="1" ht="12.75">
      <c r="A314" s="4"/>
      <c r="B314" s="29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29"/>
      <c r="O314" s="76"/>
      <c r="P314" s="29"/>
      <c r="Q314" s="29"/>
      <c r="R314" s="4"/>
      <c r="S314" s="32"/>
      <c r="T314" s="4"/>
      <c r="U314" s="4"/>
      <c r="V314" s="4"/>
      <c r="W314" s="4"/>
    </row>
    <row x14ac:dyDescent="0.25" r="315" customHeight="1" ht="12.75">
      <c r="A315" s="4"/>
      <c r="B315" s="29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29"/>
      <c r="O315" s="76"/>
      <c r="P315" s="29"/>
      <c r="Q315" s="29"/>
      <c r="R315" s="4"/>
      <c r="S315" s="32"/>
      <c r="T315" s="4"/>
      <c r="U315" s="4"/>
      <c r="V315" s="4"/>
      <c r="W315" s="4"/>
    </row>
    <row x14ac:dyDescent="0.25" r="316" customHeight="1" ht="12.75">
      <c r="A316" s="4"/>
      <c r="B316" s="29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29"/>
      <c r="O316" s="76"/>
      <c r="P316" s="29"/>
      <c r="Q316" s="29"/>
      <c r="R316" s="4"/>
      <c r="S316" s="32"/>
      <c r="T316" s="4"/>
      <c r="U316" s="4"/>
      <c r="V316" s="4"/>
      <c r="W316" s="4"/>
    </row>
    <row x14ac:dyDescent="0.25" r="317" customHeight="1" ht="12.75">
      <c r="A317" s="4"/>
      <c r="B317" s="29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29"/>
      <c r="O317" s="76"/>
      <c r="P317" s="29"/>
      <c r="Q317" s="29"/>
      <c r="R317" s="4"/>
      <c r="S317" s="32"/>
      <c r="T317" s="4"/>
      <c r="U317" s="4"/>
      <c r="V317" s="4"/>
      <c r="W317" s="4"/>
    </row>
    <row x14ac:dyDescent="0.25" r="318" customHeight="1" ht="12.75">
      <c r="A318" s="4"/>
      <c r="B318" s="29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29"/>
      <c r="O318" s="76"/>
      <c r="P318" s="29"/>
      <c r="Q318" s="29"/>
      <c r="R318" s="4"/>
      <c r="S318" s="32"/>
      <c r="T318" s="4"/>
      <c r="U318" s="4"/>
      <c r="V318" s="4"/>
      <c r="W318" s="4"/>
    </row>
    <row x14ac:dyDescent="0.25" r="319" customHeight="1" ht="12.75">
      <c r="A319" s="4"/>
      <c r="B319" s="29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29"/>
      <c r="O319" s="76"/>
      <c r="P319" s="29"/>
      <c r="Q319" s="29"/>
      <c r="R319" s="4"/>
      <c r="S319" s="32"/>
      <c r="T319" s="4"/>
      <c r="U319" s="4"/>
      <c r="V319" s="4"/>
      <c r="W319" s="4"/>
    </row>
    <row x14ac:dyDescent="0.25" r="320" customHeight="1" ht="12.75">
      <c r="A320" s="4"/>
      <c r="B320" s="29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29"/>
      <c r="O320" s="76"/>
      <c r="P320" s="29"/>
      <c r="Q320" s="29"/>
      <c r="R320" s="4"/>
      <c r="S320" s="32"/>
      <c r="T320" s="4"/>
      <c r="U320" s="4"/>
      <c r="V320" s="4"/>
      <c r="W320" s="4"/>
    </row>
    <row x14ac:dyDescent="0.25" r="321" customHeight="1" ht="12.75">
      <c r="A321" s="4"/>
      <c r="B321" s="29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29"/>
      <c r="O321" s="76"/>
      <c r="P321" s="29"/>
      <c r="Q321" s="29"/>
      <c r="R321" s="4"/>
      <c r="S321" s="32"/>
      <c r="T321" s="4"/>
      <c r="U321" s="4"/>
      <c r="V321" s="4"/>
      <c r="W321" s="4"/>
    </row>
    <row x14ac:dyDescent="0.25" r="322" customHeight="1" ht="12.75">
      <c r="A322" s="4"/>
      <c r="B322" s="29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29"/>
      <c r="O322" s="76"/>
      <c r="P322" s="29"/>
      <c r="Q322" s="29"/>
      <c r="R322" s="4"/>
      <c r="S322" s="32"/>
      <c r="T322" s="4"/>
      <c r="U322" s="4"/>
      <c r="V322" s="4"/>
      <c r="W322" s="4"/>
    </row>
    <row x14ac:dyDescent="0.25" r="323" customHeight="1" ht="12.75">
      <c r="A323" s="4"/>
      <c r="B323" s="29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29"/>
      <c r="O323" s="76"/>
      <c r="P323" s="29"/>
      <c r="Q323" s="29"/>
      <c r="R323" s="4"/>
      <c r="S323" s="32"/>
      <c r="T323" s="4"/>
      <c r="U323" s="4"/>
      <c r="V323" s="4"/>
      <c r="W323" s="4"/>
    </row>
    <row x14ac:dyDescent="0.25" r="324" customHeight="1" ht="12.75">
      <c r="A324" s="4"/>
      <c r="B324" s="29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29"/>
      <c r="O324" s="76"/>
      <c r="P324" s="29"/>
      <c r="Q324" s="29"/>
      <c r="R324" s="4"/>
      <c r="S324" s="32"/>
      <c r="T324" s="4"/>
      <c r="U324" s="4"/>
      <c r="V324" s="4"/>
      <c r="W324" s="4"/>
    </row>
    <row x14ac:dyDescent="0.25" r="325" customHeight="1" ht="12.75">
      <c r="A325" s="4"/>
      <c r="B325" s="29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29"/>
      <c r="O325" s="76"/>
      <c r="P325" s="29"/>
      <c r="Q325" s="29"/>
      <c r="R325" s="4"/>
      <c r="S325" s="32"/>
      <c r="T325" s="4"/>
      <c r="U325" s="4"/>
      <c r="V325" s="4"/>
      <c r="W325" s="4"/>
    </row>
    <row x14ac:dyDescent="0.25" r="326" customHeight="1" ht="12.75">
      <c r="A326" s="4"/>
      <c r="B326" s="29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29"/>
      <c r="O326" s="76"/>
      <c r="P326" s="29"/>
      <c r="Q326" s="29"/>
      <c r="R326" s="4"/>
      <c r="S326" s="32"/>
      <c r="T326" s="4"/>
      <c r="U326" s="4"/>
      <c r="V326" s="4"/>
      <c r="W326" s="4"/>
    </row>
    <row x14ac:dyDescent="0.25" r="327" customHeight="1" ht="12.75">
      <c r="A327" s="4"/>
      <c r="B327" s="29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29"/>
      <c r="O327" s="76"/>
      <c r="P327" s="29"/>
      <c r="Q327" s="29"/>
      <c r="R327" s="4"/>
      <c r="S327" s="32"/>
      <c r="T327" s="4"/>
      <c r="U327" s="4"/>
      <c r="V327" s="4"/>
      <c r="W327" s="4"/>
    </row>
    <row x14ac:dyDescent="0.25" r="328" customHeight="1" ht="12.75">
      <c r="A328" s="4"/>
      <c r="B328" s="29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29"/>
      <c r="O328" s="76"/>
      <c r="P328" s="29"/>
      <c r="Q328" s="29"/>
      <c r="R328" s="4"/>
      <c r="S328" s="32"/>
      <c r="T328" s="4"/>
      <c r="U328" s="4"/>
      <c r="V328" s="4"/>
      <c r="W328" s="4"/>
    </row>
    <row x14ac:dyDescent="0.25" r="329" customHeight="1" ht="12.75">
      <c r="A329" s="4"/>
      <c r="B329" s="29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29"/>
      <c r="O329" s="76"/>
      <c r="P329" s="29"/>
      <c r="Q329" s="29"/>
      <c r="R329" s="4"/>
      <c r="S329" s="32"/>
      <c r="T329" s="4"/>
      <c r="U329" s="4"/>
      <c r="V329" s="4"/>
      <c r="W329" s="4"/>
    </row>
    <row x14ac:dyDescent="0.25" r="330" customHeight="1" ht="12.75">
      <c r="A330" s="4"/>
      <c r="B330" s="29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29"/>
      <c r="O330" s="76"/>
      <c r="P330" s="29"/>
      <c r="Q330" s="29"/>
      <c r="R330" s="4"/>
      <c r="S330" s="32"/>
      <c r="T330" s="4"/>
      <c r="U330" s="4"/>
      <c r="V330" s="4"/>
      <c r="W330" s="4"/>
    </row>
    <row x14ac:dyDescent="0.25" r="331" customHeight="1" ht="12.75">
      <c r="A331" s="4"/>
      <c r="B331" s="29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29"/>
      <c r="O331" s="76"/>
      <c r="P331" s="29"/>
      <c r="Q331" s="29"/>
      <c r="R331" s="4"/>
      <c r="S331" s="32"/>
      <c r="T331" s="4"/>
      <c r="U331" s="4"/>
      <c r="V331" s="4"/>
      <c r="W331" s="4"/>
    </row>
    <row x14ac:dyDescent="0.25" r="332" customHeight="1" ht="12.75">
      <c r="A332" s="4"/>
      <c r="B332" s="29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29"/>
      <c r="O332" s="76"/>
      <c r="P332" s="29"/>
      <c r="Q332" s="29"/>
      <c r="R332" s="4"/>
      <c r="S332" s="32"/>
      <c r="T332" s="4"/>
      <c r="U332" s="4"/>
      <c r="V332" s="4"/>
      <c r="W332" s="4"/>
    </row>
    <row x14ac:dyDescent="0.25" r="333" customHeight="1" ht="12.75">
      <c r="A333" s="4"/>
      <c r="B333" s="29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29"/>
      <c r="O333" s="76"/>
      <c r="P333" s="29"/>
      <c r="Q333" s="29"/>
      <c r="R333" s="4"/>
      <c r="S333" s="32"/>
      <c r="T333" s="4"/>
      <c r="U333" s="4"/>
      <c r="V333" s="4"/>
      <c r="W333" s="4"/>
    </row>
    <row x14ac:dyDescent="0.25" r="334" customHeight="1" ht="12.75">
      <c r="A334" s="4"/>
      <c r="B334" s="29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29"/>
      <c r="O334" s="76"/>
      <c r="P334" s="29"/>
      <c r="Q334" s="29"/>
      <c r="R334" s="4"/>
      <c r="S334" s="32"/>
      <c r="T334" s="4"/>
      <c r="U334" s="4"/>
      <c r="V334" s="4"/>
      <c r="W334" s="4"/>
    </row>
    <row x14ac:dyDescent="0.25" r="335" customHeight="1" ht="12.75">
      <c r="A335" s="4"/>
      <c r="B335" s="29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29"/>
      <c r="O335" s="76"/>
      <c r="P335" s="29"/>
      <c r="Q335" s="29"/>
      <c r="R335" s="4"/>
      <c r="S335" s="32"/>
      <c r="T335" s="4"/>
      <c r="U335" s="4"/>
      <c r="V335" s="4"/>
      <c r="W335" s="4"/>
    </row>
    <row x14ac:dyDescent="0.25" r="336" customHeight="1" ht="12.75">
      <c r="A336" s="4"/>
      <c r="B336" s="29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29"/>
      <c r="O336" s="76"/>
      <c r="P336" s="29"/>
      <c r="Q336" s="29"/>
      <c r="R336" s="4"/>
      <c r="S336" s="32"/>
      <c r="T336" s="4"/>
      <c r="U336" s="4"/>
      <c r="V336" s="4"/>
      <c r="W336" s="4"/>
    </row>
    <row x14ac:dyDescent="0.25" r="337" customHeight="1" ht="12.75">
      <c r="A337" s="4"/>
      <c r="B337" s="29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29"/>
      <c r="O337" s="76"/>
      <c r="P337" s="29"/>
      <c r="Q337" s="29"/>
      <c r="R337" s="4"/>
      <c r="S337" s="32"/>
      <c r="T337" s="4"/>
      <c r="U337" s="4"/>
      <c r="V337" s="4"/>
      <c r="W337" s="4"/>
    </row>
    <row x14ac:dyDescent="0.25" r="338" customHeight="1" ht="12.75">
      <c r="A338" s="4"/>
      <c r="B338" s="29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29"/>
      <c r="O338" s="76"/>
      <c r="P338" s="29"/>
      <c r="Q338" s="29"/>
      <c r="R338" s="4"/>
      <c r="S338" s="32"/>
      <c r="T338" s="4"/>
      <c r="U338" s="4"/>
      <c r="V338" s="4"/>
      <c r="W338" s="4"/>
    </row>
    <row x14ac:dyDescent="0.25" r="339" customHeight="1" ht="12.75">
      <c r="A339" s="4"/>
      <c r="B339" s="29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29"/>
      <c r="O339" s="76"/>
      <c r="P339" s="29"/>
      <c r="Q339" s="29"/>
      <c r="R339" s="4"/>
      <c r="S339" s="32"/>
      <c r="T339" s="4"/>
      <c r="U339" s="4"/>
      <c r="V339" s="4"/>
      <c r="W339" s="4"/>
    </row>
    <row x14ac:dyDescent="0.25" r="340" customHeight="1" ht="12.75">
      <c r="A340" s="4"/>
      <c r="B340" s="29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29"/>
      <c r="O340" s="76"/>
      <c r="P340" s="29"/>
      <c r="Q340" s="29"/>
      <c r="R340" s="4"/>
      <c r="S340" s="32"/>
      <c r="T340" s="4"/>
      <c r="U340" s="4"/>
      <c r="V340" s="4"/>
      <c r="W340" s="4"/>
    </row>
    <row x14ac:dyDescent="0.25" r="341" customHeight="1" ht="12.75">
      <c r="A341" s="4"/>
      <c r="B341" s="29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29"/>
      <c r="O341" s="76"/>
      <c r="P341" s="29"/>
      <c r="Q341" s="29"/>
      <c r="R341" s="4"/>
      <c r="S341" s="32"/>
      <c r="T341" s="4"/>
      <c r="U341" s="4"/>
      <c r="V341" s="4"/>
      <c r="W341" s="4"/>
    </row>
    <row x14ac:dyDescent="0.25" r="342" customHeight="1" ht="12.75">
      <c r="A342" s="4"/>
      <c r="B342" s="29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29"/>
      <c r="O342" s="76"/>
      <c r="P342" s="29"/>
      <c r="Q342" s="29"/>
      <c r="R342" s="4"/>
      <c r="S342" s="32"/>
      <c r="T342" s="4"/>
      <c r="U342" s="4"/>
      <c r="V342" s="4"/>
      <c r="W342" s="4"/>
    </row>
    <row x14ac:dyDescent="0.25" r="343" customHeight="1" ht="12.75">
      <c r="A343" s="4"/>
      <c r="B343" s="29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29"/>
      <c r="O343" s="76"/>
      <c r="P343" s="29"/>
      <c r="Q343" s="29"/>
      <c r="R343" s="4"/>
      <c r="S343" s="32"/>
      <c r="T343" s="4"/>
      <c r="U343" s="4"/>
      <c r="V343" s="4"/>
      <c r="W343" s="4"/>
    </row>
    <row x14ac:dyDescent="0.25" r="344" customHeight="1" ht="12.75">
      <c r="A344" s="4"/>
      <c r="B344" s="29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29"/>
      <c r="O344" s="76"/>
      <c r="P344" s="29"/>
      <c r="Q344" s="29"/>
      <c r="R344" s="4"/>
      <c r="S344" s="32"/>
      <c r="T344" s="4"/>
      <c r="U344" s="4"/>
      <c r="V344" s="4"/>
      <c r="W344" s="4"/>
    </row>
    <row x14ac:dyDescent="0.25" r="345" customHeight="1" ht="12.75">
      <c r="A345" s="4"/>
      <c r="B345" s="29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29"/>
      <c r="O345" s="76"/>
      <c r="P345" s="29"/>
      <c r="Q345" s="29"/>
      <c r="R345" s="4"/>
      <c r="S345" s="32"/>
      <c r="T345" s="4"/>
      <c r="U345" s="4"/>
      <c r="V345" s="4"/>
      <c r="W345" s="4"/>
    </row>
    <row x14ac:dyDescent="0.25" r="346" customHeight="1" ht="12.75">
      <c r="A346" s="4"/>
      <c r="B346" s="29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29"/>
      <c r="O346" s="76"/>
      <c r="P346" s="29"/>
      <c r="Q346" s="29"/>
      <c r="R346" s="4"/>
      <c r="S346" s="32"/>
      <c r="T346" s="4"/>
      <c r="U346" s="4"/>
      <c r="V346" s="4"/>
      <c r="W346" s="4"/>
    </row>
    <row x14ac:dyDescent="0.25" r="347" customHeight="1" ht="12.75">
      <c r="A347" s="4"/>
      <c r="B347" s="29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29"/>
      <c r="O347" s="76"/>
      <c r="P347" s="29"/>
      <c r="Q347" s="29"/>
      <c r="R347" s="4"/>
      <c r="S347" s="32"/>
      <c r="T347" s="4"/>
      <c r="U347" s="4"/>
      <c r="V347" s="4"/>
      <c r="W347" s="4"/>
    </row>
    <row x14ac:dyDescent="0.25" r="348" customHeight="1" ht="12.75">
      <c r="A348" s="4"/>
      <c r="B348" s="29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29"/>
      <c r="O348" s="76"/>
      <c r="P348" s="29"/>
      <c r="Q348" s="29"/>
      <c r="R348" s="4"/>
      <c r="S348" s="32"/>
      <c r="T348" s="4"/>
      <c r="U348" s="4"/>
      <c r="V348" s="4"/>
      <c r="W348" s="4"/>
    </row>
    <row x14ac:dyDescent="0.25" r="349" customHeight="1" ht="12.75">
      <c r="A349" s="4"/>
      <c r="B349" s="29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29"/>
      <c r="O349" s="76"/>
      <c r="P349" s="29"/>
      <c r="Q349" s="29"/>
      <c r="R349" s="4"/>
      <c r="S349" s="32"/>
      <c r="T349" s="4"/>
      <c r="U349" s="4"/>
      <c r="V349" s="4"/>
      <c r="W349" s="4"/>
    </row>
    <row x14ac:dyDescent="0.25" r="350" customHeight="1" ht="12.75">
      <c r="A350" s="4"/>
      <c r="B350" s="29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29"/>
      <c r="O350" s="76"/>
      <c r="P350" s="29"/>
      <c r="Q350" s="29"/>
      <c r="R350" s="4"/>
      <c r="S350" s="32"/>
      <c r="T350" s="4"/>
      <c r="U350" s="4"/>
      <c r="V350" s="4"/>
      <c r="W350" s="4"/>
    </row>
    <row x14ac:dyDescent="0.25" r="351" customHeight="1" ht="12.75">
      <c r="A351" s="4"/>
      <c r="B351" s="29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29"/>
      <c r="O351" s="76"/>
      <c r="P351" s="29"/>
      <c r="Q351" s="29"/>
      <c r="R351" s="4"/>
      <c r="S351" s="32"/>
      <c r="T351" s="4"/>
      <c r="U351" s="4"/>
      <c r="V351" s="4"/>
      <c r="W351" s="4"/>
    </row>
    <row x14ac:dyDescent="0.25" r="352" customHeight="1" ht="12.75">
      <c r="A352" s="4"/>
      <c r="B352" s="29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29"/>
      <c r="O352" s="76"/>
      <c r="P352" s="29"/>
      <c r="Q352" s="29"/>
      <c r="R352" s="4"/>
      <c r="S352" s="32"/>
      <c r="T352" s="4"/>
      <c r="U352" s="4"/>
      <c r="V352" s="4"/>
      <c r="W352" s="4"/>
    </row>
    <row x14ac:dyDescent="0.25" r="353" customHeight="1" ht="12.75">
      <c r="A353" s="4"/>
      <c r="B353" s="29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29"/>
      <c r="O353" s="76"/>
      <c r="P353" s="29"/>
      <c r="Q353" s="29"/>
      <c r="R353" s="4"/>
      <c r="S353" s="32"/>
      <c r="T353" s="4"/>
      <c r="U353" s="4"/>
      <c r="V353" s="4"/>
      <c r="W353" s="4"/>
    </row>
    <row x14ac:dyDescent="0.25" r="354" customHeight="1" ht="12.75">
      <c r="A354" s="4"/>
      <c r="B354" s="29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29"/>
      <c r="O354" s="76"/>
      <c r="P354" s="29"/>
      <c r="Q354" s="29"/>
      <c r="R354" s="4"/>
      <c r="S354" s="32"/>
      <c r="T354" s="4"/>
      <c r="U354" s="4"/>
      <c r="V354" s="4"/>
      <c r="W354" s="4"/>
    </row>
    <row x14ac:dyDescent="0.25" r="355" customHeight="1" ht="12.75">
      <c r="A355" s="4"/>
      <c r="B355" s="29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29"/>
      <c r="O355" s="76"/>
      <c r="P355" s="29"/>
      <c r="Q355" s="29"/>
      <c r="R355" s="4"/>
      <c r="S355" s="32"/>
      <c r="T355" s="4"/>
      <c r="U355" s="4"/>
      <c r="V355" s="4"/>
      <c r="W355" s="4"/>
    </row>
    <row x14ac:dyDescent="0.25" r="356" customHeight="1" ht="12.75">
      <c r="A356" s="4"/>
      <c r="B356" s="29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29"/>
      <c r="O356" s="76"/>
      <c r="P356" s="29"/>
      <c r="Q356" s="29"/>
      <c r="R356" s="4"/>
      <c r="S356" s="32"/>
      <c r="T356" s="4"/>
      <c r="U356" s="4"/>
      <c r="V356" s="4"/>
      <c r="W356" s="4"/>
    </row>
    <row x14ac:dyDescent="0.25" r="357" customHeight="1" ht="12.75">
      <c r="A357" s="4"/>
      <c r="B357" s="29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29"/>
      <c r="O357" s="76"/>
      <c r="P357" s="29"/>
      <c r="Q357" s="29"/>
      <c r="R357" s="4"/>
      <c r="S357" s="32"/>
      <c r="T357" s="4"/>
      <c r="U357" s="4"/>
      <c r="V357" s="4"/>
      <c r="W357" s="4"/>
    </row>
    <row x14ac:dyDescent="0.25" r="358" customHeight="1" ht="12.75">
      <c r="A358" s="4"/>
      <c r="B358" s="29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29"/>
      <c r="O358" s="76"/>
      <c r="P358" s="29"/>
      <c r="Q358" s="29"/>
      <c r="R358" s="4"/>
      <c r="S358" s="32"/>
      <c r="T358" s="4"/>
      <c r="U358" s="4"/>
      <c r="V358" s="4"/>
      <c r="W358" s="4"/>
    </row>
    <row x14ac:dyDescent="0.25" r="359" customHeight="1" ht="12.75">
      <c r="A359" s="4"/>
      <c r="B359" s="29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29"/>
      <c r="O359" s="76"/>
      <c r="P359" s="29"/>
      <c r="Q359" s="29"/>
      <c r="R359" s="4"/>
      <c r="S359" s="32"/>
      <c r="T359" s="4"/>
      <c r="U359" s="4"/>
      <c r="V359" s="4"/>
      <c r="W359" s="4"/>
    </row>
    <row x14ac:dyDescent="0.25" r="360" customHeight="1" ht="12.75">
      <c r="A360" s="4"/>
      <c r="B360" s="29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29"/>
      <c r="O360" s="76"/>
      <c r="P360" s="29"/>
      <c r="Q360" s="29"/>
      <c r="R360" s="4"/>
      <c r="S360" s="32"/>
      <c r="T360" s="4"/>
      <c r="U360" s="4"/>
      <c r="V360" s="4"/>
      <c r="W360" s="4"/>
    </row>
    <row x14ac:dyDescent="0.25" r="361" customHeight="1" ht="12.75">
      <c r="A361" s="4"/>
      <c r="B361" s="29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29"/>
      <c r="O361" s="76"/>
      <c r="P361" s="29"/>
      <c r="Q361" s="29"/>
      <c r="R361" s="4"/>
      <c r="S361" s="32"/>
      <c r="T361" s="4"/>
      <c r="U361" s="4"/>
      <c r="V361" s="4"/>
      <c r="W361" s="4"/>
    </row>
    <row x14ac:dyDescent="0.25" r="362" customHeight="1" ht="12.75">
      <c r="A362" s="4"/>
      <c r="B362" s="29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29"/>
      <c r="O362" s="76"/>
      <c r="P362" s="29"/>
      <c r="Q362" s="29"/>
      <c r="R362" s="4"/>
      <c r="S362" s="32"/>
      <c r="T362" s="4"/>
      <c r="U362" s="4"/>
      <c r="V362" s="4"/>
      <c r="W362" s="4"/>
    </row>
    <row x14ac:dyDescent="0.25" r="363" customHeight="1" ht="12.75">
      <c r="A363" s="4"/>
      <c r="B363" s="29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29"/>
      <c r="O363" s="76"/>
      <c r="P363" s="29"/>
      <c r="Q363" s="29"/>
      <c r="R363" s="4"/>
      <c r="S363" s="32"/>
      <c r="T363" s="4"/>
      <c r="U363" s="4"/>
      <c r="V363" s="4"/>
      <c r="W363" s="4"/>
    </row>
    <row x14ac:dyDescent="0.25" r="364" customHeight="1" ht="12.75">
      <c r="A364" s="4"/>
      <c r="B364" s="29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29"/>
      <c r="O364" s="76"/>
      <c r="P364" s="29"/>
      <c r="Q364" s="29"/>
      <c r="R364" s="4"/>
      <c r="S364" s="32"/>
      <c r="T364" s="4"/>
      <c r="U364" s="4"/>
      <c r="V364" s="4"/>
      <c r="W364" s="4"/>
    </row>
    <row x14ac:dyDescent="0.25" r="365" customHeight="1" ht="12.75">
      <c r="A365" s="4"/>
      <c r="B365" s="29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29"/>
      <c r="O365" s="76"/>
      <c r="P365" s="29"/>
      <c r="Q365" s="29"/>
      <c r="R365" s="4"/>
      <c r="S365" s="32"/>
      <c r="T365" s="4"/>
      <c r="U365" s="4"/>
      <c r="V365" s="4"/>
      <c r="W365" s="4"/>
    </row>
    <row x14ac:dyDescent="0.25" r="366" customHeight="1" ht="12.75">
      <c r="A366" s="4"/>
      <c r="B366" s="29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29"/>
      <c r="O366" s="76"/>
      <c r="P366" s="29"/>
      <c r="Q366" s="29"/>
      <c r="R366" s="4"/>
      <c r="S366" s="32"/>
      <c r="T366" s="4"/>
      <c r="U366" s="4"/>
      <c r="V366" s="4"/>
      <c r="W366" s="4"/>
    </row>
    <row x14ac:dyDescent="0.25" r="367" customHeight="1" ht="12.75">
      <c r="A367" s="4"/>
      <c r="B367" s="29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29"/>
      <c r="O367" s="76"/>
      <c r="P367" s="29"/>
      <c r="Q367" s="29"/>
      <c r="R367" s="4"/>
      <c r="S367" s="32"/>
      <c r="T367" s="4"/>
      <c r="U367" s="4"/>
      <c r="V367" s="4"/>
      <c r="W367" s="4"/>
    </row>
    <row x14ac:dyDescent="0.25" r="368" customHeight="1" ht="12.75">
      <c r="A368" s="4"/>
      <c r="B368" s="29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29"/>
      <c r="O368" s="76"/>
      <c r="P368" s="29"/>
      <c r="Q368" s="29"/>
      <c r="R368" s="4"/>
      <c r="S368" s="32"/>
      <c r="T368" s="4"/>
      <c r="U368" s="4"/>
      <c r="V368" s="4"/>
      <c r="W368" s="4"/>
    </row>
    <row x14ac:dyDescent="0.25" r="369" customHeight="1" ht="12.75">
      <c r="A369" s="4"/>
      <c r="B369" s="29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29"/>
      <c r="O369" s="76"/>
      <c r="P369" s="29"/>
      <c r="Q369" s="29"/>
      <c r="R369" s="4"/>
      <c r="S369" s="32"/>
      <c r="T369" s="4"/>
      <c r="U369" s="4"/>
      <c r="V369" s="4"/>
      <c r="W369" s="4"/>
    </row>
    <row x14ac:dyDescent="0.25" r="370" customHeight="1" ht="12.75">
      <c r="A370" s="4"/>
      <c r="B370" s="29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29"/>
      <c r="O370" s="76"/>
      <c r="P370" s="29"/>
      <c r="Q370" s="29"/>
      <c r="R370" s="4"/>
      <c r="S370" s="32"/>
      <c r="T370" s="4"/>
      <c r="U370" s="4"/>
      <c r="V370" s="4"/>
      <c r="W370" s="4"/>
    </row>
    <row x14ac:dyDescent="0.25" r="371" customHeight="1" ht="12.75">
      <c r="A371" s="4"/>
      <c r="B371" s="29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29"/>
      <c r="O371" s="76"/>
      <c r="P371" s="29"/>
      <c r="Q371" s="29"/>
      <c r="R371" s="4"/>
      <c r="S371" s="32"/>
      <c r="T371" s="4"/>
      <c r="U371" s="4"/>
      <c r="V371" s="4"/>
      <c r="W371" s="4"/>
    </row>
    <row x14ac:dyDescent="0.25" r="372" customHeight="1" ht="12.75">
      <c r="A372" s="4"/>
      <c r="B372" s="29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29"/>
      <c r="O372" s="76"/>
      <c r="P372" s="29"/>
      <c r="Q372" s="29"/>
      <c r="R372" s="4"/>
      <c r="S372" s="32"/>
      <c r="T372" s="4"/>
      <c r="U372" s="4"/>
      <c r="V372" s="4"/>
      <c r="W372" s="4"/>
    </row>
    <row x14ac:dyDescent="0.25" r="373" customHeight="1" ht="12.75">
      <c r="A373" s="4"/>
      <c r="B373" s="29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29"/>
      <c r="O373" s="76"/>
      <c r="P373" s="29"/>
      <c r="Q373" s="29"/>
      <c r="R373" s="4"/>
      <c r="S373" s="32"/>
      <c r="T373" s="4"/>
      <c r="U373" s="4"/>
      <c r="V373" s="4"/>
      <c r="W373" s="4"/>
    </row>
    <row x14ac:dyDescent="0.25" r="374" customHeight="1" ht="12.75">
      <c r="A374" s="4"/>
      <c r="B374" s="29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29"/>
      <c r="O374" s="76"/>
      <c r="P374" s="29"/>
      <c r="Q374" s="29"/>
      <c r="R374" s="4"/>
      <c r="S374" s="32"/>
      <c r="T374" s="4"/>
      <c r="U374" s="4"/>
      <c r="V374" s="4"/>
      <c r="W374" s="4"/>
    </row>
    <row x14ac:dyDescent="0.25" r="375" customHeight="1" ht="12.75">
      <c r="A375" s="4"/>
      <c r="B375" s="29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29"/>
      <c r="O375" s="76"/>
      <c r="P375" s="29"/>
      <c r="Q375" s="29"/>
      <c r="R375" s="4"/>
      <c r="S375" s="32"/>
      <c r="T375" s="4"/>
      <c r="U375" s="4"/>
      <c r="V375" s="4"/>
      <c r="W375" s="4"/>
    </row>
    <row x14ac:dyDescent="0.25" r="376" customHeight="1" ht="12.75">
      <c r="A376" s="4"/>
      <c r="B376" s="29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29"/>
      <c r="O376" s="76"/>
      <c r="P376" s="29"/>
      <c r="Q376" s="29"/>
      <c r="R376" s="4"/>
      <c r="S376" s="32"/>
      <c r="T376" s="4"/>
      <c r="U376" s="4"/>
      <c r="V376" s="4"/>
      <c r="W376" s="4"/>
    </row>
    <row x14ac:dyDescent="0.25" r="377" customHeight="1" ht="12.75">
      <c r="A377" s="4"/>
      <c r="B377" s="29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29"/>
      <c r="O377" s="76"/>
      <c r="P377" s="29"/>
      <c r="Q377" s="29"/>
      <c r="R377" s="4"/>
      <c r="S377" s="32"/>
      <c r="T377" s="4"/>
      <c r="U377" s="4"/>
      <c r="V377" s="4"/>
      <c r="W377" s="4"/>
    </row>
    <row x14ac:dyDescent="0.25" r="378" customHeight="1" ht="12.75">
      <c r="A378" s="4"/>
      <c r="B378" s="29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29"/>
      <c r="O378" s="76"/>
      <c r="P378" s="29"/>
      <c r="Q378" s="29"/>
      <c r="R378" s="4"/>
      <c r="S378" s="32"/>
      <c r="T378" s="4"/>
      <c r="U378" s="4"/>
      <c r="V378" s="4"/>
      <c r="W378" s="4"/>
    </row>
    <row x14ac:dyDescent="0.25" r="379" customHeight="1" ht="12.75">
      <c r="A379" s="4"/>
      <c r="B379" s="29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29"/>
      <c r="O379" s="76"/>
      <c r="P379" s="29"/>
      <c r="Q379" s="29"/>
      <c r="R379" s="4"/>
      <c r="S379" s="32"/>
      <c r="T379" s="4"/>
      <c r="U379" s="4"/>
      <c r="V379" s="4"/>
      <c r="W379" s="4"/>
    </row>
    <row x14ac:dyDescent="0.25" r="380" customHeight="1" ht="12.75">
      <c r="A380" s="4"/>
      <c r="B380" s="29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29"/>
      <c r="O380" s="76"/>
      <c r="P380" s="29"/>
      <c r="Q380" s="29"/>
      <c r="R380" s="4"/>
      <c r="S380" s="32"/>
      <c r="T380" s="4"/>
      <c r="U380" s="4"/>
      <c r="V380" s="4"/>
      <c r="W380" s="4"/>
    </row>
    <row x14ac:dyDescent="0.25" r="381" customHeight="1" ht="12.75">
      <c r="A381" s="4"/>
      <c r="B381" s="29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29"/>
      <c r="O381" s="76"/>
      <c r="P381" s="29"/>
      <c r="Q381" s="29"/>
      <c r="R381" s="4"/>
      <c r="S381" s="32"/>
      <c r="T381" s="4"/>
      <c r="U381" s="4"/>
      <c r="V381" s="4"/>
      <c r="W381" s="4"/>
    </row>
    <row x14ac:dyDescent="0.25" r="382" customHeight="1" ht="12.75">
      <c r="A382" s="4"/>
      <c r="B382" s="29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29"/>
      <c r="O382" s="76"/>
      <c r="P382" s="29"/>
      <c r="Q382" s="29"/>
      <c r="R382" s="4"/>
      <c r="S382" s="32"/>
      <c r="T382" s="4"/>
      <c r="U382" s="4"/>
      <c r="V382" s="4"/>
      <c r="W382" s="4"/>
    </row>
    <row x14ac:dyDescent="0.25" r="383" customHeight="1" ht="12.75">
      <c r="A383" s="4"/>
      <c r="B383" s="29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29"/>
      <c r="O383" s="76"/>
      <c r="P383" s="29"/>
      <c r="Q383" s="29"/>
      <c r="R383" s="4"/>
      <c r="S383" s="32"/>
      <c r="T383" s="4"/>
      <c r="U383" s="4"/>
      <c r="V383" s="4"/>
      <c r="W383" s="4"/>
    </row>
    <row x14ac:dyDescent="0.25" r="384" customHeight="1" ht="12.75">
      <c r="A384" s="4"/>
      <c r="B384" s="29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29"/>
      <c r="O384" s="76"/>
      <c r="P384" s="29"/>
      <c r="Q384" s="29"/>
      <c r="R384" s="4"/>
      <c r="S384" s="32"/>
      <c r="T384" s="4"/>
      <c r="U384" s="4"/>
      <c r="V384" s="4"/>
      <c r="W384" s="4"/>
    </row>
    <row x14ac:dyDescent="0.25" r="385" customHeight="1" ht="12.75">
      <c r="A385" s="4"/>
      <c r="B385" s="29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29"/>
      <c r="O385" s="76"/>
      <c r="P385" s="29"/>
      <c r="Q385" s="29"/>
      <c r="R385" s="4"/>
      <c r="S385" s="32"/>
      <c r="T385" s="4"/>
      <c r="U385" s="4"/>
      <c r="V385" s="4"/>
      <c r="W385" s="4"/>
    </row>
    <row x14ac:dyDescent="0.25" r="386" customHeight="1" ht="12.75">
      <c r="A386" s="4"/>
      <c r="B386" s="29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29"/>
      <c r="O386" s="76"/>
      <c r="P386" s="29"/>
      <c r="Q386" s="29"/>
      <c r="R386" s="4"/>
      <c r="S386" s="32"/>
      <c r="T386" s="4"/>
      <c r="U386" s="4"/>
      <c r="V386" s="4"/>
      <c r="W386" s="4"/>
    </row>
    <row x14ac:dyDescent="0.25" r="387" customHeight="1" ht="12.75">
      <c r="A387" s="4"/>
      <c r="B387" s="29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29"/>
      <c r="O387" s="76"/>
      <c r="P387" s="29"/>
      <c r="Q387" s="29"/>
      <c r="R387" s="4"/>
      <c r="S387" s="32"/>
      <c r="T387" s="4"/>
      <c r="U387" s="4"/>
      <c r="V387" s="4"/>
      <c r="W387" s="4"/>
    </row>
    <row x14ac:dyDescent="0.25" r="388" customHeight="1" ht="12.75">
      <c r="A388" s="4"/>
      <c r="B388" s="29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29"/>
      <c r="O388" s="76"/>
      <c r="P388" s="29"/>
      <c r="Q388" s="29"/>
      <c r="R388" s="4"/>
      <c r="S388" s="32"/>
      <c r="T388" s="4"/>
      <c r="U388" s="4"/>
      <c r="V388" s="4"/>
      <c r="W388" s="4"/>
    </row>
    <row x14ac:dyDescent="0.25" r="389" customHeight="1" ht="12.75">
      <c r="A389" s="4"/>
      <c r="B389" s="29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29"/>
      <c r="O389" s="76"/>
      <c r="P389" s="29"/>
      <c r="Q389" s="29"/>
      <c r="R389" s="4"/>
      <c r="S389" s="32"/>
      <c r="T389" s="4"/>
      <c r="U389" s="4"/>
      <c r="V389" s="4"/>
      <c r="W389" s="4"/>
    </row>
    <row x14ac:dyDescent="0.25" r="390" customHeight="1" ht="12.75">
      <c r="A390" s="4"/>
      <c r="B390" s="29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29"/>
      <c r="O390" s="76"/>
      <c r="P390" s="29"/>
      <c r="Q390" s="29"/>
      <c r="R390" s="4"/>
      <c r="S390" s="32"/>
      <c r="T390" s="4"/>
      <c r="U390" s="4"/>
      <c r="V390" s="4"/>
      <c r="W390" s="4"/>
    </row>
    <row x14ac:dyDescent="0.25" r="391" customHeight="1" ht="12.75">
      <c r="A391" s="4"/>
      <c r="B391" s="29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29"/>
      <c r="O391" s="76"/>
      <c r="P391" s="29"/>
      <c r="Q391" s="29"/>
      <c r="R391" s="4"/>
      <c r="S391" s="32"/>
      <c r="T391" s="4"/>
      <c r="U391" s="4"/>
      <c r="V391" s="4"/>
      <c r="W391" s="4"/>
    </row>
    <row x14ac:dyDescent="0.25" r="392" customHeight="1" ht="12.75">
      <c r="A392" s="4"/>
      <c r="B392" s="29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29"/>
      <c r="O392" s="76"/>
      <c r="P392" s="29"/>
      <c r="Q392" s="29"/>
      <c r="R392" s="4"/>
      <c r="S392" s="32"/>
      <c r="T392" s="4"/>
      <c r="U392" s="4"/>
      <c r="V392" s="4"/>
      <c r="W392" s="4"/>
    </row>
    <row x14ac:dyDescent="0.25" r="393" customHeight="1" ht="12.75">
      <c r="A393" s="4"/>
      <c r="B393" s="29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29"/>
      <c r="O393" s="76"/>
      <c r="P393" s="29"/>
      <c r="Q393" s="29"/>
      <c r="R393" s="4"/>
      <c r="S393" s="32"/>
      <c r="T393" s="4"/>
      <c r="U393" s="4"/>
      <c r="V393" s="4"/>
      <c r="W393" s="4"/>
    </row>
    <row x14ac:dyDescent="0.25" r="394" customHeight="1" ht="12.75">
      <c r="A394" s="4"/>
      <c r="B394" s="29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29"/>
      <c r="O394" s="76"/>
      <c r="P394" s="29"/>
      <c r="Q394" s="29"/>
      <c r="R394" s="4"/>
      <c r="S394" s="32"/>
      <c r="T394" s="4"/>
      <c r="U394" s="4"/>
      <c r="V394" s="4"/>
      <c r="W394" s="4"/>
    </row>
    <row x14ac:dyDescent="0.25" r="395" customHeight="1" ht="12.75">
      <c r="A395" s="4"/>
      <c r="B395" s="29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29"/>
      <c r="O395" s="76"/>
      <c r="P395" s="29"/>
      <c r="Q395" s="29"/>
      <c r="R395" s="4"/>
      <c r="S395" s="32"/>
      <c r="T395" s="4"/>
      <c r="U395" s="4"/>
      <c r="V395" s="4"/>
      <c r="W395" s="4"/>
    </row>
    <row x14ac:dyDescent="0.25" r="396" customHeight="1" ht="12.75">
      <c r="A396" s="4"/>
      <c r="B396" s="29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29"/>
      <c r="O396" s="76"/>
      <c r="P396" s="29"/>
      <c r="Q396" s="29"/>
      <c r="R396" s="4"/>
      <c r="S396" s="32"/>
      <c r="T396" s="4"/>
      <c r="U396" s="4"/>
      <c r="V396" s="4"/>
      <c r="W396" s="4"/>
    </row>
    <row x14ac:dyDescent="0.25" r="397" customHeight="1" ht="12.75">
      <c r="A397" s="4"/>
      <c r="B397" s="29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29"/>
      <c r="O397" s="76"/>
      <c r="P397" s="29"/>
      <c r="Q397" s="29"/>
      <c r="R397" s="4"/>
      <c r="S397" s="32"/>
      <c r="T397" s="4"/>
      <c r="U397" s="4"/>
      <c r="V397" s="4"/>
      <c r="W397" s="4"/>
    </row>
    <row x14ac:dyDescent="0.25" r="398" customHeight="1" ht="12.75">
      <c r="A398" s="4"/>
      <c r="B398" s="29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29"/>
      <c r="O398" s="76"/>
      <c r="P398" s="29"/>
      <c r="Q398" s="29"/>
      <c r="R398" s="4"/>
      <c r="S398" s="32"/>
      <c r="T398" s="4"/>
      <c r="U398" s="4"/>
      <c r="V398" s="4"/>
      <c r="W398" s="4"/>
    </row>
    <row x14ac:dyDescent="0.25" r="399" customHeight="1" ht="12.75">
      <c r="A399" s="4"/>
      <c r="B399" s="29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29"/>
      <c r="O399" s="76"/>
      <c r="P399" s="29"/>
      <c r="Q399" s="29"/>
      <c r="R399" s="4"/>
      <c r="S399" s="32"/>
      <c r="T399" s="4"/>
      <c r="U399" s="4"/>
      <c r="V399" s="4"/>
      <c r="W399" s="4"/>
    </row>
    <row x14ac:dyDescent="0.25" r="400" customHeight="1" ht="12.75">
      <c r="A400" s="4"/>
      <c r="B400" s="29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29"/>
      <c r="O400" s="76"/>
      <c r="P400" s="29"/>
      <c r="Q400" s="29"/>
      <c r="R400" s="4"/>
      <c r="S400" s="32"/>
      <c r="T400" s="4"/>
      <c r="U400" s="4"/>
      <c r="V400" s="4"/>
      <c r="W400" s="4"/>
    </row>
    <row x14ac:dyDescent="0.25" r="401" customHeight="1" ht="12.75">
      <c r="A401" s="4"/>
      <c r="B401" s="29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29"/>
      <c r="O401" s="76"/>
      <c r="P401" s="29"/>
      <c r="Q401" s="29"/>
      <c r="R401" s="4"/>
      <c r="S401" s="32"/>
      <c r="T401" s="4"/>
      <c r="U401" s="4"/>
      <c r="V401" s="4"/>
      <c r="W401" s="4"/>
    </row>
    <row x14ac:dyDescent="0.25" r="402" customHeight="1" ht="12.75">
      <c r="A402" s="4"/>
      <c r="B402" s="29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29"/>
      <c r="O402" s="76"/>
      <c r="P402" s="29"/>
      <c r="Q402" s="29"/>
      <c r="R402" s="4"/>
      <c r="S402" s="32"/>
      <c r="T402" s="4"/>
      <c r="U402" s="4"/>
      <c r="V402" s="4"/>
      <c r="W402" s="4"/>
    </row>
    <row x14ac:dyDescent="0.25" r="403" customHeight="1" ht="12.75">
      <c r="A403" s="4"/>
      <c r="B403" s="29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29"/>
      <c r="O403" s="76"/>
      <c r="P403" s="29"/>
      <c r="Q403" s="29"/>
      <c r="R403" s="4"/>
      <c r="S403" s="32"/>
      <c r="T403" s="4"/>
      <c r="U403" s="4"/>
      <c r="V403" s="4"/>
      <c r="W403" s="4"/>
    </row>
    <row x14ac:dyDescent="0.25" r="404" customHeight="1" ht="12.75">
      <c r="A404" s="4"/>
      <c r="B404" s="29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29"/>
      <c r="O404" s="76"/>
      <c r="P404" s="29"/>
      <c r="Q404" s="29"/>
      <c r="R404" s="4"/>
      <c r="S404" s="32"/>
      <c r="T404" s="4"/>
      <c r="U404" s="4"/>
      <c r="V404" s="4"/>
      <c r="W404" s="4"/>
    </row>
    <row x14ac:dyDescent="0.25" r="405" customHeight="1" ht="12.75">
      <c r="A405" s="4"/>
      <c r="B405" s="29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29"/>
      <c r="O405" s="76"/>
      <c r="P405" s="29"/>
      <c r="Q405" s="29"/>
      <c r="R405" s="4"/>
      <c r="S405" s="32"/>
      <c r="T405" s="4"/>
      <c r="U405" s="4"/>
      <c r="V405" s="4"/>
      <c r="W405" s="4"/>
    </row>
    <row x14ac:dyDescent="0.25" r="406" customHeight="1" ht="12.75">
      <c r="A406" s="4"/>
      <c r="B406" s="29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29"/>
      <c r="O406" s="76"/>
      <c r="P406" s="29"/>
      <c r="Q406" s="29"/>
      <c r="R406" s="4"/>
      <c r="S406" s="32"/>
      <c r="T406" s="4"/>
      <c r="U406" s="4"/>
      <c r="V406" s="4"/>
      <c r="W406" s="4"/>
    </row>
    <row x14ac:dyDescent="0.25" r="407" customHeight="1" ht="12.75">
      <c r="A407" s="4"/>
      <c r="B407" s="29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29"/>
      <c r="O407" s="76"/>
      <c r="P407" s="29"/>
      <c r="Q407" s="29"/>
      <c r="R407" s="4"/>
      <c r="S407" s="32"/>
      <c r="T407" s="4"/>
      <c r="U407" s="4"/>
      <c r="V407" s="4"/>
      <c r="W407" s="4"/>
    </row>
    <row x14ac:dyDescent="0.25" r="408" customHeight="1" ht="12.75">
      <c r="A408" s="4"/>
      <c r="B408" s="29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29"/>
      <c r="O408" s="76"/>
      <c r="P408" s="29"/>
      <c r="Q408" s="29"/>
      <c r="R408" s="4"/>
      <c r="S408" s="32"/>
      <c r="T408" s="4"/>
      <c r="U408" s="4"/>
      <c r="V408" s="4"/>
      <c r="W408" s="4"/>
    </row>
    <row x14ac:dyDescent="0.25" r="409" customHeight="1" ht="12.75">
      <c r="A409" s="4"/>
      <c r="B409" s="29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29"/>
      <c r="O409" s="76"/>
      <c r="P409" s="29"/>
      <c r="Q409" s="29"/>
      <c r="R409" s="4"/>
      <c r="S409" s="32"/>
      <c r="T409" s="4"/>
      <c r="U409" s="4"/>
      <c r="V409" s="4"/>
      <c r="W409" s="4"/>
    </row>
    <row x14ac:dyDescent="0.25" r="410" customHeight="1" ht="12.75">
      <c r="A410" s="4"/>
      <c r="B410" s="29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29"/>
      <c r="O410" s="76"/>
      <c r="P410" s="29"/>
      <c r="Q410" s="29"/>
      <c r="R410" s="4"/>
      <c r="S410" s="32"/>
      <c r="T410" s="4"/>
      <c r="U410" s="4"/>
      <c r="V410" s="4"/>
      <c r="W410" s="4"/>
    </row>
    <row x14ac:dyDescent="0.25" r="411" customHeight="1" ht="12.75">
      <c r="A411" s="4"/>
      <c r="B411" s="29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29"/>
      <c r="O411" s="76"/>
      <c r="P411" s="29"/>
      <c r="Q411" s="29"/>
      <c r="R411" s="4"/>
      <c r="S411" s="32"/>
      <c r="T411" s="4"/>
      <c r="U411" s="4"/>
      <c r="V411" s="4"/>
      <c r="W411" s="4"/>
    </row>
    <row x14ac:dyDescent="0.25" r="412" customHeight="1" ht="12.75">
      <c r="A412" s="4"/>
      <c r="B412" s="29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29"/>
      <c r="O412" s="76"/>
      <c r="P412" s="29"/>
      <c r="Q412" s="29"/>
      <c r="R412" s="4"/>
      <c r="S412" s="32"/>
      <c r="T412" s="4"/>
      <c r="U412" s="4"/>
      <c r="V412" s="4"/>
      <c r="W412" s="4"/>
    </row>
    <row x14ac:dyDescent="0.25" r="413" customHeight="1" ht="12.75">
      <c r="A413" s="4"/>
      <c r="B413" s="29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29"/>
      <c r="O413" s="76"/>
      <c r="P413" s="29"/>
      <c r="Q413" s="29"/>
      <c r="R413" s="4"/>
      <c r="S413" s="32"/>
      <c r="T413" s="4"/>
      <c r="U413" s="4"/>
      <c r="V413" s="4"/>
      <c r="W413" s="4"/>
    </row>
    <row x14ac:dyDescent="0.25" r="414" customHeight="1" ht="12.75">
      <c r="A414" s="4"/>
      <c r="B414" s="29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29"/>
      <c r="O414" s="76"/>
      <c r="P414" s="29"/>
      <c r="Q414" s="29"/>
      <c r="R414" s="4"/>
      <c r="S414" s="32"/>
      <c r="T414" s="4"/>
      <c r="U414" s="4"/>
      <c r="V414" s="4"/>
      <c r="W414" s="4"/>
    </row>
    <row x14ac:dyDescent="0.25" r="415" customHeight="1" ht="12.75">
      <c r="A415" s="4"/>
      <c r="B415" s="29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29"/>
      <c r="O415" s="76"/>
      <c r="P415" s="29"/>
      <c r="Q415" s="29"/>
      <c r="R415" s="4"/>
      <c r="S415" s="32"/>
      <c r="T415" s="4"/>
      <c r="U415" s="4"/>
      <c r="V415" s="4"/>
      <c r="W415" s="4"/>
    </row>
    <row x14ac:dyDescent="0.25" r="416" customHeight="1" ht="12.75">
      <c r="A416" s="4"/>
      <c r="B416" s="29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29"/>
      <c r="O416" s="76"/>
      <c r="P416" s="29"/>
      <c r="Q416" s="29"/>
      <c r="R416" s="4"/>
      <c r="S416" s="32"/>
      <c r="T416" s="4"/>
      <c r="U416" s="4"/>
      <c r="V416" s="4"/>
      <c r="W416" s="4"/>
    </row>
    <row x14ac:dyDescent="0.25" r="417" customHeight="1" ht="12.75">
      <c r="A417" s="4"/>
      <c r="B417" s="29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29"/>
      <c r="O417" s="76"/>
      <c r="P417" s="29"/>
      <c r="Q417" s="29"/>
      <c r="R417" s="4"/>
      <c r="S417" s="32"/>
      <c r="T417" s="4"/>
      <c r="U417" s="4"/>
      <c r="V417" s="4"/>
      <c r="W417" s="4"/>
    </row>
    <row x14ac:dyDescent="0.25" r="418" customHeight="1" ht="12.75">
      <c r="A418" s="4"/>
      <c r="B418" s="29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29"/>
      <c r="O418" s="76"/>
      <c r="P418" s="29"/>
      <c r="Q418" s="29"/>
      <c r="R418" s="4"/>
      <c r="S418" s="32"/>
      <c r="T418" s="4"/>
      <c r="U418" s="4"/>
      <c r="V418" s="4"/>
      <c r="W418" s="4"/>
    </row>
    <row x14ac:dyDescent="0.25" r="419" customHeight="1" ht="12.75">
      <c r="A419" s="4"/>
      <c r="B419" s="29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29"/>
      <c r="O419" s="76"/>
      <c r="P419" s="29"/>
      <c r="Q419" s="29"/>
      <c r="R419" s="4"/>
      <c r="S419" s="32"/>
      <c r="T419" s="4"/>
      <c r="U419" s="4"/>
      <c r="V419" s="4"/>
      <c r="W419" s="4"/>
    </row>
    <row x14ac:dyDescent="0.25" r="420" customHeight="1" ht="12.75">
      <c r="A420" s="4"/>
      <c r="B420" s="29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29"/>
      <c r="O420" s="76"/>
      <c r="P420" s="29"/>
      <c r="Q420" s="29"/>
      <c r="R420" s="4"/>
      <c r="S420" s="32"/>
      <c r="T420" s="4"/>
      <c r="U420" s="4"/>
      <c r="V420" s="4"/>
      <c r="W420" s="4"/>
    </row>
    <row x14ac:dyDescent="0.25" r="421" customHeight="1" ht="12.75">
      <c r="A421" s="4"/>
      <c r="B421" s="29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29"/>
      <c r="O421" s="76"/>
      <c r="P421" s="29"/>
      <c r="Q421" s="29"/>
      <c r="R421" s="4"/>
      <c r="S421" s="32"/>
      <c r="T421" s="4"/>
      <c r="U421" s="4"/>
      <c r="V421" s="4"/>
      <c r="W421" s="4"/>
    </row>
    <row x14ac:dyDescent="0.25" r="422" customHeight="1" ht="12.75">
      <c r="A422" s="4"/>
      <c r="B422" s="29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29"/>
      <c r="O422" s="76"/>
      <c r="P422" s="29"/>
      <c r="Q422" s="29"/>
      <c r="R422" s="4"/>
      <c r="S422" s="32"/>
      <c r="T422" s="4"/>
      <c r="U422" s="4"/>
      <c r="V422" s="4"/>
      <c r="W422" s="4"/>
    </row>
    <row x14ac:dyDescent="0.25" r="423" customHeight="1" ht="12.75">
      <c r="A423" s="4"/>
      <c r="B423" s="29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29"/>
      <c r="O423" s="76"/>
      <c r="P423" s="29"/>
      <c r="Q423" s="29"/>
      <c r="R423" s="4"/>
      <c r="S423" s="32"/>
      <c r="T423" s="4"/>
      <c r="U423" s="4"/>
      <c r="V423" s="4"/>
      <c r="W423" s="4"/>
    </row>
    <row x14ac:dyDescent="0.25" r="424" customHeight="1" ht="12.75">
      <c r="A424" s="4"/>
      <c r="B424" s="29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29"/>
      <c r="O424" s="76"/>
      <c r="P424" s="29"/>
      <c r="Q424" s="29"/>
      <c r="R424" s="4"/>
      <c r="S424" s="32"/>
      <c r="T424" s="4"/>
      <c r="U424" s="4"/>
      <c r="V424" s="4"/>
      <c r="W424" s="4"/>
    </row>
    <row x14ac:dyDescent="0.25" r="425" customHeight="1" ht="12.75">
      <c r="A425" s="4"/>
      <c r="B425" s="29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29"/>
      <c r="O425" s="76"/>
      <c r="P425" s="29"/>
      <c r="Q425" s="29"/>
      <c r="R425" s="4"/>
      <c r="S425" s="32"/>
      <c r="T425" s="4"/>
      <c r="U425" s="4"/>
      <c r="V425" s="4"/>
      <c r="W425" s="4"/>
    </row>
    <row x14ac:dyDescent="0.25" r="426" customHeight="1" ht="12.75">
      <c r="A426" s="4"/>
      <c r="B426" s="29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29"/>
      <c r="O426" s="76"/>
      <c r="P426" s="29"/>
      <c r="Q426" s="29"/>
      <c r="R426" s="4"/>
      <c r="S426" s="32"/>
      <c r="T426" s="4"/>
      <c r="U426" s="4"/>
      <c r="V426" s="4"/>
      <c r="W426" s="4"/>
    </row>
    <row x14ac:dyDescent="0.25" r="427" customHeight="1" ht="12.75">
      <c r="A427" s="4"/>
      <c r="B427" s="29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29"/>
      <c r="O427" s="76"/>
      <c r="P427" s="29"/>
      <c r="Q427" s="29"/>
      <c r="R427" s="4"/>
      <c r="S427" s="32"/>
      <c r="T427" s="4"/>
      <c r="U427" s="4"/>
      <c r="V427" s="4"/>
      <c r="W427" s="4"/>
    </row>
    <row x14ac:dyDescent="0.25" r="428" customHeight="1" ht="12.75">
      <c r="A428" s="4"/>
      <c r="B428" s="29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29"/>
      <c r="O428" s="76"/>
      <c r="P428" s="29"/>
      <c r="Q428" s="29"/>
      <c r="R428" s="4"/>
      <c r="S428" s="32"/>
      <c r="T428" s="4"/>
      <c r="U428" s="4"/>
      <c r="V428" s="4"/>
      <c r="W428" s="4"/>
    </row>
    <row x14ac:dyDescent="0.25" r="429" customHeight="1" ht="12.75">
      <c r="A429" s="4"/>
      <c r="B429" s="29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29"/>
      <c r="O429" s="76"/>
      <c r="P429" s="29"/>
      <c r="Q429" s="29"/>
      <c r="R429" s="4"/>
      <c r="S429" s="32"/>
      <c r="T429" s="4"/>
      <c r="U429" s="4"/>
      <c r="V429" s="4"/>
      <c r="W429" s="4"/>
    </row>
    <row x14ac:dyDescent="0.25" r="430" customHeight="1" ht="12.75">
      <c r="A430" s="4"/>
      <c r="B430" s="29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29"/>
      <c r="O430" s="76"/>
      <c r="P430" s="29"/>
      <c r="Q430" s="29"/>
      <c r="R430" s="4"/>
      <c r="S430" s="32"/>
      <c r="T430" s="4"/>
      <c r="U430" s="4"/>
      <c r="V430" s="4"/>
      <c r="W430" s="4"/>
    </row>
    <row x14ac:dyDescent="0.25" r="431" customHeight="1" ht="12.75">
      <c r="A431" s="4"/>
      <c r="B431" s="29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29"/>
      <c r="O431" s="76"/>
      <c r="P431" s="29"/>
      <c r="Q431" s="29"/>
      <c r="R431" s="4"/>
      <c r="S431" s="32"/>
      <c r="T431" s="4"/>
      <c r="U431" s="4"/>
      <c r="V431" s="4"/>
      <c r="W431" s="4"/>
    </row>
    <row x14ac:dyDescent="0.25" r="432" customHeight="1" ht="12.75">
      <c r="A432" s="4"/>
      <c r="B432" s="29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29"/>
      <c r="O432" s="76"/>
      <c r="P432" s="29"/>
      <c r="Q432" s="29"/>
      <c r="R432" s="4"/>
      <c r="S432" s="32"/>
      <c r="T432" s="4"/>
      <c r="U432" s="4"/>
      <c r="V432" s="4"/>
      <c r="W432" s="4"/>
    </row>
    <row x14ac:dyDescent="0.25" r="433" customHeight="1" ht="12.75">
      <c r="A433" s="4"/>
      <c r="B433" s="29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29"/>
      <c r="O433" s="76"/>
      <c r="P433" s="29"/>
      <c r="Q433" s="29"/>
      <c r="R433" s="4"/>
      <c r="S433" s="32"/>
      <c r="T433" s="4"/>
      <c r="U433" s="4"/>
      <c r="V433" s="4"/>
      <c r="W433" s="4"/>
    </row>
    <row x14ac:dyDescent="0.25" r="434" customHeight="1" ht="12.75">
      <c r="A434" s="4"/>
      <c r="B434" s="29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29"/>
      <c r="O434" s="76"/>
      <c r="P434" s="29"/>
      <c r="Q434" s="29"/>
      <c r="R434" s="4"/>
      <c r="S434" s="32"/>
      <c r="T434" s="4"/>
      <c r="U434" s="4"/>
      <c r="V434" s="4"/>
      <c r="W434" s="4"/>
    </row>
    <row x14ac:dyDescent="0.25" r="435" customHeight="1" ht="12.75">
      <c r="A435" s="4"/>
      <c r="B435" s="29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29"/>
      <c r="O435" s="76"/>
      <c r="P435" s="29"/>
      <c r="Q435" s="29"/>
      <c r="R435" s="4"/>
      <c r="S435" s="32"/>
      <c r="T435" s="4"/>
      <c r="U435" s="4"/>
      <c r="V435" s="4"/>
      <c r="W435" s="4"/>
    </row>
    <row x14ac:dyDescent="0.25" r="436" customHeight="1" ht="12.75">
      <c r="A436" s="4"/>
      <c r="B436" s="29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29"/>
      <c r="O436" s="76"/>
      <c r="P436" s="29"/>
      <c r="Q436" s="29"/>
      <c r="R436" s="4"/>
      <c r="S436" s="32"/>
      <c r="T436" s="4"/>
      <c r="U436" s="4"/>
      <c r="V436" s="4"/>
      <c r="W436" s="4"/>
    </row>
    <row x14ac:dyDescent="0.25" r="437" customHeight="1" ht="12.75">
      <c r="A437" s="4"/>
      <c r="B437" s="29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29"/>
      <c r="O437" s="76"/>
      <c r="P437" s="29"/>
      <c r="Q437" s="29"/>
      <c r="R437" s="4"/>
      <c r="S437" s="32"/>
      <c r="T437" s="4"/>
      <c r="U437" s="4"/>
      <c r="V437" s="4"/>
      <c r="W437" s="4"/>
    </row>
    <row x14ac:dyDescent="0.25" r="438" customHeight="1" ht="12.75">
      <c r="A438" s="4"/>
      <c r="B438" s="29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29"/>
      <c r="O438" s="76"/>
      <c r="P438" s="29"/>
      <c r="Q438" s="29"/>
      <c r="R438" s="4"/>
      <c r="S438" s="32"/>
      <c r="T438" s="4"/>
      <c r="U438" s="4"/>
      <c r="V438" s="4"/>
      <c r="W438" s="4"/>
    </row>
    <row x14ac:dyDescent="0.25" r="439" customHeight="1" ht="12.75">
      <c r="A439" s="4"/>
      <c r="B439" s="29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29"/>
      <c r="O439" s="76"/>
      <c r="P439" s="29"/>
      <c r="Q439" s="29"/>
      <c r="R439" s="4"/>
      <c r="S439" s="32"/>
      <c r="T439" s="4"/>
      <c r="U439" s="4"/>
      <c r="V439" s="4"/>
      <c r="W439" s="4"/>
    </row>
    <row x14ac:dyDescent="0.25" r="440" customHeight="1" ht="12.75">
      <c r="A440" s="4"/>
      <c r="B440" s="29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29"/>
      <c r="O440" s="76"/>
      <c r="P440" s="29"/>
      <c r="Q440" s="29"/>
      <c r="R440" s="4"/>
      <c r="S440" s="32"/>
      <c r="T440" s="4"/>
      <c r="U440" s="4"/>
      <c r="V440" s="4"/>
      <c r="W440" s="4"/>
    </row>
    <row x14ac:dyDescent="0.25" r="441" customHeight="1" ht="12.75">
      <c r="A441" s="4"/>
      <c r="B441" s="29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29"/>
      <c r="O441" s="76"/>
      <c r="P441" s="29"/>
      <c r="Q441" s="29"/>
      <c r="R441" s="4"/>
      <c r="S441" s="32"/>
      <c r="T441" s="4"/>
      <c r="U441" s="4"/>
      <c r="V441" s="4"/>
      <c r="W441" s="4"/>
    </row>
    <row x14ac:dyDescent="0.25" r="442" customHeight="1" ht="12.75">
      <c r="A442" s="4"/>
      <c r="B442" s="29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29"/>
      <c r="O442" s="76"/>
      <c r="P442" s="29"/>
      <c r="Q442" s="29"/>
      <c r="R442" s="4"/>
      <c r="S442" s="32"/>
      <c r="T442" s="4"/>
      <c r="U442" s="4"/>
      <c r="V442" s="4"/>
      <c r="W442" s="4"/>
    </row>
    <row x14ac:dyDescent="0.25" r="443" customHeight="1" ht="12.75">
      <c r="A443" s="4"/>
      <c r="B443" s="29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29"/>
      <c r="O443" s="76"/>
      <c r="P443" s="29"/>
      <c r="Q443" s="29"/>
      <c r="R443" s="4"/>
      <c r="S443" s="32"/>
      <c r="T443" s="4"/>
      <c r="U443" s="4"/>
      <c r="V443" s="4"/>
      <c r="W443" s="4"/>
    </row>
    <row x14ac:dyDescent="0.25" r="444" customHeight="1" ht="12.75">
      <c r="A444" s="4"/>
      <c r="B444" s="29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29"/>
      <c r="O444" s="76"/>
      <c r="P444" s="29"/>
      <c r="Q444" s="29"/>
      <c r="R444" s="4"/>
      <c r="S444" s="32"/>
      <c r="T444" s="4"/>
      <c r="U444" s="4"/>
      <c r="V444" s="4"/>
      <c r="W444" s="4"/>
    </row>
    <row x14ac:dyDescent="0.25" r="445" customHeight="1" ht="12.75">
      <c r="A445" s="4"/>
      <c r="B445" s="29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29"/>
      <c r="O445" s="76"/>
      <c r="P445" s="29"/>
      <c r="Q445" s="29"/>
      <c r="R445" s="4"/>
      <c r="S445" s="32"/>
      <c r="T445" s="4"/>
      <c r="U445" s="4"/>
      <c r="V445" s="4"/>
      <c r="W445" s="4"/>
    </row>
    <row x14ac:dyDescent="0.25" r="446" customHeight="1" ht="12.75">
      <c r="A446" s="4"/>
      <c r="B446" s="29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29"/>
      <c r="O446" s="76"/>
      <c r="P446" s="29"/>
      <c r="Q446" s="29"/>
      <c r="R446" s="4"/>
      <c r="S446" s="32"/>
      <c r="T446" s="4"/>
      <c r="U446" s="4"/>
      <c r="V446" s="4"/>
      <c r="W446" s="4"/>
    </row>
    <row x14ac:dyDescent="0.25" r="447" customHeight="1" ht="12.75">
      <c r="A447" s="4"/>
      <c r="B447" s="29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29"/>
      <c r="O447" s="76"/>
      <c r="P447" s="29"/>
      <c r="Q447" s="29"/>
      <c r="R447" s="4"/>
      <c r="S447" s="32"/>
      <c r="T447" s="4"/>
      <c r="U447" s="4"/>
      <c r="V447" s="4"/>
      <c r="W447" s="4"/>
    </row>
    <row x14ac:dyDescent="0.25" r="448" customHeight="1" ht="12.75">
      <c r="A448" s="4"/>
      <c r="B448" s="29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29"/>
      <c r="O448" s="76"/>
      <c r="P448" s="29"/>
      <c r="Q448" s="29"/>
      <c r="R448" s="4"/>
      <c r="S448" s="32"/>
      <c r="T448" s="4"/>
      <c r="U448" s="4"/>
      <c r="V448" s="4"/>
      <c r="W448" s="4"/>
    </row>
    <row x14ac:dyDescent="0.25" r="449" customHeight="1" ht="12.75">
      <c r="A449" s="4"/>
      <c r="B449" s="29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29"/>
      <c r="O449" s="76"/>
      <c r="P449" s="29"/>
      <c r="Q449" s="29"/>
      <c r="R449" s="4"/>
      <c r="S449" s="32"/>
      <c r="T449" s="4"/>
      <c r="U449" s="4"/>
      <c r="V449" s="4"/>
      <c r="W449" s="4"/>
    </row>
    <row x14ac:dyDescent="0.25" r="450" customHeight="1" ht="12.75">
      <c r="A450" s="4"/>
      <c r="B450" s="29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29"/>
      <c r="O450" s="76"/>
      <c r="P450" s="29"/>
      <c r="Q450" s="29"/>
      <c r="R450" s="4"/>
      <c r="S450" s="32"/>
      <c r="T450" s="4"/>
      <c r="U450" s="4"/>
      <c r="V450" s="4"/>
      <c r="W450" s="4"/>
    </row>
    <row x14ac:dyDescent="0.25" r="451" customHeight="1" ht="12.75">
      <c r="A451" s="4"/>
      <c r="B451" s="29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29"/>
      <c r="O451" s="76"/>
      <c r="P451" s="29"/>
      <c r="Q451" s="29"/>
      <c r="R451" s="4"/>
      <c r="S451" s="32"/>
      <c r="T451" s="4"/>
      <c r="U451" s="4"/>
      <c r="V451" s="4"/>
      <c r="W451" s="4"/>
    </row>
    <row x14ac:dyDescent="0.25" r="452" customHeight="1" ht="12.75">
      <c r="A452" s="4"/>
      <c r="B452" s="29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29"/>
      <c r="O452" s="76"/>
      <c r="P452" s="29"/>
      <c r="Q452" s="29"/>
      <c r="R452" s="4"/>
      <c r="S452" s="32"/>
      <c r="T452" s="4"/>
      <c r="U452" s="4"/>
      <c r="V452" s="4"/>
      <c r="W452" s="4"/>
    </row>
    <row x14ac:dyDescent="0.25" r="453" customHeight="1" ht="12.75">
      <c r="A453" s="4"/>
      <c r="B453" s="29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29"/>
      <c r="O453" s="76"/>
      <c r="P453" s="29"/>
      <c r="Q453" s="29"/>
      <c r="R453" s="4"/>
      <c r="S453" s="32"/>
      <c r="T453" s="4"/>
      <c r="U453" s="4"/>
      <c r="V453" s="4"/>
      <c r="W453" s="4"/>
    </row>
    <row x14ac:dyDescent="0.25" r="454" customHeight="1" ht="12.75">
      <c r="A454" s="4"/>
      <c r="B454" s="29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29"/>
      <c r="O454" s="76"/>
      <c r="P454" s="29"/>
      <c r="Q454" s="29"/>
      <c r="R454" s="4"/>
      <c r="S454" s="32"/>
      <c r="T454" s="4"/>
      <c r="U454" s="4"/>
      <c r="V454" s="4"/>
      <c r="W454" s="4"/>
    </row>
    <row x14ac:dyDescent="0.25" r="455" customHeight="1" ht="12.75">
      <c r="A455" s="4"/>
      <c r="B455" s="29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29"/>
      <c r="O455" s="76"/>
      <c r="P455" s="29"/>
      <c r="Q455" s="29"/>
      <c r="R455" s="4"/>
      <c r="S455" s="32"/>
      <c r="T455" s="4"/>
      <c r="U455" s="4"/>
      <c r="V455" s="4"/>
      <c r="W455" s="4"/>
    </row>
    <row x14ac:dyDescent="0.25" r="456" customHeight="1" ht="12.75">
      <c r="A456" s="4"/>
      <c r="B456" s="29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29"/>
      <c r="O456" s="76"/>
      <c r="P456" s="29"/>
      <c r="Q456" s="29"/>
      <c r="R456" s="4"/>
      <c r="S456" s="32"/>
      <c r="T456" s="4"/>
      <c r="U456" s="4"/>
      <c r="V456" s="4"/>
      <c r="W456" s="4"/>
    </row>
    <row x14ac:dyDescent="0.25" r="457" customHeight="1" ht="12.75">
      <c r="A457" s="4"/>
      <c r="B457" s="29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29"/>
      <c r="O457" s="76"/>
      <c r="P457" s="29"/>
      <c r="Q457" s="29"/>
      <c r="R457" s="4"/>
      <c r="S457" s="32"/>
      <c r="T457" s="4"/>
      <c r="U457" s="4"/>
      <c r="V457" s="4"/>
      <c r="W457" s="4"/>
    </row>
    <row x14ac:dyDescent="0.25" r="458" customHeight="1" ht="12.75">
      <c r="A458" s="4"/>
      <c r="B458" s="29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29"/>
      <c r="O458" s="76"/>
      <c r="P458" s="29"/>
      <c r="Q458" s="29"/>
      <c r="R458" s="4"/>
      <c r="S458" s="32"/>
      <c r="T458" s="4"/>
      <c r="U458" s="4"/>
      <c r="V458" s="4"/>
      <c r="W458" s="4"/>
    </row>
    <row x14ac:dyDescent="0.25" r="459" customHeight="1" ht="12.75">
      <c r="A459" s="4"/>
      <c r="B459" s="29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29"/>
      <c r="O459" s="76"/>
      <c r="P459" s="29"/>
      <c r="Q459" s="29"/>
      <c r="R459" s="4"/>
      <c r="S459" s="32"/>
      <c r="T459" s="4"/>
      <c r="U459" s="4"/>
      <c r="V459" s="4"/>
      <c r="W459" s="4"/>
    </row>
    <row x14ac:dyDescent="0.25" r="460" customHeight="1" ht="12.75">
      <c r="A460" s="4"/>
      <c r="B460" s="29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29"/>
      <c r="O460" s="76"/>
      <c r="P460" s="29"/>
      <c r="Q460" s="29"/>
      <c r="R460" s="4"/>
      <c r="S460" s="32"/>
      <c r="T460" s="4"/>
      <c r="U460" s="4"/>
      <c r="V460" s="4"/>
      <c r="W460" s="4"/>
    </row>
    <row x14ac:dyDescent="0.25" r="461" customHeight="1" ht="12.75">
      <c r="A461" s="4"/>
      <c r="B461" s="29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29"/>
      <c r="O461" s="76"/>
      <c r="P461" s="29"/>
      <c r="Q461" s="29"/>
      <c r="R461" s="4"/>
      <c r="S461" s="32"/>
      <c r="T461" s="4"/>
      <c r="U461" s="4"/>
      <c r="V461" s="4"/>
      <c r="W461" s="4"/>
    </row>
    <row x14ac:dyDescent="0.25" r="462" customHeight="1" ht="12.75">
      <c r="A462" s="4"/>
      <c r="B462" s="29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29"/>
      <c r="O462" s="76"/>
      <c r="P462" s="29"/>
      <c r="Q462" s="29"/>
      <c r="R462" s="4"/>
      <c r="S462" s="32"/>
      <c r="T462" s="4"/>
      <c r="U462" s="4"/>
      <c r="V462" s="4"/>
      <c r="W462" s="4"/>
    </row>
    <row x14ac:dyDescent="0.25" r="463" customHeight="1" ht="12.75">
      <c r="A463" s="4"/>
      <c r="B463" s="29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29"/>
      <c r="O463" s="76"/>
      <c r="P463" s="29"/>
      <c r="Q463" s="29"/>
      <c r="R463" s="4"/>
      <c r="S463" s="32"/>
      <c r="T463" s="4"/>
      <c r="U463" s="4"/>
      <c r="V463" s="4"/>
      <c r="W463" s="4"/>
    </row>
    <row x14ac:dyDescent="0.25" r="464" customHeight="1" ht="12.75">
      <c r="A464" s="4"/>
      <c r="B464" s="29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29"/>
      <c r="O464" s="76"/>
      <c r="P464" s="29"/>
      <c r="Q464" s="29"/>
      <c r="R464" s="4"/>
      <c r="S464" s="32"/>
      <c r="T464" s="4"/>
      <c r="U464" s="4"/>
      <c r="V464" s="4"/>
      <c r="W464" s="4"/>
    </row>
    <row x14ac:dyDescent="0.25" r="465" customHeight="1" ht="12.75">
      <c r="A465" s="4"/>
      <c r="B465" s="29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29"/>
      <c r="O465" s="76"/>
      <c r="P465" s="29"/>
      <c r="Q465" s="29"/>
      <c r="R465" s="4"/>
      <c r="S465" s="32"/>
      <c r="T465" s="4"/>
      <c r="U465" s="4"/>
      <c r="V465" s="4"/>
      <c r="W465" s="4"/>
    </row>
    <row x14ac:dyDescent="0.25" r="466" customHeight="1" ht="12.75">
      <c r="A466" s="4"/>
      <c r="B466" s="29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29"/>
      <c r="O466" s="76"/>
      <c r="P466" s="29"/>
      <c r="Q466" s="29"/>
      <c r="R466" s="4"/>
      <c r="S466" s="32"/>
      <c r="T466" s="4"/>
      <c r="U466" s="4"/>
      <c r="V466" s="4"/>
      <c r="W466" s="4"/>
    </row>
    <row x14ac:dyDescent="0.25" r="467" customHeight="1" ht="12.75">
      <c r="A467" s="4"/>
      <c r="B467" s="29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29"/>
      <c r="O467" s="76"/>
      <c r="P467" s="29"/>
      <c r="Q467" s="29"/>
      <c r="R467" s="4"/>
      <c r="S467" s="32"/>
      <c r="T467" s="4"/>
      <c r="U467" s="4"/>
      <c r="V467" s="4"/>
      <c r="W467" s="4"/>
    </row>
    <row x14ac:dyDescent="0.25" r="468" customHeight="1" ht="12.75">
      <c r="A468" s="4"/>
      <c r="B468" s="29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29"/>
      <c r="O468" s="76"/>
      <c r="P468" s="29"/>
      <c r="Q468" s="29"/>
      <c r="R468" s="4"/>
      <c r="S468" s="32"/>
      <c r="T468" s="4"/>
      <c r="U468" s="4"/>
      <c r="V468" s="4"/>
      <c r="W468" s="4"/>
    </row>
    <row x14ac:dyDescent="0.25" r="469" customHeight="1" ht="12.75">
      <c r="A469" s="4"/>
      <c r="B469" s="29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29"/>
      <c r="O469" s="76"/>
      <c r="P469" s="29"/>
      <c r="Q469" s="29"/>
      <c r="R469" s="4"/>
      <c r="S469" s="32"/>
      <c r="T469" s="4"/>
      <c r="U469" s="4"/>
      <c r="V469" s="4"/>
      <c r="W469" s="4"/>
    </row>
    <row x14ac:dyDescent="0.25" r="470" customHeight="1" ht="12.75">
      <c r="A470" s="4"/>
      <c r="B470" s="29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29"/>
      <c r="O470" s="76"/>
      <c r="P470" s="29"/>
      <c r="Q470" s="29"/>
      <c r="R470" s="4"/>
      <c r="S470" s="32"/>
      <c r="T470" s="4"/>
      <c r="U470" s="4"/>
      <c r="V470" s="4"/>
      <c r="W470" s="4"/>
    </row>
    <row x14ac:dyDescent="0.25" r="471" customHeight="1" ht="12.75">
      <c r="A471" s="4"/>
      <c r="B471" s="29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29"/>
      <c r="O471" s="76"/>
      <c r="P471" s="29"/>
      <c r="Q471" s="29"/>
      <c r="R471" s="4"/>
      <c r="S471" s="32"/>
      <c r="T471" s="4"/>
      <c r="U471" s="4"/>
      <c r="V471" s="4"/>
      <c r="W471" s="4"/>
    </row>
    <row x14ac:dyDescent="0.25" r="472" customHeight="1" ht="12.75">
      <c r="A472" s="4"/>
      <c r="B472" s="29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29"/>
      <c r="O472" s="76"/>
      <c r="P472" s="29"/>
      <c r="Q472" s="29"/>
      <c r="R472" s="4"/>
      <c r="S472" s="32"/>
      <c r="T472" s="4"/>
      <c r="U472" s="4"/>
      <c r="V472" s="4"/>
      <c r="W472" s="4"/>
    </row>
    <row x14ac:dyDescent="0.25" r="473" customHeight="1" ht="12.75">
      <c r="A473" s="4"/>
      <c r="B473" s="29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29"/>
      <c r="O473" s="76"/>
      <c r="P473" s="29"/>
      <c r="Q473" s="29"/>
      <c r="R473" s="4"/>
      <c r="S473" s="32"/>
      <c r="T473" s="4"/>
      <c r="U473" s="4"/>
      <c r="V473" s="4"/>
      <c r="W473" s="4"/>
    </row>
    <row x14ac:dyDescent="0.25" r="474" customHeight="1" ht="12.75">
      <c r="A474" s="4"/>
      <c r="B474" s="29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29"/>
      <c r="O474" s="76"/>
      <c r="P474" s="29"/>
      <c r="Q474" s="29"/>
      <c r="R474" s="4"/>
      <c r="S474" s="32"/>
      <c r="T474" s="4"/>
      <c r="U474" s="4"/>
      <c r="V474" s="4"/>
      <c r="W474" s="4"/>
    </row>
    <row x14ac:dyDescent="0.25" r="475" customHeight="1" ht="12.75">
      <c r="A475" s="4"/>
      <c r="B475" s="29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29"/>
      <c r="O475" s="76"/>
      <c r="P475" s="29"/>
      <c r="Q475" s="29"/>
      <c r="R475" s="4"/>
      <c r="S475" s="32"/>
      <c r="T475" s="4"/>
      <c r="U475" s="4"/>
      <c r="V475" s="4"/>
      <c r="W475" s="4"/>
    </row>
    <row x14ac:dyDescent="0.25" r="476" customHeight="1" ht="12.75">
      <c r="A476" s="4"/>
      <c r="B476" s="29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29"/>
      <c r="O476" s="76"/>
      <c r="P476" s="29"/>
      <c r="Q476" s="29"/>
      <c r="R476" s="4"/>
      <c r="S476" s="32"/>
      <c r="T476" s="4"/>
      <c r="U476" s="4"/>
      <c r="V476" s="4"/>
      <c r="W476" s="4"/>
    </row>
    <row x14ac:dyDescent="0.25" r="477" customHeight="1" ht="12.75">
      <c r="A477" s="4"/>
      <c r="B477" s="29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29"/>
      <c r="O477" s="76"/>
      <c r="P477" s="29"/>
      <c r="Q477" s="29"/>
      <c r="R477" s="4"/>
      <c r="S477" s="32"/>
      <c r="T477" s="4"/>
      <c r="U477" s="4"/>
      <c r="V477" s="4"/>
      <c r="W477" s="4"/>
    </row>
    <row x14ac:dyDescent="0.25" r="478" customHeight="1" ht="12.75">
      <c r="A478" s="4"/>
      <c r="B478" s="29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29"/>
      <c r="O478" s="76"/>
      <c r="P478" s="29"/>
      <c r="Q478" s="29"/>
      <c r="R478" s="4"/>
      <c r="S478" s="32"/>
      <c r="T478" s="4"/>
      <c r="U478" s="4"/>
      <c r="V478" s="4"/>
      <c r="W478" s="4"/>
    </row>
    <row x14ac:dyDescent="0.25" r="479" customHeight="1" ht="12.75">
      <c r="A479" s="4"/>
      <c r="B479" s="29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29"/>
      <c r="O479" s="76"/>
      <c r="P479" s="29"/>
      <c r="Q479" s="29"/>
      <c r="R479" s="4"/>
      <c r="S479" s="32"/>
      <c r="T479" s="4"/>
      <c r="U479" s="4"/>
      <c r="V479" s="4"/>
      <c r="W479" s="4"/>
    </row>
    <row x14ac:dyDescent="0.25" r="480" customHeight="1" ht="12.75">
      <c r="A480" s="4"/>
      <c r="B480" s="29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29"/>
      <c r="O480" s="76"/>
      <c r="P480" s="29"/>
      <c r="Q480" s="29"/>
      <c r="R480" s="4"/>
      <c r="S480" s="32"/>
      <c r="T480" s="4"/>
      <c r="U480" s="4"/>
      <c r="V480" s="4"/>
      <c r="W480" s="4"/>
    </row>
    <row x14ac:dyDescent="0.25" r="481" customHeight="1" ht="12.75">
      <c r="A481" s="4"/>
      <c r="B481" s="29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29"/>
      <c r="O481" s="76"/>
      <c r="P481" s="29"/>
      <c r="Q481" s="29"/>
      <c r="R481" s="4"/>
      <c r="S481" s="32"/>
      <c r="T481" s="4"/>
      <c r="U481" s="4"/>
      <c r="V481" s="4"/>
      <c r="W481" s="4"/>
    </row>
    <row x14ac:dyDescent="0.25" r="482" customHeight="1" ht="12.75">
      <c r="A482" s="4"/>
      <c r="B482" s="29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29"/>
      <c r="O482" s="76"/>
      <c r="P482" s="29"/>
      <c r="Q482" s="29"/>
      <c r="R482" s="4"/>
      <c r="S482" s="32"/>
      <c r="T482" s="4"/>
      <c r="U482" s="4"/>
      <c r="V482" s="4"/>
      <c r="W482" s="4"/>
    </row>
    <row x14ac:dyDescent="0.25" r="483" customHeight="1" ht="12.75">
      <c r="A483" s="4"/>
      <c r="B483" s="29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29"/>
      <c r="O483" s="76"/>
      <c r="P483" s="29"/>
      <c r="Q483" s="29"/>
      <c r="R483" s="4"/>
      <c r="S483" s="32"/>
      <c r="T483" s="4"/>
      <c r="U483" s="4"/>
      <c r="V483" s="4"/>
      <c r="W483" s="4"/>
    </row>
    <row x14ac:dyDescent="0.25" r="484" customHeight="1" ht="12.75">
      <c r="A484" s="4"/>
      <c r="B484" s="29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29"/>
      <c r="O484" s="76"/>
      <c r="P484" s="29"/>
      <c r="Q484" s="29"/>
      <c r="R484" s="4"/>
      <c r="S484" s="32"/>
      <c r="T484" s="4"/>
      <c r="U484" s="4"/>
      <c r="V484" s="4"/>
      <c r="W484" s="4"/>
    </row>
    <row x14ac:dyDescent="0.25" r="485" customHeight="1" ht="12.75">
      <c r="A485" s="4"/>
      <c r="B485" s="29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29"/>
      <c r="O485" s="76"/>
      <c r="P485" s="29"/>
      <c r="Q485" s="29"/>
      <c r="R485" s="4"/>
      <c r="S485" s="32"/>
      <c r="T485" s="4"/>
      <c r="U485" s="4"/>
      <c r="V485" s="4"/>
      <c r="W485" s="4"/>
    </row>
    <row x14ac:dyDescent="0.25" r="486" customHeight="1" ht="12.75">
      <c r="A486" s="4"/>
      <c r="B486" s="29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29"/>
      <c r="O486" s="76"/>
      <c r="P486" s="29"/>
      <c r="Q486" s="29"/>
      <c r="R486" s="4"/>
      <c r="S486" s="32"/>
      <c r="T486" s="4"/>
      <c r="U486" s="4"/>
      <c r="V486" s="4"/>
      <c r="W486" s="4"/>
    </row>
    <row x14ac:dyDescent="0.25" r="487" customHeight="1" ht="12.75">
      <c r="A487" s="4"/>
      <c r="B487" s="29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29"/>
      <c r="O487" s="76"/>
      <c r="P487" s="29"/>
      <c r="Q487" s="29"/>
      <c r="R487" s="4"/>
      <c r="S487" s="32"/>
      <c r="T487" s="4"/>
      <c r="U487" s="4"/>
      <c r="V487" s="4"/>
      <c r="W487" s="4"/>
    </row>
    <row x14ac:dyDescent="0.25" r="488" customHeight="1" ht="12.75">
      <c r="A488" s="4"/>
      <c r="B488" s="29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29"/>
      <c r="O488" s="76"/>
      <c r="P488" s="29"/>
      <c r="Q488" s="29"/>
      <c r="R488" s="4"/>
      <c r="S488" s="32"/>
      <c r="T488" s="4"/>
      <c r="U488" s="4"/>
      <c r="V488" s="4"/>
      <c r="W488" s="4"/>
    </row>
    <row x14ac:dyDescent="0.25" r="489" customHeight="1" ht="12.75">
      <c r="A489" s="4"/>
      <c r="B489" s="29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29"/>
      <c r="O489" s="76"/>
      <c r="P489" s="29"/>
      <c r="Q489" s="29"/>
      <c r="R489" s="4"/>
      <c r="S489" s="32"/>
      <c r="T489" s="4"/>
      <c r="U489" s="4"/>
      <c r="V489" s="4"/>
      <c r="W489" s="4"/>
    </row>
    <row x14ac:dyDescent="0.25" r="490" customHeight="1" ht="12.75">
      <c r="A490" s="4"/>
      <c r="B490" s="29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29"/>
      <c r="O490" s="76"/>
      <c r="P490" s="29"/>
      <c r="Q490" s="29"/>
      <c r="R490" s="4"/>
      <c r="S490" s="32"/>
      <c r="T490" s="4"/>
      <c r="U490" s="4"/>
      <c r="V490" s="4"/>
      <c r="W490" s="4"/>
    </row>
    <row x14ac:dyDescent="0.25" r="491" customHeight="1" ht="12.75">
      <c r="A491" s="4"/>
      <c r="B491" s="29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29"/>
      <c r="O491" s="76"/>
      <c r="P491" s="29"/>
      <c r="Q491" s="29"/>
      <c r="R491" s="4"/>
      <c r="S491" s="32"/>
      <c r="T491" s="4"/>
      <c r="U491" s="4"/>
      <c r="V491" s="4"/>
      <c r="W491" s="4"/>
    </row>
    <row x14ac:dyDescent="0.25" r="492" customHeight="1" ht="12.75">
      <c r="A492" s="4"/>
      <c r="B492" s="29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29"/>
      <c r="O492" s="76"/>
      <c r="P492" s="29"/>
      <c r="Q492" s="29"/>
      <c r="R492" s="4"/>
      <c r="S492" s="32"/>
      <c r="T492" s="4"/>
      <c r="U492" s="4"/>
      <c r="V492" s="4"/>
      <c r="W492" s="4"/>
    </row>
    <row x14ac:dyDescent="0.25" r="493" customHeight="1" ht="12.75">
      <c r="A493" s="4"/>
      <c r="B493" s="29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29"/>
      <c r="O493" s="76"/>
      <c r="P493" s="29"/>
      <c r="Q493" s="29"/>
      <c r="R493" s="4"/>
      <c r="S493" s="32"/>
      <c r="T493" s="4"/>
      <c r="U493" s="4"/>
      <c r="V493" s="4"/>
      <c r="W493" s="4"/>
    </row>
    <row x14ac:dyDescent="0.25" r="494" customHeight="1" ht="12.75">
      <c r="A494" s="4"/>
      <c r="B494" s="29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29"/>
      <c r="O494" s="76"/>
      <c r="P494" s="29"/>
      <c r="Q494" s="29"/>
      <c r="R494" s="4"/>
      <c r="S494" s="32"/>
      <c r="T494" s="4"/>
      <c r="U494" s="4"/>
      <c r="V494" s="4"/>
      <c r="W494" s="4"/>
    </row>
    <row x14ac:dyDescent="0.25" r="495" customHeight="1" ht="12.75">
      <c r="A495" s="4"/>
      <c r="B495" s="29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29"/>
      <c r="O495" s="76"/>
      <c r="P495" s="29"/>
      <c r="Q495" s="29"/>
      <c r="R495" s="4"/>
      <c r="S495" s="32"/>
      <c r="T495" s="4"/>
      <c r="U495" s="4"/>
      <c r="V495" s="4"/>
      <c r="W495" s="4"/>
    </row>
    <row x14ac:dyDescent="0.25" r="496" customHeight="1" ht="12.75">
      <c r="A496" s="4"/>
      <c r="B496" s="29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29"/>
      <c r="O496" s="76"/>
      <c r="P496" s="29"/>
      <c r="Q496" s="29"/>
      <c r="R496" s="4"/>
      <c r="S496" s="32"/>
      <c r="T496" s="4"/>
      <c r="U496" s="4"/>
      <c r="V496" s="4"/>
      <c r="W496" s="4"/>
    </row>
    <row x14ac:dyDescent="0.25" r="497" customHeight="1" ht="12.75">
      <c r="A497" s="4"/>
      <c r="B497" s="29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29"/>
      <c r="O497" s="76"/>
      <c r="P497" s="29"/>
      <c r="Q497" s="29"/>
      <c r="R497" s="4"/>
      <c r="S497" s="32"/>
      <c r="T497" s="4"/>
      <c r="U497" s="4"/>
      <c r="V497" s="4"/>
      <c r="W497" s="4"/>
    </row>
    <row x14ac:dyDescent="0.25" r="498" customHeight="1" ht="12.75">
      <c r="A498" s="4"/>
      <c r="B498" s="29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29"/>
      <c r="O498" s="76"/>
      <c r="P498" s="29"/>
      <c r="Q498" s="29"/>
      <c r="R498" s="4"/>
      <c r="S498" s="32"/>
      <c r="T498" s="4"/>
      <c r="U498" s="4"/>
      <c r="V498" s="4"/>
      <c r="W498" s="4"/>
    </row>
    <row x14ac:dyDescent="0.25" r="499" customHeight="1" ht="12.75">
      <c r="A499" s="4"/>
      <c r="B499" s="29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29"/>
      <c r="O499" s="76"/>
      <c r="P499" s="29"/>
      <c r="Q499" s="29"/>
      <c r="R499" s="4"/>
      <c r="S499" s="32"/>
      <c r="T499" s="4"/>
      <c r="U499" s="4"/>
      <c r="V499" s="4"/>
      <c r="W499" s="4"/>
    </row>
    <row x14ac:dyDescent="0.25" r="500" customHeight="1" ht="12.75">
      <c r="A500" s="4"/>
      <c r="B500" s="29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29"/>
      <c r="O500" s="76"/>
      <c r="P500" s="29"/>
      <c r="Q500" s="29"/>
      <c r="R500" s="4"/>
      <c r="S500" s="32"/>
      <c r="T500" s="4"/>
      <c r="U500" s="4"/>
      <c r="V500" s="4"/>
      <c r="W500" s="4"/>
    </row>
    <row x14ac:dyDescent="0.25" r="501" customHeight="1" ht="12.75">
      <c r="A501" s="4"/>
      <c r="B501" s="29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29"/>
      <c r="O501" s="76"/>
      <c r="P501" s="29"/>
      <c r="Q501" s="29"/>
      <c r="R501" s="4"/>
      <c r="S501" s="32"/>
      <c r="T501" s="4"/>
      <c r="U501" s="4"/>
      <c r="V501" s="4"/>
      <c r="W501" s="4"/>
    </row>
    <row x14ac:dyDescent="0.25" r="502" customHeight="1" ht="12.75">
      <c r="A502" s="4"/>
      <c r="B502" s="29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29"/>
      <c r="O502" s="76"/>
      <c r="P502" s="29"/>
      <c r="Q502" s="29"/>
      <c r="R502" s="4"/>
      <c r="S502" s="32"/>
      <c r="T502" s="4"/>
      <c r="U502" s="4"/>
      <c r="V502" s="4"/>
      <c r="W502" s="4"/>
    </row>
    <row x14ac:dyDescent="0.25" r="503" customHeight="1" ht="12.75">
      <c r="A503" s="4"/>
      <c r="B503" s="29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29"/>
      <c r="O503" s="76"/>
      <c r="P503" s="29"/>
      <c r="Q503" s="29"/>
      <c r="R503" s="4"/>
      <c r="S503" s="32"/>
      <c r="T503" s="4"/>
      <c r="U503" s="4"/>
      <c r="V503" s="4"/>
      <c r="W503" s="4"/>
    </row>
    <row x14ac:dyDescent="0.25" r="504" customHeight="1" ht="12.75">
      <c r="A504" s="4"/>
      <c r="B504" s="29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29"/>
      <c r="O504" s="76"/>
      <c r="P504" s="29"/>
      <c r="Q504" s="29"/>
      <c r="R504" s="4"/>
      <c r="S504" s="32"/>
      <c r="T504" s="4"/>
      <c r="U504" s="4"/>
      <c r="V504" s="4"/>
      <c r="W504" s="4"/>
    </row>
    <row x14ac:dyDescent="0.25" r="505" customHeight="1" ht="12.75">
      <c r="A505" s="4"/>
      <c r="B505" s="29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29"/>
      <c r="O505" s="76"/>
      <c r="P505" s="29"/>
      <c r="Q505" s="29"/>
      <c r="R505" s="4"/>
      <c r="S505" s="32"/>
      <c r="T505" s="4"/>
      <c r="U505" s="4"/>
      <c r="V505" s="4"/>
      <c r="W505" s="4"/>
    </row>
    <row x14ac:dyDescent="0.25" r="506" customHeight="1" ht="12.75">
      <c r="A506" s="4"/>
      <c r="B506" s="29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29"/>
      <c r="O506" s="76"/>
      <c r="P506" s="29"/>
      <c r="Q506" s="29"/>
      <c r="R506" s="4"/>
      <c r="S506" s="32"/>
      <c r="T506" s="4"/>
      <c r="U506" s="4"/>
      <c r="V506" s="4"/>
      <c r="W506" s="4"/>
    </row>
    <row x14ac:dyDescent="0.25" r="507" customHeight="1" ht="12.75">
      <c r="A507" s="4"/>
      <c r="B507" s="29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29"/>
      <c r="O507" s="76"/>
      <c r="P507" s="29"/>
      <c r="Q507" s="29"/>
      <c r="R507" s="4"/>
      <c r="S507" s="32"/>
      <c r="T507" s="4"/>
      <c r="U507" s="4"/>
      <c r="V507" s="4"/>
      <c r="W507" s="4"/>
    </row>
    <row x14ac:dyDescent="0.25" r="508" customHeight="1" ht="12.75">
      <c r="A508" s="4"/>
      <c r="B508" s="29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29"/>
      <c r="O508" s="76"/>
      <c r="P508" s="29"/>
      <c r="Q508" s="29"/>
      <c r="R508" s="4"/>
      <c r="S508" s="32"/>
      <c r="T508" s="4"/>
      <c r="U508" s="4"/>
      <c r="V508" s="4"/>
      <c r="W508" s="4"/>
    </row>
    <row x14ac:dyDescent="0.25" r="509" customHeight="1" ht="12.75">
      <c r="A509" s="4"/>
      <c r="B509" s="29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29"/>
      <c r="O509" s="76"/>
      <c r="P509" s="29"/>
      <c r="Q509" s="29"/>
      <c r="R509" s="4"/>
      <c r="S509" s="32"/>
      <c r="T509" s="4"/>
      <c r="U509" s="4"/>
      <c r="V509" s="4"/>
      <c r="W509" s="4"/>
    </row>
    <row x14ac:dyDescent="0.25" r="510" customHeight="1" ht="12.75">
      <c r="A510" s="4"/>
      <c r="B510" s="29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29"/>
      <c r="O510" s="76"/>
      <c r="P510" s="29"/>
      <c r="Q510" s="29"/>
      <c r="R510" s="4"/>
      <c r="S510" s="32"/>
      <c r="T510" s="4"/>
      <c r="U510" s="4"/>
      <c r="V510" s="4"/>
      <c r="W510" s="4"/>
    </row>
    <row x14ac:dyDescent="0.25" r="511" customHeight="1" ht="12.75">
      <c r="A511" s="4"/>
      <c r="B511" s="29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29"/>
      <c r="O511" s="76"/>
      <c r="P511" s="29"/>
      <c r="Q511" s="29"/>
      <c r="R511" s="4"/>
      <c r="S511" s="32"/>
      <c r="T511" s="4"/>
      <c r="U511" s="4"/>
      <c r="V511" s="4"/>
      <c r="W511" s="4"/>
    </row>
    <row x14ac:dyDescent="0.25" r="512" customHeight="1" ht="12.75">
      <c r="A512" s="4"/>
      <c r="B512" s="29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29"/>
      <c r="O512" s="76"/>
      <c r="P512" s="29"/>
      <c r="Q512" s="29"/>
      <c r="R512" s="4"/>
      <c r="S512" s="32"/>
      <c r="T512" s="4"/>
      <c r="U512" s="4"/>
      <c r="V512" s="4"/>
      <c r="W512" s="4"/>
    </row>
    <row x14ac:dyDescent="0.25" r="513" customHeight="1" ht="12.75">
      <c r="A513" s="4"/>
      <c r="B513" s="29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29"/>
      <c r="O513" s="76"/>
      <c r="P513" s="29"/>
      <c r="Q513" s="29"/>
      <c r="R513" s="4"/>
      <c r="S513" s="32"/>
      <c r="T513" s="4"/>
      <c r="U513" s="4"/>
      <c r="V513" s="4"/>
      <c r="W513" s="4"/>
    </row>
    <row x14ac:dyDescent="0.25" r="514" customHeight="1" ht="12.75">
      <c r="A514" s="4"/>
      <c r="B514" s="29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29"/>
      <c r="O514" s="76"/>
      <c r="P514" s="29"/>
      <c r="Q514" s="29"/>
      <c r="R514" s="4"/>
      <c r="S514" s="32"/>
      <c r="T514" s="4"/>
      <c r="U514" s="4"/>
      <c r="V514" s="4"/>
      <c r="W514" s="4"/>
    </row>
    <row x14ac:dyDescent="0.25" r="515" customHeight="1" ht="12.75">
      <c r="A515" s="4"/>
      <c r="B515" s="29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29"/>
      <c r="O515" s="76"/>
      <c r="P515" s="29"/>
      <c r="Q515" s="29"/>
      <c r="R515" s="4"/>
      <c r="S515" s="32"/>
      <c r="T515" s="4"/>
      <c r="U515" s="4"/>
      <c r="V515" s="4"/>
      <c r="W515" s="4"/>
    </row>
    <row x14ac:dyDescent="0.25" r="516" customHeight="1" ht="12.75">
      <c r="A516" s="4"/>
      <c r="B516" s="29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29"/>
      <c r="O516" s="76"/>
      <c r="P516" s="29"/>
      <c r="Q516" s="29"/>
      <c r="R516" s="4"/>
      <c r="S516" s="32"/>
      <c r="T516" s="4"/>
      <c r="U516" s="4"/>
      <c r="V516" s="4"/>
      <c r="W516" s="4"/>
    </row>
    <row x14ac:dyDescent="0.25" r="517" customHeight="1" ht="12.75">
      <c r="A517" s="4"/>
      <c r="B517" s="29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29"/>
      <c r="O517" s="76"/>
      <c r="P517" s="29"/>
      <c r="Q517" s="29"/>
      <c r="R517" s="4"/>
      <c r="S517" s="32"/>
      <c r="T517" s="4"/>
      <c r="U517" s="4"/>
      <c r="V517" s="4"/>
      <c r="W517" s="4"/>
    </row>
    <row x14ac:dyDescent="0.25" r="518" customHeight="1" ht="12.75">
      <c r="A518" s="4"/>
      <c r="B518" s="29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29"/>
      <c r="O518" s="76"/>
      <c r="P518" s="29"/>
      <c r="Q518" s="29"/>
      <c r="R518" s="4"/>
      <c r="S518" s="32"/>
      <c r="T518" s="4"/>
      <c r="U518" s="4"/>
      <c r="V518" s="4"/>
      <c r="W518" s="4"/>
    </row>
    <row x14ac:dyDescent="0.25" r="519" customHeight="1" ht="12.75">
      <c r="A519" s="4"/>
      <c r="B519" s="29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29"/>
      <c r="O519" s="76"/>
      <c r="P519" s="29"/>
      <c r="Q519" s="29"/>
      <c r="R519" s="4"/>
      <c r="S519" s="32"/>
      <c r="T519" s="4"/>
      <c r="U519" s="4"/>
      <c r="V519" s="4"/>
      <c r="W519" s="4"/>
    </row>
    <row x14ac:dyDescent="0.25" r="520" customHeight="1" ht="12.75">
      <c r="A520" s="4"/>
      <c r="B520" s="29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29"/>
      <c r="O520" s="76"/>
      <c r="P520" s="29"/>
      <c r="Q520" s="29"/>
      <c r="R520" s="4"/>
      <c r="S520" s="32"/>
      <c r="T520" s="4"/>
      <c r="U520" s="4"/>
      <c r="V520" s="4"/>
      <c r="W520" s="4"/>
    </row>
    <row x14ac:dyDescent="0.25" r="521" customHeight="1" ht="12.75">
      <c r="A521" s="4"/>
      <c r="B521" s="29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29"/>
      <c r="O521" s="76"/>
      <c r="P521" s="29"/>
      <c r="Q521" s="29"/>
      <c r="R521" s="4"/>
      <c r="S521" s="32"/>
      <c r="T521" s="4"/>
      <c r="U521" s="4"/>
      <c r="V521" s="4"/>
      <c r="W521" s="4"/>
    </row>
    <row x14ac:dyDescent="0.25" r="522" customHeight="1" ht="12.75">
      <c r="A522" s="4"/>
      <c r="B522" s="29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29"/>
      <c r="O522" s="76"/>
      <c r="P522" s="29"/>
      <c r="Q522" s="29"/>
      <c r="R522" s="4"/>
      <c r="S522" s="32"/>
      <c r="T522" s="4"/>
      <c r="U522" s="4"/>
      <c r="V522" s="4"/>
      <c r="W522" s="4"/>
    </row>
    <row x14ac:dyDescent="0.25" r="523" customHeight="1" ht="12.75">
      <c r="A523" s="4"/>
      <c r="B523" s="29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29"/>
      <c r="O523" s="76"/>
      <c r="P523" s="29"/>
      <c r="Q523" s="29"/>
      <c r="R523" s="4"/>
      <c r="S523" s="32"/>
      <c r="T523" s="4"/>
      <c r="U523" s="4"/>
      <c r="V523" s="4"/>
      <c r="W523" s="4"/>
    </row>
    <row x14ac:dyDescent="0.25" r="524" customHeight="1" ht="12.75">
      <c r="A524" s="4"/>
      <c r="B524" s="29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29"/>
      <c r="O524" s="76"/>
      <c r="P524" s="29"/>
      <c r="Q524" s="29"/>
      <c r="R524" s="4"/>
      <c r="S524" s="32"/>
      <c r="T524" s="4"/>
      <c r="U524" s="4"/>
      <c r="V524" s="4"/>
      <c r="W524" s="4"/>
    </row>
    <row x14ac:dyDescent="0.25" r="525" customHeight="1" ht="12.75">
      <c r="A525" s="4"/>
      <c r="B525" s="29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29"/>
      <c r="O525" s="76"/>
      <c r="P525" s="29"/>
      <c r="Q525" s="29"/>
      <c r="R525" s="4"/>
      <c r="S525" s="32"/>
      <c r="T525" s="4"/>
      <c r="U525" s="4"/>
      <c r="V525" s="4"/>
      <c r="W525" s="4"/>
    </row>
    <row x14ac:dyDescent="0.25" r="526" customHeight="1" ht="12.75">
      <c r="A526" s="4"/>
      <c r="B526" s="29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29"/>
      <c r="O526" s="76"/>
      <c r="P526" s="29"/>
      <c r="Q526" s="29"/>
      <c r="R526" s="4"/>
      <c r="S526" s="32"/>
      <c r="T526" s="4"/>
      <c r="U526" s="4"/>
      <c r="V526" s="4"/>
      <c r="W526" s="4"/>
    </row>
    <row x14ac:dyDescent="0.25" r="527" customHeight="1" ht="12.75">
      <c r="A527" s="4"/>
      <c r="B527" s="29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29"/>
      <c r="O527" s="76"/>
      <c r="P527" s="29"/>
      <c r="Q527" s="29"/>
      <c r="R527" s="4"/>
      <c r="S527" s="32"/>
      <c r="T527" s="4"/>
      <c r="U527" s="4"/>
      <c r="V527" s="4"/>
      <c r="W527" s="4"/>
    </row>
    <row x14ac:dyDescent="0.25" r="528" customHeight="1" ht="12.75">
      <c r="A528" s="4"/>
      <c r="B528" s="29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29"/>
      <c r="O528" s="76"/>
      <c r="P528" s="29"/>
      <c r="Q528" s="29"/>
      <c r="R528" s="4"/>
      <c r="S528" s="32"/>
      <c r="T528" s="4"/>
      <c r="U528" s="4"/>
      <c r="V528" s="4"/>
      <c r="W528" s="4"/>
    </row>
    <row x14ac:dyDescent="0.25" r="529" customHeight="1" ht="12.75">
      <c r="A529" s="4"/>
      <c r="B529" s="29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29"/>
      <c r="O529" s="76"/>
      <c r="P529" s="29"/>
      <c r="Q529" s="29"/>
      <c r="R529" s="4"/>
      <c r="S529" s="32"/>
      <c r="T529" s="4"/>
      <c r="U529" s="4"/>
      <c r="V529" s="4"/>
      <c r="W529" s="4"/>
    </row>
    <row x14ac:dyDescent="0.25" r="530" customHeight="1" ht="12.75">
      <c r="A530" s="4"/>
      <c r="B530" s="29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29"/>
      <c r="O530" s="76"/>
      <c r="P530" s="29"/>
      <c r="Q530" s="29"/>
      <c r="R530" s="4"/>
      <c r="S530" s="32"/>
      <c r="T530" s="4"/>
      <c r="U530" s="4"/>
      <c r="V530" s="4"/>
      <c r="W530" s="4"/>
    </row>
    <row x14ac:dyDescent="0.25" r="531" customHeight="1" ht="12.75">
      <c r="A531" s="4"/>
      <c r="B531" s="29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29"/>
      <c r="O531" s="76"/>
      <c r="P531" s="29"/>
      <c r="Q531" s="29"/>
      <c r="R531" s="4"/>
      <c r="S531" s="32"/>
      <c r="T531" s="4"/>
      <c r="U531" s="4"/>
      <c r="V531" s="4"/>
      <c r="W531" s="4"/>
    </row>
    <row x14ac:dyDescent="0.25" r="532" customHeight="1" ht="12.75">
      <c r="A532" s="4"/>
      <c r="B532" s="29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29"/>
      <c r="O532" s="76"/>
      <c r="P532" s="29"/>
      <c r="Q532" s="29"/>
      <c r="R532" s="4"/>
      <c r="S532" s="32"/>
      <c r="T532" s="4"/>
      <c r="U532" s="4"/>
      <c r="V532" s="4"/>
      <c r="W532" s="4"/>
    </row>
    <row x14ac:dyDescent="0.25" r="533" customHeight="1" ht="12.75">
      <c r="A533" s="4"/>
      <c r="B533" s="29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29"/>
      <c r="O533" s="76"/>
      <c r="P533" s="29"/>
      <c r="Q533" s="29"/>
      <c r="R533" s="4"/>
      <c r="S533" s="32"/>
      <c r="T533" s="4"/>
      <c r="U533" s="4"/>
      <c r="V533" s="4"/>
      <c r="W533" s="4"/>
    </row>
    <row x14ac:dyDescent="0.25" r="534" customHeight="1" ht="12.75">
      <c r="A534" s="4"/>
      <c r="B534" s="29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29"/>
      <c r="O534" s="76"/>
      <c r="P534" s="29"/>
      <c r="Q534" s="29"/>
      <c r="R534" s="4"/>
      <c r="S534" s="32"/>
      <c r="T534" s="4"/>
      <c r="U534" s="4"/>
      <c r="V534" s="4"/>
      <c r="W534" s="4"/>
    </row>
    <row x14ac:dyDescent="0.25" r="535" customHeight="1" ht="12.75">
      <c r="A535" s="4"/>
      <c r="B535" s="29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29"/>
      <c r="O535" s="76"/>
      <c r="P535" s="29"/>
      <c r="Q535" s="29"/>
      <c r="R535" s="4"/>
      <c r="S535" s="32"/>
      <c r="T535" s="4"/>
      <c r="U535" s="4"/>
      <c r="V535" s="4"/>
      <c r="W535" s="4"/>
    </row>
    <row x14ac:dyDescent="0.25" r="536" customHeight="1" ht="12.75">
      <c r="A536" s="4"/>
      <c r="B536" s="29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29"/>
      <c r="O536" s="76"/>
      <c r="P536" s="29"/>
      <c r="Q536" s="29"/>
      <c r="R536" s="4"/>
      <c r="S536" s="32"/>
      <c r="T536" s="4"/>
      <c r="U536" s="4"/>
      <c r="V536" s="4"/>
      <c r="W536" s="4"/>
    </row>
    <row x14ac:dyDescent="0.25" r="537" customHeight="1" ht="12.75">
      <c r="A537" s="4"/>
      <c r="B537" s="29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29"/>
      <c r="O537" s="76"/>
      <c r="P537" s="29"/>
      <c r="Q537" s="29"/>
      <c r="R537" s="4"/>
      <c r="S537" s="32"/>
      <c r="T537" s="4"/>
      <c r="U537" s="4"/>
      <c r="V537" s="4"/>
      <c r="W537" s="4"/>
    </row>
    <row x14ac:dyDescent="0.25" r="538" customHeight="1" ht="12.75">
      <c r="A538" s="4"/>
      <c r="B538" s="29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29"/>
      <c r="O538" s="76"/>
      <c r="P538" s="29"/>
      <c r="Q538" s="29"/>
      <c r="R538" s="4"/>
      <c r="S538" s="32"/>
      <c r="T538" s="4"/>
      <c r="U538" s="4"/>
      <c r="V538" s="4"/>
      <c r="W538" s="4"/>
    </row>
    <row x14ac:dyDescent="0.25" r="539" customHeight="1" ht="12.75">
      <c r="A539" s="4"/>
      <c r="B539" s="29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29"/>
      <c r="O539" s="76"/>
      <c r="P539" s="29"/>
      <c r="Q539" s="29"/>
      <c r="R539" s="4"/>
      <c r="S539" s="32"/>
      <c r="T539" s="4"/>
      <c r="U539" s="4"/>
      <c r="V539" s="4"/>
      <c r="W539" s="4"/>
    </row>
    <row x14ac:dyDescent="0.25" r="540" customHeight="1" ht="12.75">
      <c r="A540" s="4"/>
      <c r="B540" s="29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29"/>
      <c r="O540" s="76"/>
      <c r="P540" s="29"/>
      <c r="Q540" s="29"/>
      <c r="R540" s="4"/>
      <c r="S540" s="32"/>
      <c r="T540" s="4"/>
      <c r="U540" s="4"/>
      <c r="V540" s="4"/>
      <c r="W540" s="4"/>
    </row>
    <row x14ac:dyDescent="0.25" r="541" customHeight="1" ht="12.75">
      <c r="A541" s="4"/>
      <c r="B541" s="29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29"/>
      <c r="O541" s="76"/>
      <c r="P541" s="29"/>
      <c r="Q541" s="29"/>
      <c r="R541" s="4"/>
      <c r="S541" s="32"/>
      <c r="T541" s="4"/>
      <c r="U541" s="4"/>
      <c r="V541" s="4"/>
      <c r="W541" s="4"/>
    </row>
    <row x14ac:dyDescent="0.25" r="542" customHeight="1" ht="12.75">
      <c r="A542" s="4"/>
      <c r="B542" s="29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29"/>
      <c r="O542" s="76"/>
      <c r="P542" s="29"/>
      <c r="Q542" s="29"/>
      <c r="R542" s="4"/>
      <c r="S542" s="32"/>
      <c r="T542" s="4"/>
      <c r="U542" s="4"/>
      <c r="V542" s="4"/>
      <c r="W542" s="4"/>
    </row>
    <row x14ac:dyDescent="0.25" r="543" customHeight="1" ht="12.75">
      <c r="A543" s="4"/>
      <c r="B543" s="29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29"/>
      <c r="O543" s="76"/>
      <c r="P543" s="29"/>
      <c r="Q543" s="29"/>
      <c r="R543" s="4"/>
      <c r="S543" s="32"/>
      <c r="T543" s="4"/>
      <c r="U543" s="4"/>
      <c r="V543" s="4"/>
      <c r="W543" s="4"/>
    </row>
    <row x14ac:dyDescent="0.25" r="544" customHeight="1" ht="12.75">
      <c r="A544" s="4"/>
      <c r="B544" s="29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29"/>
      <c r="O544" s="76"/>
      <c r="P544" s="29"/>
      <c r="Q544" s="29"/>
      <c r="R544" s="4"/>
      <c r="S544" s="32"/>
      <c r="T544" s="4"/>
      <c r="U544" s="4"/>
      <c r="V544" s="4"/>
      <c r="W544" s="4"/>
    </row>
    <row x14ac:dyDescent="0.25" r="545" customHeight="1" ht="12.75">
      <c r="A545" s="4"/>
      <c r="B545" s="29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29"/>
      <c r="O545" s="76"/>
      <c r="P545" s="29"/>
      <c r="Q545" s="29"/>
      <c r="R545" s="4"/>
      <c r="S545" s="32"/>
      <c r="T545" s="4"/>
      <c r="U545" s="4"/>
      <c r="V545" s="4"/>
      <c r="W545" s="4"/>
    </row>
    <row x14ac:dyDescent="0.25" r="546" customHeight="1" ht="12.75">
      <c r="A546" s="4"/>
      <c r="B546" s="29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29"/>
      <c r="O546" s="76"/>
      <c r="P546" s="29"/>
      <c r="Q546" s="29"/>
      <c r="R546" s="4"/>
      <c r="S546" s="32"/>
      <c r="T546" s="4"/>
      <c r="U546" s="4"/>
      <c r="V546" s="4"/>
      <c r="W546" s="4"/>
    </row>
    <row x14ac:dyDescent="0.25" r="547" customHeight="1" ht="12.75">
      <c r="A547" s="4"/>
      <c r="B547" s="29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29"/>
      <c r="O547" s="76"/>
      <c r="P547" s="29"/>
      <c r="Q547" s="29"/>
      <c r="R547" s="4"/>
      <c r="S547" s="32"/>
      <c r="T547" s="4"/>
      <c r="U547" s="4"/>
      <c r="V547" s="4"/>
      <c r="W547" s="4"/>
    </row>
    <row x14ac:dyDescent="0.25" r="548" customHeight="1" ht="12.75">
      <c r="A548" s="4"/>
      <c r="B548" s="29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29"/>
      <c r="O548" s="76"/>
      <c r="P548" s="29"/>
      <c r="Q548" s="29"/>
      <c r="R548" s="4"/>
      <c r="S548" s="32"/>
      <c r="T548" s="4"/>
      <c r="U548" s="4"/>
      <c r="V548" s="4"/>
      <c r="W548" s="4"/>
    </row>
    <row x14ac:dyDescent="0.25" r="549" customHeight="1" ht="12.75">
      <c r="A549" s="4"/>
      <c r="B549" s="29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29"/>
      <c r="O549" s="76"/>
      <c r="P549" s="29"/>
      <c r="Q549" s="29"/>
      <c r="R549" s="4"/>
      <c r="S549" s="32"/>
      <c r="T549" s="4"/>
      <c r="U549" s="4"/>
      <c r="V549" s="4"/>
      <c r="W549" s="4"/>
    </row>
    <row x14ac:dyDescent="0.25" r="550" customHeight="1" ht="12.75">
      <c r="A550" s="4"/>
      <c r="B550" s="29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29"/>
      <c r="O550" s="76"/>
      <c r="P550" s="29"/>
      <c r="Q550" s="29"/>
      <c r="R550" s="4"/>
      <c r="S550" s="32"/>
      <c r="T550" s="4"/>
      <c r="U550" s="4"/>
      <c r="V550" s="4"/>
      <c r="W550" s="4"/>
    </row>
    <row x14ac:dyDescent="0.25" r="551" customHeight="1" ht="12.75">
      <c r="A551" s="4"/>
      <c r="B551" s="29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29"/>
      <c r="O551" s="76"/>
      <c r="P551" s="29"/>
      <c r="Q551" s="29"/>
      <c r="R551" s="4"/>
      <c r="S551" s="32"/>
      <c r="T551" s="4"/>
      <c r="U551" s="4"/>
      <c r="V551" s="4"/>
      <c r="W551" s="4"/>
    </row>
    <row x14ac:dyDescent="0.25" r="552" customHeight="1" ht="12.75">
      <c r="A552" s="4"/>
      <c r="B552" s="29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29"/>
      <c r="O552" s="76"/>
      <c r="P552" s="29"/>
      <c r="Q552" s="29"/>
      <c r="R552" s="4"/>
      <c r="S552" s="32"/>
      <c r="T552" s="4"/>
      <c r="U552" s="4"/>
      <c r="V552" s="4"/>
      <c r="W552" s="4"/>
    </row>
    <row x14ac:dyDescent="0.25" r="553" customHeight="1" ht="12.75">
      <c r="A553" s="4"/>
      <c r="B553" s="29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29"/>
      <c r="O553" s="76"/>
      <c r="P553" s="29"/>
      <c r="Q553" s="29"/>
      <c r="R553" s="4"/>
      <c r="S553" s="32"/>
      <c r="T553" s="4"/>
      <c r="U553" s="4"/>
      <c r="V553" s="4"/>
      <c r="W553" s="4"/>
    </row>
    <row x14ac:dyDescent="0.25" r="554" customHeight="1" ht="12.75">
      <c r="A554" s="4"/>
      <c r="B554" s="29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29"/>
      <c r="O554" s="76"/>
      <c r="P554" s="29"/>
      <c r="Q554" s="29"/>
      <c r="R554" s="4"/>
      <c r="S554" s="32"/>
      <c r="T554" s="4"/>
      <c r="U554" s="4"/>
      <c r="V554" s="4"/>
      <c r="W554" s="4"/>
    </row>
    <row x14ac:dyDescent="0.25" r="555" customHeight="1" ht="12.75">
      <c r="A555" s="4"/>
      <c r="B555" s="29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29"/>
      <c r="O555" s="76"/>
      <c r="P555" s="29"/>
      <c r="Q555" s="29"/>
      <c r="R555" s="4"/>
      <c r="S555" s="32"/>
      <c r="T555" s="4"/>
      <c r="U555" s="4"/>
      <c r="V555" s="4"/>
      <c r="W555" s="4"/>
    </row>
    <row x14ac:dyDescent="0.25" r="556" customHeight="1" ht="12.75">
      <c r="A556" s="4"/>
      <c r="B556" s="29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29"/>
      <c r="O556" s="76"/>
      <c r="P556" s="29"/>
      <c r="Q556" s="29"/>
      <c r="R556" s="4"/>
      <c r="S556" s="32"/>
      <c r="T556" s="4"/>
      <c r="U556" s="4"/>
      <c r="V556" s="4"/>
      <c r="W556" s="4"/>
    </row>
    <row x14ac:dyDescent="0.25" r="557" customHeight="1" ht="12.75">
      <c r="A557" s="4"/>
      <c r="B557" s="29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29"/>
      <c r="O557" s="76"/>
      <c r="P557" s="29"/>
      <c r="Q557" s="29"/>
      <c r="R557" s="4"/>
      <c r="S557" s="32"/>
      <c r="T557" s="4"/>
      <c r="U557" s="4"/>
      <c r="V557" s="4"/>
      <c r="W557" s="4"/>
    </row>
    <row x14ac:dyDescent="0.25" r="558" customHeight="1" ht="12.75">
      <c r="A558" s="4"/>
      <c r="B558" s="29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29"/>
      <c r="O558" s="76"/>
      <c r="P558" s="29"/>
      <c r="Q558" s="29"/>
      <c r="R558" s="4"/>
      <c r="S558" s="32"/>
      <c r="T558" s="4"/>
      <c r="U558" s="4"/>
      <c r="V558" s="4"/>
      <c r="W558" s="4"/>
    </row>
    <row x14ac:dyDescent="0.25" r="559" customHeight="1" ht="12.75">
      <c r="A559" s="4"/>
      <c r="B559" s="29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29"/>
      <c r="O559" s="76"/>
      <c r="P559" s="29"/>
      <c r="Q559" s="29"/>
      <c r="R559" s="4"/>
      <c r="S559" s="32"/>
      <c r="T559" s="4"/>
      <c r="U559" s="4"/>
      <c r="V559" s="4"/>
      <c r="W559" s="4"/>
    </row>
    <row x14ac:dyDescent="0.25" r="560" customHeight="1" ht="12.75">
      <c r="A560" s="4"/>
      <c r="B560" s="29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29"/>
      <c r="O560" s="76"/>
      <c r="P560" s="29"/>
      <c r="Q560" s="29"/>
      <c r="R560" s="4"/>
      <c r="S560" s="32"/>
      <c r="T560" s="4"/>
      <c r="U560" s="4"/>
      <c r="V560" s="4"/>
      <c r="W560" s="4"/>
    </row>
    <row x14ac:dyDescent="0.25" r="561" customHeight="1" ht="12.75">
      <c r="A561" s="4"/>
      <c r="B561" s="29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29"/>
      <c r="O561" s="76"/>
      <c r="P561" s="29"/>
      <c r="Q561" s="29"/>
      <c r="R561" s="4"/>
      <c r="S561" s="32"/>
      <c r="T561" s="4"/>
      <c r="U561" s="4"/>
      <c r="V561" s="4"/>
      <c r="W561" s="4"/>
    </row>
    <row x14ac:dyDescent="0.25" r="562" customHeight="1" ht="12.75">
      <c r="A562" s="4"/>
      <c r="B562" s="29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29"/>
      <c r="O562" s="76"/>
      <c r="P562" s="29"/>
      <c r="Q562" s="29"/>
      <c r="R562" s="4"/>
      <c r="S562" s="32"/>
      <c r="T562" s="4"/>
      <c r="U562" s="4"/>
      <c r="V562" s="4"/>
      <c r="W562" s="4"/>
    </row>
    <row x14ac:dyDescent="0.25" r="563" customHeight="1" ht="12.75">
      <c r="A563" s="4"/>
      <c r="B563" s="29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29"/>
      <c r="O563" s="76"/>
      <c r="P563" s="29"/>
      <c r="Q563" s="29"/>
      <c r="R563" s="4"/>
      <c r="S563" s="32"/>
      <c r="T563" s="4"/>
      <c r="U563" s="4"/>
      <c r="V563" s="4"/>
      <c r="W563" s="4"/>
    </row>
    <row x14ac:dyDescent="0.25" r="564" customHeight="1" ht="12.75">
      <c r="A564" s="4"/>
      <c r="B564" s="29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29"/>
      <c r="O564" s="76"/>
      <c r="P564" s="29"/>
      <c r="Q564" s="29"/>
      <c r="R564" s="4"/>
      <c r="S564" s="32"/>
      <c r="T564" s="4"/>
      <c r="U564" s="4"/>
      <c r="V564" s="4"/>
      <c r="W564" s="4"/>
    </row>
    <row x14ac:dyDescent="0.25" r="565" customHeight="1" ht="12.75">
      <c r="A565" s="4"/>
      <c r="B565" s="29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29"/>
      <c r="O565" s="76"/>
      <c r="P565" s="29"/>
      <c r="Q565" s="29"/>
      <c r="R565" s="4"/>
      <c r="S565" s="32"/>
      <c r="T565" s="4"/>
      <c r="U565" s="4"/>
      <c r="V565" s="4"/>
      <c r="W565" s="4"/>
    </row>
    <row x14ac:dyDescent="0.25" r="566" customHeight="1" ht="12.75">
      <c r="A566" s="4"/>
      <c r="B566" s="29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29"/>
      <c r="O566" s="76"/>
      <c r="P566" s="29"/>
      <c r="Q566" s="29"/>
      <c r="R566" s="4"/>
      <c r="S566" s="32"/>
      <c r="T566" s="4"/>
      <c r="U566" s="4"/>
      <c r="V566" s="4"/>
      <c r="W566" s="4"/>
    </row>
    <row x14ac:dyDescent="0.25" r="567" customHeight="1" ht="12.75">
      <c r="A567" s="4"/>
      <c r="B567" s="29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29"/>
      <c r="O567" s="76"/>
      <c r="P567" s="29"/>
      <c r="Q567" s="29"/>
      <c r="R567" s="4"/>
      <c r="S567" s="32"/>
      <c r="T567" s="4"/>
      <c r="U567" s="4"/>
      <c r="V567" s="4"/>
      <c r="W567" s="4"/>
    </row>
    <row x14ac:dyDescent="0.25" r="568" customHeight="1" ht="12.75">
      <c r="A568" s="4"/>
      <c r="B568" s="29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29"/>
      <c r="O568" s="76"/>
      <c r="P568" s="29"/>
      <c r="Q568" s="29"/>
      <c r="R568" s="4"/>
      <c r="S568" s="32"/>
      <c r="T568" s="4"/>
      <c r="U568" s="4"/>
      <c r="V568" s="4"/>
      <c r="W568" s="4"/>
    </row>
    <row x14ac:dyDescent="0.25" r="569" customHeight="1" ht="12.75">
      <c r="A569" s="4"/>
      <c r="B569" s="29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29"/>
      <c r="O569" s="76"/>
      <c r="P569" s="29"/>
      <c r="Q569" s="29"/>
      <c r="R569" s="4"/>
      <c r="S569" s="32"/>
      <c r="T569" s="4"/>
      <c r="U569" s="4"/>
      <c r="V569" s="4"/>
      <c r="W569" s="4"/>
    </row>
    <row x14ac:dyDescent="0.25" r="570" customHeight="1" ht="12.75">
      <c r="A570" s="4"/>
      <c r="B570" s="29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29"/>
      <c r="O570" s="76"/>
      <c r="P570" s="29"/>
      <c r="Q570" s="29"/>
      <c r="R570" s="4"/>
      <c r="S570" s="32"/>
      <c r="T570" s="4"/>
      <c r="U570" s="4"/>
      <c r="V570" s="4"/>
      <c r="W570" s="4"/>
    </row>
    <row x14ac:dyDescent="0.25" r="571" customHeight="1" ht="12.75">
      <c r="A571" s="4"/>
      <c r="B571" s="29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29"/>
      <c r="O571" s="76"/>
      <c r="P571" s="29"/>
      <c r="Q571" s="29"/>
      <c r="R571" s="4"/>
      <c r="S571" s="32"/>
      <c r="T571" s="4"/>
      <c r="U571" s="4"/>
      <c r="V571" s="4"/>
      <c r="W571" s="4"/>
    </row>
    <row x14ac:dyDescent="0.25" r="572" customHeight="1" ht="12.75">
      <c r="A572" s="4"/>
      <c r="B572" s="29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29"/>
      <c r="O572" s="76"/>
      <c r="P572" s="29"/>
      <c r="Q572" s="29"/>
      <c r="R572" s="4"/>
      <c r="S572" s="32"/>
      <c r="T572" s="4"/>
      <c r="U572" s="4"/>
      <c r="V572" s="4"/>
      <c r="W572" s="4"/>
    </row>
    <row x14ac:dyDescent="0.25" r="573" customHeight="1" ht="12.75">
      <c r="A573" s="4"/>
      <c r="B573" s="29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29"/>
      <c r="O573" s="76"/>
      <c r="P573" s="29"/>
      <c r="Q573" s="29"/>
      <c r="R573" s="4"/>
      <c r="S573" s="32"/>
      <c r="T573" s="4"/>
      <c r="U573" s="4"/>
      <c r="V573" s="4"/>
      <c r="W573" s="4"/>
    </row>
    <row x14ac:dyDescent="0.25" r="574" customHeight="1" ht="12.75">
      <c r="A574" s="4"/>
      <c r="B574" s="29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29"/>
      <c r="O574" s="76"/>
      <c r="P574" s="29"/>
      <c r="Q574" s="29"/>
      <c r="R574" s="4"/>
      <c r="S574" s="32"/>
      <c r="T574" s="4"/>
      <c r="U574" s="4"/>
      <c r="V574" s="4"/>
      <c r="W574" s="4"/>
    </row>
    <row x14ac:dyDescent="0.25" r="575" customHeight="1" ht="12.75">
      <c r="A575" s="4"/>
      <c r="B575" s="29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29"/>
      <c r="O575" s="76"/>
      <c r="P575" s="29"/>
      <c r="Q575" s="29"/>
      <c r="R575" s="4"/>
      <c r="S575" s="32"/>
      <c r="T575" s="4"/>
      <c r="U575" s="4"/>
      <c r="V575" s="4"/>
      <c r="W575" s="4"/>
    </row>
    <row x14ac:dyDescent="0.25" r="576" customHeight="1" ht="12.75">
      <c r="A576" s="4"/>
      <c r="B576" s="29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29"/>
      <c r="O576" s="76"/>
      <c r="P576" s="29"/>
      <c r="Q576" s="29"/>
      <c r="R576" s="4"/>
      <c r="S576" s="32"/>
      <c r="T576" s="4"/>
      <c r="U576" s="4"/>
      <c r="V576" s="4"/>
      <c r="W576" s="4"/>
    </row>
    <row x14ac:dyDescent="0.25" r="577" customHeight="1" ht="12.75">
      <c r="A577" s="4"/>
      <c r="B577" s="29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29"/>
      <c r="O577" s="76"/>
      <c r="P577" s="29"/>
      <c r="Q577" s="29"/>
      <c r="R577" s="4"/>
      <c r="S577" s="32"/>
      <c r="T577" s="4"/>
      <c r="U577" s="4"/>
      <c r="V577" s="4"/>
      <c r="W577" s="4"/>
    </row>
    <row x14ac:dyDescent="0.25" r="578" customHeight="1" ht="12.75">
      <c r="A578" s="4"/>
      <c r="B578" s="29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29"/>
      <c r="O578" s="76"/>
      <c r="P578" s="29"/>
      <c r="Q578" s="29"/>
      <c r="R578" s="4"/>
      <c r="S578" s="32"/>
      <c r="T578" s="4"/>
      <c r="U578" s="4"/>
      <c r="V578" s="4"/>
      <c r="W578" s="4"/>
    </row>
    <row x14ac:dyDescent="0.25" r="579" customHeight="1" ht="12.75">
      <c r="A579" s="4"/>
      <c r="B579" s="29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29"/>
      <c r="O579" s="76"/>
      <c r="P579" s="29"/>
      <c r="Q579" s="29"/>
      <c r="R579" s="4"/>
      <c r="S579" s="32"/>
      <c r="T579" s="4"/>
      <c r="U579" s="4"/>
      <c r="V579" s="4"/>
      <c r="W579" s="4"/>
    </row>
    <row x14ac:dyDescent="0.25" r="580" customHeight="1" ht="12.75">
      <c r="A580" s="4"/>
      <c r="B580" s="29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29"/>
      <c r="O580" s="76"/>
      <c r="P580" s="29"/>
      <c r="Q580" s="29"/>
      <c r="R580" s="4"/>
      <c r="S580" s="32"/>
      <c r="T580" s="4"/>
      <c r="U580" s="4"/>
      <c r="V580" s="4"/>
      <c r="W580" s="4"/>
    </row>
    <row x14ac:dyDescent="0.25" r="581" customHeight="1" ht="12.75">
      <c r="A581" s="4"/>
      <c r="B581" s="29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29"/>
      <c r="O581" s="76"/>
      <c r="P581" s="29"/>
      <c r="Q581" s="29"/>
      <c r="R581" s="4"/>
      <c r="S581" s="32"/>
      <c r="T581" s="4"/>
      <c r="U581" s="4"/>
      <c r="V581" s="4"/>
      <c r="W581" s="4"/>
    </row>
    <row x14ac:dyDescent="0.25" r="582" customHeight="1" ht="12.75">
      <c r="A582" s="4"/>
      <c r="B582" s="29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29"/>
      <c r="O582" s="76"/>
      <c r="P582" s="29"/>
      <c r="Q582" s="29"/>
      <c r="R582" s="4"/>
      <c r="S582" s="32"/>
      <c r="T582" s="4"/>
      <c r="U582" s="4"/>
      <c r="V582" s="4"/>
      <c r="W582" s="4"/>
    </row>
    <row x14ac:dyDescent="0.25" r="583" customHeight="1" ht="12.75">
      <c r="A583" s="4"/>
      <c r="B583" s="29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29"/>
      <c r="O583" s="76"/>
      <c r="P583" s="29"/>
      <c r="Q583" s="29"/>
      <c r="R583" s="4"/>
      <c r="S583" s="32"/>
      <c r="T583" s="4"/>
      <c r="U583" s="4"/>
      <c r="V583" s="4"/>
      <c r="W583" s="4"/>
    </row>
    <row x14ac:dyDescent="0.25" r="584" customHeight="1" ht="12.75">
      <c r="A584" s="4"/>
      <c r="B584" s="29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29"/>
      <c r="O584" s="76"/>
      <c r="P584" s="29"/>
      <c r="Q584" s="29"/>
      <c r="R584" s="4"/>
      <c r="S584" s="32"/>
      <c r="T584" s="4"/>
      <c r="U584" s="4"/>
      <c r="V584" s="4"/>
      <c r="W584" s="4"/>
    </row>
    <row x14ac:dyDescent="0.25" r="585" customHeight="1" ht="12.75">
      <c r="A585" s="4"/>
      <c r="B585" s="29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29"/>
      <c r="O585" s="76"/>
      <c r="P585" s="29"/>
      <c r="Q585" s="29"/>
      <c r="R585" s="4"/>
      <c r="S585" s="32"/>
      <c r="T585" s="4"/>
      <c r="U585" s="4"/>
      <c r="V585" s="4"/>
      <c r="W585" s="4"/>
    </row>
    <row x14ac:dyDescent="0.25" r="586" customHeight="1" ht="12.75">
      <c r="A586" s="4"/>
      <c r="B586" s="29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29"/>
      <c r="O586" s="76"/>
      <c r="P586" s="29"/>
      <c r="Q586" s="29"/>
      <c r="R586" s="4"/>
      <c r="S586" s="32"/>
      <c r="T586" s="4"/>
      <c r="U586" s="4"/>
      <c r="V586" s="4"/>
      <c r="W586" s="4"/>
    </row>
    <row x14ac:dyDescent="0.25" r="587" customHeight="1" ht="12.75">
      <c r="A587" s="4"/>
      <c r="B587" s="29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29"/>
      <c r="O587" s="76"/>
      <c r="P587" s="29"/>
      <c r="Q587" s="29"/>
      <c r="R587" s="4"/>
      <c r="S587" s="32"/>
      <c r="T587" s="4"/>
      <c r="U587" s="4"/>
      <c r="V587" s="4"/>
      <c r="W587" s="4"/>
    </row>
    <row x14ac:dyDescent="0.25" r="588" customHeight="1" ht="12.75">
      <c r="A588" s="4"/>
      <c r="B588" s="29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29"/>
      <c r="O588" s="76"/>
      <c r="P588" s="29"/>
      <c r="Q588" s="29"/>
      <c r="R588" s="4"/>
      <c r="S588" s="32"/>
      <c r="T588" s="4"/>
      <c r="U588" s="4"/>
      <c r="V588" s="4"/>
      <c r="W588" s="4"/>
    </row>
    <row x14ac:dyDescent="0.25" r="589" customHeight="1" ht="12.75">
      <c r="A589" s="4"/>
      <c r="B589" s="29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29"/>
      <c r="O589" s="76"/>
      <c r="P589" s="29"/>
      <c r="Q589" s="29"/>
      <c r="R589" s="4"/>
      <c r="S589" s="32"/>
      <c r="T589" s="4"/>
      <c r="U589" s="4"/>
      <c r="V589" s="4"/>
      <c r="W589" s="4"/>
    </row>
    <row x14ac:dyDescent="0.25" r="590" customHeight="1" ht="12.75">
      <c r="A590" s="4"/>
      <c r="B590" s="29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29"/>
      <c r="O590" s="76"/>
      <c r="P590" s="29"/>
      <c r="Q590" s="29"/>
      <c r="R590" s="4"/>
      <c r="S590" s="32"/>
      <c r="T590" s="4"/>
      <c r="U590" s="4"/>
      <c r="V590" s="4"/>
      <c r="W590" s="4"/>
    </row>
    <row x14ac:dyDescent="0.25" r="591" customHeight="1" ht="12.75">
      <c r="A591" s="4"/>
      <c r="B591" s="29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29"/>
      <c r="O591" s="76"/>
      <c r="P591" s="29"/>
      <c r="Q591" s="29"/>
      <c r="R591" s="4"/>
      <c r="S591" s="32"/>
      <c r="T591" s="4"/>
      <c r="U591" s="4"/>
      <c r="V591" s="4"/>
      <c r="W591" s="4"/>
    </row>
    <row x14ac:dyDescent="0.25" r="592" customHeight="1" ht="12.75">
      <c r="A592" s="4"/>
      <c r="B592" s="29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29"/>
      <c r="O592" s="76"/>
      <c r="P592" s="29"/>
      <c r="Q592" s="29"/>
      <c r="R592" s="4"/>
      <c r="S592" s="32"/>
      <c r="T592" s="4"/>
      <c r="U592" s="4"/>
      <c r="V592" s="4"/>
      <c r="W592" s="4"/>
    </row>
    <row x14ac:dyDescent="0.25" r="593" customHeight="1" ht="12.75">
      <c r="A593" s="4"/>
      <c r="B593" s="29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29"/>
      <c r="O593" s="76"/>
      <c r="P593" s="29"/>
      <c r="Q593" s="29"/>
      <c r="R593" s="4"/>
      <c r="S593" s="32"/>
      <c r="T593" s="4"/>
      <c r="U593" s="4"/>
      <c r="V593" s="4"/>
      <c r="W593" s="4"/>
    </row>
    <row x14ac:dyDescent="0.25" r="594" customHeight="1" ht="12.75">
      <c r="A594" s="4"/>
      <c r="B594" s="29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29"/>
      <c r="O594" s="76"/>
      <c r="P594" s="29"/>
      <c r="Q594" s="29"/>
      <c r="R594" s="4"/>
      <c r="S594" s="32"/>
      <c r="T594" s="4"/>
      <c r="U594" s="4"/>
      <c r="V594" s="4"/>
      <c r="W594" s="4"/>
    </row>
    <row x14ac:dyDescent="0.25" r="595" customHeight="1" ht="12.75">
      <c r="A595" s="4"/>
      <c r="B595" s="29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29"/>
      <c r="O595" s="76"/>
      <c r="P595" s="29"/>
      <c r="Q595" s="29"/>
      <c r="R595" s="4"/>
      <c r="S595" s="32"/>
      <c r="T595" s="4"/>
      <c r="U595" s="4"/>
      <c r="V595" s="4"/>
      <c r="W595" s="4"/>
    </row>
    <row x14ac:dyDescent="0.25" r="596" customHeight="1" ht="12.75">
      <c r="A596" s="4"/>
      <c r="B596" s="29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29"/>
      <c r="O596" s="76"/>
      <c r="P596" s="29"/>
      <c r="Q596" s="29"/>
      <c r="R596" s="4"/>
      <c r="S596" s="32"/>
      <c r="T596" s="4"/>
      <c r="U596" s="4"/>
      <c r="V596" s="4"/>
      <c r="W596" s="4"/>
    </row>
    <row x14ac:dyDescent="0.25" r="597" customHeight="1" ht="12.75">
      <c r="A597" s="4"/>
      <c r="B597" s="29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29"/>
      <c r="O597" s="76"/>
      <c r="P597" s="29"/>
      <c r="Q597" s="29"/>
      <c r="R597" s="4"/>
      <c r="S597" s="32"/>
      <c r="T597" s="4"/>
      <c r="U597" s="4"/>
      <c r="V597" s="4"/>
      <c r="W597" s="4"/>
    </row>
    <row x14ac:dyDescent="0.25" r="598" customHeight="1" ht="12.75">
      <c r="A598" s="4"/>
      <c r="B598" s="29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29"/>
      <c r="O598" s="76"/>
      <c r="P598" s="29"/>
      <c r="Q598" s="29"/>
      <c r="R598" s="4"/>
      <c r="S598" s="32"/>
      <c r="T598" s="4"/>
      <c r="U598" s="4"/>
      <c r="V598" s="4"/>
      <c r="W598" s="4"/>
    </row>
    <row x14ac:dyDescent="0.25" r="599" customHeight="1" ht="12.75">
      <c r="A599" s="4"/>
      <c r="B599" s="29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29"/>
      <c r="O599" s="76"/>
      <c r="P599" s="29"/>
      <c r="Q599" s="29"/>
      <c r="R599" s="4"/>
      <c r="S599" s="32"/>
      <c r="T599" s="4"/>
      <c r="U599" s="4"/>
      <c r="V599" s="4"/>
      <c r="W599" s="4"/>
    </row>
    <row x14ac:dyDescent="0.25" r="600" customHeight="1" ht="12.75">
      <c r="A600" s="4"/>
      <c r="B600" s="29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29"/>
      <c r="O600" s="76"/>
      <c r="P600" s="29"/>
      <c r="Q600" s="29"/>
      <c r="R600" s="4"/>
      <c r="S600" s="32"/>
      <c r="T600" s="4"/>
      <c r="U600" s="4"/>
      <c r="V600" s="4"/>
      <c r="W600" s="4"/>
    </row>
    <row x14ac:dyDescent="0.25" r="601" customHeight="1" ht="12.75">
      <c r="A601" s="4"/>
      <c r="B601" s="29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29"/>
      <c r="O601" s="76"/>
      <c r="P601" s="29"/>
      <c r="Q601" s="29"/>
      <c r="R601" s="4"/>
      <c r="S601" s="32"/>
      <c r="T601" s="4"/>
      <c r="U601" s="4"/>
      <c r="V601" s="4"/>
      <c r="W601" s="4"/>
    </row>
    <row x14ac:dyDescent="0.25" r="602" customHeight="1" ht="12.75">
      <c r="A602" s="4"/>
      <c r="B602" s="29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29"/>
      <c r="O602" s="76"/>
      <c r="P602" s="29"/>
      <c r="Q602" s="29"/>
      <c r="R602" s="4"/>
      <c r="S602" s="32"/>
      <c r="T602" s="4"/>
      <c r="U602" s="4"/>
      <c r="V602" s="4"/>
      <c r="W602" s="4"/>
    </row>
    <row x14ac:dyDescent="0.25" r="603" customHeight="1" ht="12.75">
      <c r="A603" s="4"/>
      <c r="B603" s="29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29"/>
      <c r="O603" s="76"/>
      <c r="P603" s="29"/>
      <c r="Q603" s="29"/>
      <c r="R603" s="4"/>
      <c r="S603" s="32"/>
      <c r="T603" s="4"/>
      <c r="U603" s="4"/>
      <c r="V603" s="4"/>
      <c r="W603" s="4"/>
    </row>
    <row x14ac:dyDescent="0.25" r="604" customHeight="1" ht="12.75">
      <c r="A604" s="4"/>
      <c r="B604" s="29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29"/>
      <c r="O604" s="76"/>
      <c r="P604" s="29"/>
      <c r="Q604" s="29"/>
      <c r="R604" s="4"/>
      <c r="S604" s="32"/>
      <c r="T604" s="4"/>
      <c r="U604" s="4"/>
      <c r="V604" s="4"/>
      <c r="W604" s="4"/>
    </row>
    <row x14ac:dyDescent="0.25" r="605" customHeight="1" ht="12.75">
      <c r="A605" s="4"/>
      <c r="B605" s="29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29"/>
      <c r="O605" s="76"/>
      <c r="P605" s="29"/>
      <c r="Q605" s="29"/>
      <c r="R605" s="4"/>
      <c r="S605" s="32"/>
      <c r="T605" s="4"/>
      <c r="U605" s="4"/>
      <c r="V605" s="4"/>
      <c r="W605" s="4"/>
    </row>
    <row x14ac:dyDescent="0.25" r="606" customHeight="1" ht="12.75">
      <c r="A606" s="4"/>
      <c r="B606" s="29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29"/>
      <c r="O606" s="76"/>
      <c r="P606" s="29"/>
      <c r="Q606" s="29"/>
      <c r="R606" s="4"/>
      <c r="S606" s="32"/>
      <c r="T606" s="4"/>
      <c r="U606" s="4"/>
      <c r="V606" s="4"/>
      <c r="W606" s="4"/>
    </row>
    <row x14ac:dyDescent="0.25" r="607" customHeight="1" ht="12.75">
      <c r="A607" s="4"/>
      <c r="B607" s="29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29"/>
      <c r="O607" s="76"/>
      <c r="P607" s="29"/>
      <c r="Q607" s="29"/>
      <c r="R607" s="4"/>
      <c r="S607" s="32"/>
      <c r="T607" s="4"/>
      <c r="U607" s="4"/>
      <c r="V607" s="4"/>
      <c r="W607" s="4"/>
    </row>
    <row x14ac:dyDescent="0.25" r="608" customHeight="1" ht="12.75">
      <c r="A608" s="4"/>
      <c r="B608" s="29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29"/>
      <c r="O608" s="76"/>
      <c r="P608" s="29"/>
      <c r="Q608" s="29"/>
      <c r="R608" s="4"/>
      <c r="S608" s="32"/>
      <c r="T608" s="4"/>
      <c r="U608" s="4"/>
      <c r="V608" s="4"/>
      <c r="W608" s="4"/>
    </row>
    <row x14ac:dyDescent="0.25" r="609" customHeight="1" ht="12.75">
      <c r="A609" s="4"/>
      <c r="B609" s="29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29"/>
      <c r="O609" s="76"/>
      <c r="P609" s="29"/>
      <c r="Q609" s="29"/>
      <c r="R609" s="4"/>
      <c r="S609" s="32"/>
      <c r="T609" s="4"/>
      <c r="U609" s="4"/>
      <c r="V609" s="4"/>
      <c r="W609" s="4"/>
    </row>
    <row x14ac:dyDescent="0.25" r="610" customHeight="1" ht="12.75">
      <c r="A610" s="4"/>
      <c r="B610" s="29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29"/>
      <c r="O610" s="76"/>
      <c r="P610" s="29"/>
      <c r="Q610" s="29"/>
      <c r="R610" s="4"/>
      <c r="S610" s="32"/>
      <c r="T610" s="4"/>
      <c r="U610" s="4"/>
      <c r="V610" s="4"/>
      <c r="W610" s="4"/>
    </row>
    <row x14ac:dyDescent="0.25" r="611" customHeight="1" ht="12.75">
      <c r="A611" s="4"/>
      <c r="B611" s="29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29"/>
      <c r="O611" s="76"/>
      <c r="P611" s="29"/>
      <c r="Q611" s="29"/>
      <c r="R611" s="4"/>
      <c r="S611" s="32"/>
      <c r="T611" s="4"/>
      <c r="U611" s="4"/>
      <c r="V611" s="4"/>
      <c r="W611" s="4"/>
    </row>
    <row x14ac:dyDescent="0.25" r="612" customHeight="1" ht="12.75">
      <c r="A612" s="4"/>
      <c r="B612" s="29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29"/>
      <c r="O612" s="76"/>
      <c r="P612" s="29"/>
      <c r="Q612" s="29"/>
      <c r="R612" s="4"/>
      <c r="S612" s="32"/>
      <c r="T612" s="4"/>
      <c r="U612" s="4"/>
      <c r="V612" s="4"/>
      <c r="W612" s="4"/>
    </row>
    <row x14ac:dyDescent="0.25" r="613" customHeight="1" ht="12.75">
      <c r="A613" s="4"/>
      <c r="B613" s="29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29"/>
      <c r="O613" s="76"/>
      <c r="P613" s="29"/>
      <c r="Q613" s="29"/>
      <c r="R613" s="4"/>
      <c r="S613" s="32"/>
      <c r="T613" s="4"/>
      <c r="U613" s="4"/>
      <c r="V613" s="4"/>
      <c r="W613" s="4"/>
    </row>
    <row x14ac:dyDescent="0.25" r="614" customHeight="1" ht="12.75">
      <c r="A614" s="4"/>
      <c r="B614" s="29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29"/>
      <c r="O614" s="76"/>
      <c r="P614" s="29"/>
      <c r="Q614" s="29"/>
      <c r="R614" s="4"/>
      <c r="S614" s="32"/>
      <c r="T614" s="4"/>
      <c r="U614" s="4"/>
      <c r="V614" s="4"/>
      <c r="W614" s="4"/>
    </row>
    <row x14ac:dyDescent="0.25" r="615" customHeight="1" ht="12.75">
      <c r="A615" s="4"/>
      <c r="B615" s="29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29"/>
      <c r="O615" s="76"/>
      <c r="P615" s="29"/>
      <c r="Q615" s="29"/>
      <c r="R615" s="4"/>
      <c r="S615" s="32"/>
      <c r="T615" s="4"/>
      <c r="U615" s="4"/>
      <c r="V615" s="4"/>
      <c r="W615" s="4"/>
    </row>
    <row x14ac:dyDescent="0.25" r="616" customHeight="1" ht="12.75">
      <c r="A616" s="4"/>
      <c r="B616" s="29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29"/>
      <c r="O616" s="76"/>
      <c r="P616" s="29"/>
      <c r="Q616" s="29"/>
      <c r="R616" s="4"/>
      <c r="S616" s="32"/>
      <c r="T616" s="4"/>
      <c r="U616" s="4"/>
      <c r="V616" s="4"/>
      <c r="W616" s="4"/>
    </row>
    <row x14ac:dyDescent="0.25" r="617" customHeight="1" ht="12.75">
      <c r="A617" s="4"/>
      <c r="B617" s="29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29"/>
      <c r="O617" s="76"/>
      <c r="P617" s="29"/>
      <c r="Q617" s="29"/>
      <c r="R617" s="4"/>
      <c r="S617" s="32"/>
      <c r="T617" s="4"/>
      <c r="U617" s="4"/>
      <c r="V617" s="4"/>
      <c r="W617" s="4"/>
    </row>
    <row x14ac:dyDescent="0.25" r="618" customHeight="1" ht="12.75">
      <c r="A618" s="4"/>
      <c r="B618" s="29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29"/>
      <c r="O618" s="76"/>
      <c r="P618" s="29"/>
      <c r="Q618" s="29"/>
      <c r="R618" s="4"/>
      <c r="S618" s="32"/>
      <c r="T618" s="4"/>
      <c r="U618" s="4"/>
      <c r="V618" s="4"/>
      <c r="W618" s="4"/>
    </row>
    <row x14ac:dyDescent="0.25" r="619" customHeight="1" ht="12.75">
      <c r="A619" s="4"/>
      <c r="B619" s="29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29"/>
      <c r="O619" s="76"/>
      <c r="P619" s="29"/>
      <c r="Q619" s="29"/>
      <c r="R619" s="4"/>
      <c r="S619" s="32"/>
      <c r="T619" s="4"/>
      <c r="U619" s="4"/>
      <c r="V619" s="4"/>
      <c r="W619" s="4"/>
    </row>
    <row x14ac:dyDescent="0.25" r="620" customHeight="1" ht="12.75">
      <c r="A620" s="4"/>
      <c r="B620" s="29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29"/>
      <c r="O620" s="76"/>
      <c r="P620" s="29"/>
      <c r="Q620" s="29"/>
      <c r="R620" s="4"/>
      <c r="S620" s="32"/>
      <c r="T620" s="4"/>
      <c r="U620" s="4"/>
      <c r="V620" s="4"/>
      <c r="W620" s="4"/>
    </row>
    <row x14ac:dyDescent="0.25" r="621" customHeight="1" ht="12.75">
      <c r="A621" s="4"/>
      <c r="B621" s="29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29"/>
      <c r="O621" s="76"/>
      <c r="P621" s="29"/>
      <c r="Q621" s="29"/>
      <c r="R621" s="4"/>
      <c r="S621" s="32"/>
      <c r="T621" s="4"/>
      <c r="U621" s="4"/>
      <c r="V621" s="4"/>
      <c r="W621" s="4"/>
    </row>
    <row x14ac:dyDescent="0.25" r="622" customHeight="1" ht="12.75">
      <c r="A622" s="4"/>
      <c r="B622" s="29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29"/>
      <c r="O622" s="76"/>
      <c r="P622" s="29"/>
      <c r="Q622" s="29"/>
      <c r="R622" s="4"/>
      <c r="S622" s="32"/>
      <c r="T622" s="4"/>
      <c r="U622" s="4"/>
      <c r="V622" s="4"/>
      <c r="W622" s="4"/>
    </row>
    <row x14ac:dyDescent="0.25" r="623" customHeight="1" ht="12.75">
      <c r="A623" s="4"/>
      <c r="B623" s="29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29"/>
      <c r="O623" s="76"/>
      <c r="P623" s="29"/>
      <c r="Q623" s="29"/>
      <c r="R623" s="4"/>
      <c r="S623" s="32"/>
      <c r="T623" s="4"/>
      <c r="U623" s="4"/>
      <c r="V623" s="4"/>
      <c r="W623" s="4"/>
    </row>
    <row x14ac:dyDescent="0.25" r="624" customHeight="1" ht="12.75">
      <c r="A624" s="4"/>
      <c r="B624" s="29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29"/>
      <c r="O624" s="76"/>
      <c r="P624" s="29"/>
      <c r="Q624" s="29"/>
      <c r="R624" s="4"/>
      <c r="S624" s="32"/>
      <c r="T624" s="4"/>
      <c r="U624" s="4"/>
      <c r="V624" s="4"/>
      <c r="W624" s="4"/>
    </row>
    <row x14ac:dyDescent="0.25" r="625" customHeight="1" ht="12.75">
      <c r="A625" s="4"/>
      <c r="B625" s="29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29"/>
      <c r="O625" s="76"/>
      <c r="P625" s="29"/>
      <c r="Q625" s="29"/>
      <c r="R625" s="4"/>
      <c r="S625" s="32"/>
      <c r="T625" s="4"/>
      <c r="U625" s="4"/>
      <c r="V625" s="4"/>
      <c r="W625" s="4"/>
    </row>
    <row x14ac:dyDescent="0.25" r="626" customHeight="1" ht="12.75">
      <c r="A626" s="4"/>
      <c r="B626" s="29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29"/>
      <c r="O626" s="76"/>
      <c r="P626" s="29"/>
      <c r="Q626" s="29"/>
      <c r="R626" s="4"/>
      <c r="S626" s="32"/>
      <c r="T626" s="4"/>
      <c r="U626" s="4"/>
      <c r="V626" s="4"/>
      <c r="W626" s="4"/>
    </row>
    <row x14ac:dyDescent="0.25" r="627" customHeight="1" ht="12.75">
      <c r="A627" s="4"/>
      <c r="B627" s="29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29"/>
      <c r="O627" s="76"/>
      <c r="P627" s="29"/>
      <c r="Q627" s="29"/>
      <c r="R627" s="4"/>
      <c r="S627" s="32"/>
      <c r="T627" s="4"/>
      <c r="U627" s="4"/>
      <c r="V627" s="4"/>
      <c r="W627" s="4"/>
    </row>
    <row x14ac:dyDescent="0.25" r="628" customHeight="1" ht="12.75">
      <c r="A628" s="4"/>
      <c r="B628" s="29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29"/>
      <c r="O628" s="76"/>
      <c r="P628" s="29"/>
      <c r="Q628" s="29"/>
      <c r="R628" s="4"/>
      <c r="S628" s="32"/>
      <c r="T628" s="4"/>
      <c r="U628" s="4"/>
      <c r="V628" s="4"/>
      <c r="W628" s="4"/>
    </row>
    <row x14ac:dyDescent="0.25" r="629" customHeight="1" ht="12.75">
      <c r="A629" s="4"/>
      <c r="B629" s="29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29"/>
      <c r="O629" s="76"/>
      <c r="P629" s="29"/>
      <c r="Q629" s="29"/>
      <c r="R629" s="4"/>
      <c r="S629" s="32"/>
      <c r="T629" s="4"/>
      <c r="U629" s="4"/>
      <c r="V629" s="4"/>
      <c r="W629" s="4"/>
    </row>
    <row x14ac:dyDescent="0.25" r="630" customHeight="1" ht="12.75">
      <c r="A630" s="4"/>
      <c r="B630" s="29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29"/>
      <c r="O630" s="76"/>
      <c r="P630" s="29"/>
      <c r="Q630" s="29"/>
      <c r="R630" s="4"/>
      <c r="S630" s="32"/>
      <c r="T630" s="4"/>
      <c r="U630" s="4"/>
      <c r="V630" s="4"/>
      <c r="W630" s="4"/>
    </row>
    <row x14ac:dyDescent="0.25" r="631" customHeight="1" ht="12.75">
      <c r="A631" s="4"/>
      <c r="B631" s="29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29"/>
      <c r="O631" s="76"/>
      <c r="P631" s="29"/>
      <c r="Q631" s="29"/>
      <c r="R631" s="4"/>
      <c r="S631" s="32"/>
      <c r="T631" s="4"/>
      <c r="U631" s="4"/>
      <c r="V631" s="4"/>
      <c r="W631" s="4"/>
    </row>
    <row x14ac:dyDescent="0.25" r="632" customHeight="1" ht="12.75">
      <c r="A632" s="4"/>
      <c r="B632" s="29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29"/>
      <c r="O632" s="76"/>
      <c r="P632" s="29"/>
      <c r="Q632" s="29"/>
      <c r="R632" s="4"/>
      <c r="S632" s="32"/>
      <c r="T632" s="4"/>
      <c r="U632" s="4"/>
      <c r="V632" s="4"/>
      <c r="W632" s="4"/>
    </row>
    <row x14ac:dyDescent="0.25" r="633" customHeight="1" ht="12.75">
      <c r="A633" s="4"/>
      <c r="B633" s="29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29"/>
      <c r="O633" s="76"/>
      <c r="P633" s="29"/>
      <c r="Q633" s="29"/>
      <c r="R633" s="4"/>
      <c r="S633" s="32"/>
      <c r="T633" s="4"/>
      <c r="U633" s="4"/>
      <c r="V633" s="4"/>
      <c r="W633" s="4"/>
    </row>
    <row x14ac:dyDescent="0.25" r="634" customHeight="1" ht="12.75">
      <c r="A634" s="4"/>
      <c r="B634" s="29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29"/>
      <c r="O634" s="76"/>
      <c r="P634" s="29"/>
      <c r="Q634" s="29"/>
      <c r="R634" s="4"/>
      <c r="S634" s="32"/>
      <c r="T634" s="4"/>
      <c r="U634" s="4"/>
      <c r="V634" s="4"/>
      <c r="W634" s="4"/>
    </row>
    <row x14ac:dyDescent="0.25" r="635" customHeight="1" ht="12.75">
      <c r="A635" s="4"/>
      <c r="B635" s="29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29"/>
      <c r="O635" s="76"/>
      <c r="P635" s="29"/>
      <c r="Q635" s="29"/>
      <c r="R635" s="4"/>
      <c r="S635" s="32"/>
      <c r="T635" s="4"/>
      <c r="U635" s="4"/>
      <c r="V635" s="4"/>
      <c r="W635" s="4"/>
    </row>
    <row x14ac:dyDescent="0.25" r="636" customHeight="1" ht="12.75">
      <c r="A636" s="4"/>
      <c r="B636" s="29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29"/>
      <c r="O636" s="76"/>
      <c r="P636" s="29"/>
      <c r="Q636" s="29"/>
      <c r="R636" s="4"/>
      <c r="S636" s="32"/>
      <c r="T636" s="4"/>
      <c r="U636" s="4"/>
      <c r="V636" s="4"/>
      <c r="W636" s="4"/>
    </row>
    <row x14ac:dyDescent="0.25" r="637" customHeight="1" ht="12.75">
      <c r="A637" s="4"/>
      <c r="B637" s="29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29"/>
      <c r="O637" s="76"/>
      <c r="P637" s="29"/>
      <c r="Q637" s="29"/>
      <c r="R637" s="4"/>
      <c r="S637" s="32"/>
      <c r="T637" s="4"/>
      <c r="U637" s="4"/>
      <c r="V637" s="4"/>
      <c r="W637" s="4"/>
    </row>
    <row x14ac:dyDescent="0.25" r="638" customHeight="1" ht="12.75">
      <c r="A638" s="4"/>
      <c r="B638" s="29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29"/>
      <c r="O638" s="76"/>
      <c r="P638" s="29"/>
      <c r="Q638" s="29"/>
      <c r="R638" s="4"/>
      <c r="S638" s="32"/>
      <c r="T638" s="4"/>
      <c r="U638" s="4"/>
      <c r="V638" s="4"/>
      <c r="W638" s="4"/>
    </row>
    <row x14ac:dyDescent="0.25" r="639" customHeight="1" ht="12.75">
      <c r="A639" s="4"/>
      <c r="B639" s="29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29"/>
      <c r="O639" s="76"/>
      <c r="P639" s="29"/>
      <c r="Q639" s="29"/>
      <c r="R639" s="4"/>
      <c r="S639" s="32"/>
      <c r="T639" s="4"/>
      <c r="U639" s="4"/>
      <c r="V639" s="4"/>
      <c r="W639" s="4"/>
    </row>
    <row x14ac:dyDescent="0.25" r="640" customHeight="1" ht="12.75">
      <c r="A640" s="4"/>
      <c r="B640" s="29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29"/>
      <c r="O640" s="76"/>
      <c r="P640" s="29"/>
      <c r="Q640" s="29"/>
      <c r="R640" s="4"/>
      <c r="S640" s="32"/>
      <c r="T640" s="4"/>
      <c r="U640" s="4"/>
      <c r="V640" s="4"/>
      <c r="W640" s="4"/>
    </row>
    <row x14ac:dyDescent="0.25" r="641" customHeight="1" ht="12.75">
      <c r="A641" s="4"/>
      <c r="B641" s="29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29"/>
      <c r="O641" s="76"/>
      <c r="P641" s="29"/>
      <c r="Q641" s="29"/>
      <c r="R641" s="4"/>
      <c r="S641" s="32"/>
      <c r="T641" s="4"/>
      <c r="U641" s="4"/>
      <c r="V641" s="4"/>
      <c r="W641" s="4"/>
    </row>
    <row x14ac:dyDescent="0.25" r="642" customHeight="1" ht="12.75">
      <c r="A642" s="4"/>
      <c r="B642" s="29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29"/>
      <c r="O642" s="76"/>
      <c r="P642" s="29"/>
      <c r="Q642" s="29"/>
      <c r="R642" s="4"/>
      <c r="S642" s="32"/>
      <c r="T642" s="4"/>
      <c r="U642" s="4"/>
      <c r="V642" s="4"/>
      <c r="W642" s="4"/>
    </row>
    <row x14ac:dyDescent="0.25" r="643" customHeight="1" ht="12.75">
      <c r="A643" s="4"/>
      <c r="B643" s="29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29"/>
      <c r="O643" s="76"/>
      <c r="P643" s="29"/>
      <c r="Q643" s="29"/>
      <c r="R643" s="4"/>
      <c r="S643" s="32"/>
      <c r="T643" s="4"/>
      <c r="U643" s="4"/>
      <c r="V643" s="4"/>
      <c r="W643" s="4"/>
    </row>
    <row x14ac:dyDescent="0.25" r="644" customHeight="1" ht="12.75">
      <c r="A644" s="4"/>
      <c r="B644" s="29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29"/>
      <c r="O644" s="76"/>
      <c r="P644" s="29"/>
      <c r="Q644" s="29"/>
      <c r="R644" s="4"/>
      <c r="S644" s="32"/>
      <c r="T644" s="4"/>
      <c r="U644" s="4"/>
      <c r="V644" s="4"/>
      <c r="W644" s="4"/>
    </row>
    <row x14ac:dyDescent="0.25" r="645" customHeight="1" ht="12.75">
      <c r="A645" s="4"/>
      <c r="B645" s="29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29"/>
      <c r="O645" s="76"/>
      <c r="P645" s="29"/>
      <c r="Q645" s="29"/>
      <c r="R645" s="4"/>
      <c r="S645" s="32"/>
      <c r="T645" s="4"/>
      <c r="U645" s="4"/>
      <c r="V645" s="4"/>
      <c r="W645" s="4"/>
    </row>
    <row x14ac:dyDescent="0.25" r="646" customHeight="1" ht="12.75">
      <c r="A646" s="4"/>
      <c r="B646" s="29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29"/>
      <c r="O646" s="76"/>
      <c r="P646" s="29"/>
      <c r="Q646" s="29"/>
      <c r="R646" s="4"/>
      <c r="S646" s="32"/>
      <c r="T646" s="4"/>
      <c r="U646" s="4"/>
      <c r="V646" s="4"/>
      <c r="W646" s="4"/>
    </row>
    <row x14ac:dyDescent="0.25" r="647" customHeight="1" ht="12.75">
      <c r="A647" s="4"/>
      <c r="B647" s="29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29"/>
      <c r="O647" s="76"/>
      <c r="P647" s="29"/>
      <c r="Q647" s="29"/>
      <c r="R647" s="4"/>
      <c r="S647" s="32"/>
      <c r="T647" s="4"/>
      <c r="U647" s="4"/>
      <c r="V647" s="4"/>
      <c r="W647" s="4"/>
    </row>
    <row x14ac:dyDescent="0.25" r="648" customHeight="1" ht="12.75">
      <c r="A648" s="4"/>
      <c r="B648" s="29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29"/>
      <c r="O648" s="76"/>
      <c r="P648" s="29"/>
      <c r="Q648" s="29"/>
      <c r="R648" s="4"/>
      <c r="S648" s="32"/>
      <c r="T648" s="4"/>
      <c r="U648" s="4"/>
      <c r="V648" s="4"/>
      <c r="W648" s="4"/>
    </row>
    <row x14ac:dyDescent="0.25" r="649" customHeight="1" ht="12.75">
      <c r="A649" s="4"/>
      <c r="B649" s="29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29"/>
      <c r="O649" s="76"/>
      <c r="P649" s="29"/>
      <c r="Q649" s="29"/>
      <c r="R649" s="4"/>
      <c r="S649" s="32"/>
      <c r="T649" s="4"/>
      <c r="U649" s="4"/>
      <c r="V649" s="4"/>
      <c r="W649" s="4"/>
    </row>
    <row x14ac:dyDescent="0.25" r="650" customHeight="1" ht="12.75">
      <c r="A650" s="4"/>
      <c r="B650" s="29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29"/>
      <c r="O650" s="76"/>
      <c r="P650" s="29"/>
      <c r="Q650" s="29"/>
      <c r="R650" s="4"/>
      <c r="S650" s="32"/>
      <c r="T650" s="4"/>
      <c r="U650" s="4"/>
      <c r="V650" s="4"/>
      <c r="W650" s="4"/>
    </row>
    <row x14ac:dyDescent="0.25" r="651" customHeight="1" ht="12.75">
      <c r="A651" s="4"/>
      <c r="B651" s="29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29"/>
      <c r="O651" s="76"/>
      <c r="P651" s="29"/>
      <c r="Q651" s="29"/>
      <c r="R651" s="4"/>
      <c r="S651" s="32"/>
      <c r="T651" s="4"/>
      <c r="U651" s="4"/>
      <c r="V651" s="4"/>
      <c r="W651" s="4"/>
    </row>
    <row x14ac:dyDescent="0.25" r="652" customHeight="1" ht="12.75">
      <c r="A652" s="4"/>
      <c r="B652" s="29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29"/>
      <c r="O652" s="76"/>
      <c r="P652" s="29"/>
      <c r="Q652" s="29"/>
      <c r="R652" s="4"/>
      <c r="S652" s="32"/>
      <c r="T652" s="4"/>
      <c r="U652" s="4"/>
      <c r="V652" s="4"/>
      <c r="W652" s="4"/>
    </row>
    <row x14ac:dyDescent="0.25" r="653" customHeight="1" ht="12.75">
      <c r="A653" s="4"/>
      <c r="B653" s="29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29"/>
      <c r="O653" s="76"/>
      <c r="P653" s="29"/>
      <c r="Q653" s="29"/>
      <c r="R653" s="4"/>
      <c r="S653" s="32"/>
      <c r="T653" s="4"/>
      <c r="U653" s="4"/>
      <c r="V653" s="4"/>
      <c r="W653" s="4"/>
    </row>
    <row x14ac:dyDescent="0.25" r="654" customHeight="1" ht="12.75">
      <c r="A654" s="4"/>
      <c r="B654" s="29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29"/>
      <c r="O654" s="76"/>
      <c r="P654" s="29"/>
      <c r="Q654" s="29"/>
      <c r="R654" s="4"/>
      <c r="S654" s="32"/>
      <c r="T654" s="4"/>
      <c r="U654" s="4"/>
      <c r="V654" s="4"/>
      <c r="W654" s="4"/>
    </row>
    <row x14ac:dyDescent="0.25" r="655" customHeight="1" ht="12.75">
      <c r="A655" s="4"/>
      <c r="B655" s="29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29"/>
      <c r="O655" s="76"/>
      <c r="P655" s="29"/>
      <c r="Q655" s="29"/>
      <c r="R655" s="4"/>
      <c r="S655" s="32"/>
      <c r="T655" s="4"/>
      <c r="U655" s="4"/>
      <c r="V655" s="4"/>
      <c r="W655" s="4"/>
    </row>
    <row x14ac:dyDescent="0.25" r="656" customHeight="1" ht="12.75">
      <c r="A656" s="4"/>
      <c r="B656" s="29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29"/>
      <c r="O656" s="76"/>
      <c r="P656" s="29"/>
      <c r="Q656" s="29"/>
      <c r="R656" s="4"/>
      <c r="S656" s="32"/>
      <c r="T656" s="4"/>
      <c r="U656" s="4"/>
      <c r="V656" s="4"/>
      <c r="W656" s="4"/>
    </row>
    <row x14ac:dyDescent="0.25" r="657" customHeight="1" ht="12.75">
      <c r="A657" s="4"/>
      <c r="B657" s="29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29"/>
      <c r="O657" s="76"/>
      <c r="P657" s="29"/>
      <c r="Q657" s="29"/>
      <c r="R657" s="4"/>
      <c r="S657" s="32"/>
      <c r="T657" s="4"/>
      <c r="U657" s="4"/>
      <c r="V657" s="4"/>
      <c r="W657" s="4"/>
    </row>
    <row x14ac:dyDescent="0.25" r="658" customHeight="1" ht="12.75">
      <c r="A658" s="4"/>
      <c r="B658" s="29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29"/>
      <c r="O658" s="76"/>
      <c r="P658" s="29"/>
      <c r="Q658" s="29"/>
      <c r="R658" s="4"/>
      <c r="S658" s="32"/>
      <c r="T658" s="4"/>
      <c r="U658" s="4"/>
      <c r="V658" s="4"/>
      <c r="W658" s="4"/>
    </row>
    <row x14ac:dyDescent="0.25" r="659" customHeight="1" ht="12.75">
      <c r="A659" s="4"/>
      <c r="B659" s="29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29"/>
      <c r="O659" s="76"/>
      <c r="P659" s="29"/>
      <c r="Q659" s="29"/>
      <c r="R659" s="4"/>
      <c r="S659" s="32"/>
      <c r="T659" s="4"/>
      <c r="U659" s="4"/>
      <c r="V659" s="4"/>
      <c r="W659" s="4"/>
    </row>
    <row x14ac:dyDescent="0.25" r="660" customHeight="1" ht="12.75">
      <c r="A660" s="4"/>
      <c r="B660" s="29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29"/>
      <c r="O660" s="76"/>
      <c r="P660" s="29"/>
      <c r="Q660" s="29"/>
      <c r="R660" s="4"/>
      <c r="S660" s="32"/>
      <c r="T660" s="4"/>
      <c r="U660" s="4"/>
      <c r="V660" s="4"/>
      <c r="W660" s="4"/>
    </row>
    <row x14ac:dyDescent="0.25" r="661" customHeight="1" ht="12.75">
      <c r="A661" s="4"/>
      <c r="B661" s="29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29"/>
      <c r="O661" s="76"/>
      <c r="P661" s="29"/>
      <c r="Q661" s="29"/>
      <c r="R661" s="4"/>
      <c r="S661" s="32"/>
      <c r="T661" s="4"/>
      <c r="U661" s="4"/>
      <c r="V661" s="4"/>
      <c r="W661" s="4"/>
    </row>
    <row x14ac:dyDescent="0.25" r="662" customHeight="1" ht="12.75">
      <c r="A662" s="4"/>
      <c r="B662" s="29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29"/>
      <c r="O662" s="76"/>
      <c r="P662" s="29"/>
      <c r="Q662" s="29"/>
      <c r="R662" s="4"/>
      <c r="S662" s="32"/>
      <c r="T662" s="4"/>
      <c r="U662" s="4"/>
      <c r="V662" s="4"/>
      <c r="W662" s="4"/>
    </row>
    <row x14ac:dyDescent="0.25" r="663" customHeight="1" ht="12.75">
      <c r="A663" s="4"/>
      <c r="B663" s="29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29"/>
      <c r="O663" s="76"/>
      <c r="P663" s="29"/>
      <c r="Q663" s="29"/>
      <c r="R663" s="4"/>
      <c r="S663" s="32"/>
      <c r="T663" s="4"/>
      <c r="U663" s="4"/>
      <c r="V663" s="4"/>
      <c r="W663" s="4"/>
    </row>
    <row x14ac:dyDescent="0.25" r="664" customHeight="1" ht="12.75">
      <c r="A664" s="4"/>
      <c r="B664" s="29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29"/>
      <c r="O664" s="76"/>
      <c r="P664" s="29"/>
      <c r="Q664" s="29"/>
      <c r="R664" s="4"/>
      <c r="S664" s="32"/>
      <c r="T664" s="4"/>
      <c r="U664" s="4"/>
      <c r="V664" s="4"/>
      <c r="W664" s="4"/>
    </row>
    <row x14ac:dyDescent="0.25" r="665" customHeight="1" ht="12.75">
      <c r="A665" s="4"/>
      <c r="B665" s="29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29"/>
      <c r="O665" s="76"/>
      <c r="P665" s="29"/>
      <c r="Q665" s="29"/>
      <c r="R665" s="4"/>
      <c r="S665" s="32"/>
      <c r="T665" s="4"/>
      <c r="U665" s="4"/>
      <c r="V665" s="4"/>
      <c r="W665" s="4"/>
    </row>
    <row x14ac:dyDescent="0.25" r="666" customHeight="1" ht="12.75">
      <c r="A666" s="4"/>
      <c r="B666" s="29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29"/>
      <c r="O666" s="76"/>
      <c r="P666" s="29"/>
      <c r="Q666" s="29"/>
      <c r="R666" s="4"/>
      <c r="S666" s="32"/>
      <c r="T666" s="4"/>
      <c r="U666" s="4"/>
      <c r="V666" s="4"/>
      <c r="W666" s="4"/>
    </row>
    <row x14ac:dyDescent="0.25" r="667" customHeight="1" ht="12.75">
      <c r="A667" s="4"/>
      <c r="B667" s="29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29"/>
      <c r="O667" s="76"/>
      <c r="P667" s="29"/>
      <c r="Q667" s="29"/>
      <c r="R667" s="4"/>
      <c r="S667" s="32"/>
      <c r="T667" s="4"/>
      <c r="U667" s="4"/>
      <c r="V667" s="4"/>
      <c r="W667" s="4"/>
    </row>
    <row x14ac:dyDescent="0.25" r="668" customHeight="1" ht="12.75">
      <c r="A668" s="4"/>
      <c r="B668" s="29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29"/>
      <c r="O668" s="76"/>
      <c r="P668" s="29"/>
      <c r="Q668" s="29"/>
      <c r="R668" s="4"/>
      <c r="S668" s="32"/>
      <c r="T668" s="4"/>
      <c r="U668" s="4"/>
      <c r="V668" s="4"/>
      <c r="W668" s="4"/>
    </row>
    <row x14ac:dyDescent="0.25" r="669" customHeight="1" ht="12.75">
      <c r="A669" s="4"/>
      <c r="B669" s="29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29"/>
      <c r="O669" s="76"/>
      <c r="P669" s="29"/>
      <c r="Q669" s="29"/>
      <c r="R669" s="4"/>
      <c r="S669" s="32"/>
      <c r="T669" s="4"/>
      <c r="U669" s="4"/>
      <c r="V669" s="4"/>
      <c r="W669" s="4"/>
    </row>
    <row x14ac:dyDescent="0.25" r="670" customHeight="1" ht="12.75">
      <c r="A670" s="4"/>
      <c r="B670" s="29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29"/>
      <c r="O670" s="76"/>
      <c r="P670" s="29"/>
      <c r="Q670" s="29"/>
      <c r="R670" s="4"/>
      <c r="S670" s="32"/>
      <c r="T670" s="4"/>
      <c r="U670" s="4"/>
      <c r="V670" s="4"/>
      <c r="W670" s="4"/>
    </row>
    <row x14ac:dyDescent="0.25" r="671" customHeight="1" ht="12.75">
      <c r="A671" s="4"/>
      <c r="B671" s="29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29"/>
      <c r="O671" s="76"/>
      <c r="P671" s="29"/>
      <c r="Q671" s="29"/>
      <c r="R671" s="4"/>
      <c r="S671" s="32"/>
      <c r="T671" s="4"/>
      <c r="U671" s="4"/>
      <c r="V671" s="4"/>
      <c r="W671" s="4"/>
    </row>
    <row x14ac:dyDescent="0.25" r="672" customHeight="1" ht="12.75">
      <c r="A672" s="4"/>
      <c r="B672" s="29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29"/>
      <c r="O672" s="76"/>
      <c r="P672" s="29"/>
      <c r="Q672" s="29"/>
      <c r="R672" s="4"/>
      <c r="S672" s="32"/>
      <c r="T672" s="4"/>
      <c r="U672" s="4"/>
      <c r="V672" s="4"/>
      <c r="W672" s="4"/>
    </row>
    <row x14ac:dyDescent="0.25" r="673" customHeight="1" ht="12.75">
      <c r="A673" s="4"/>
      <c r="B673" s="29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29"/>
      <c r="O673" s="76"/>
      <c r="P673" s="29"/>
      <c r="Q673" s="29"/>
      <c r="R673" s="4"/>
      <c r="S673" s="32"/>
      <c r="T673" s="4"/>
      <c r="U673" s="4"/>
      <c r="V673" s="4"/>
      <c r="W673" s="4"/>
    </row>
    <row x14ac:dyDescent="0.25" r="674" customHeight="1" ht="12.75">
      <c r="A674" s="4"/>
      <c r="B674" s="29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29"/>
      <c r="O674" s="76"/>
      <c r="P674" s="29"/>
      <c r="Q674" s="29"/>
      <c r="R674" s="4"/>
      <c r="S674" s="32"/>
      <c r="T674" s="4"/>
      <c r="U674" s="4"/>
      <c r="V674" s="4"/>
      <c r="W674" s="4"/>
    </row>
    <row x14ac:dyDescent="0.25" r="675" customHeight="1" ht="12.75">
      <c r="A675" s="4"/>
      <c r="B675" s="29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29"/>
      <c r="O675" s="76"/>
      <c r="P675" s="29"/>
      <c r="Q675" s="29"/>
      <c r="R675" s="4"/>
      <c r="S675" s="32"/>
      <c r="T675" s="4"/>
      <c r="U675" s="4"/>
      <c r="V675" s="4"/>
      <c r="W675" s="4"/>
    </row>
    <row x14ac:dyDescent="0.25" r="676" customHeight="1" ht="12.75">
      <c r="A676" s="4"/>
      <c r="B676" s="29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29"/>
      <c r="O676" s="76"/>
      <c r="P676" s="29"/>
      <c r="Q676" s="29"/>
      <c r="R676" s="4"/>
      <c r="S676" s="32"/>
      <c r="T676" s="4"/>
      <c r="U676" s="4"/>
      <c r="V676" s="4"/>
      <c r="W676" s="4"/>
    </row>
    <row x14ac:dyDescent="0.25" r="677" customHeight="1" ht="12.75">
      <c r="A677" s="4"/>
      <c r="B677" s="29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29"/>
      <c r="O677" s="76"/>
      <c r="P677" s="29"/>
      <c r="Q677" s="29"/>
      <c r="R677" s="4"/>
      <c r="S677" s="32"/>
      <c r="T677" s="4"/>
      <c r="U677" s="4"/>
      <c r="V677" s="4"/>
      <c r="W677" s="4"/>
    </row>
    <row x14ac:dyDescent="0.25" r="678" customHeight="1" ht="12.75">
      <c r="A678" s="4"/>
      <c r="B678" s="29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29"/>
      <c r="O678" s="76"/>
      <c r="P678" s="29"/>
      <c r="Q678" s="29"/>
      <c r="R678" s="4"/>
      <c r="S678" s="32"/>
      <c r="T678" s="4"/>
      <c r="U678" s="4"/>
      <c r="V678" s="4"/>
      <c r="W678" s="4"/>
    </row>
    <row x14ac:dyDescent="0.25" r="679" customHeight="1" ht="12.75">
      <c r="A679" s="4"/>
      <c r="B679" s="29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29"/>
      <c r="O679" s="76"/>
      <c r="P679" s="29"/>
      <c r="Q679" s="29"/>
      <c r="R679" s="4"/>
      <c r="S679" s="32"/>
      <c r="T679" s="4"/>
      <c r="U679" s="4"/>
      <c r="V679" s="4"/>
      <c r="W679" s="4"/>
    </row>
    <row x14ac:dyDescent="0.25" r="680" customHeight="1" ht="12.75">
      <c r="A680" s="4"/>
      <c r="B680" s="29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29"/>
      <c r="O680" s="76"/>
      <c r="P680" s="29"/>
      <c r="Q680" s="29"/>
      <c r="R680" s="4"/>
      <c r="S680" s="32"/>
      <c r="T680" s="4"/>
      <c r="U680" s="4"/>
      <c r="V680" s="4"/>
      <c r="W680" s="4"/>
    </row>
    <row x14ac:dyDescent="0.25" r="681" customHeight="1" ht="12.75">
      <c r="A681" s="4"/>
      <c r="B681" s="29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29"/>
      <c r="O681" s="76"/>
      <c r="P681" s="29"/>
      <c r="Q681" s="29"/>
      <c r="R681" s="4"/>
      <c r="S681" s="32"/>
      <c r="T681" s="4"/>
      <c r="U681" s="4"/>
      <c r="V681" s="4"/>
      <c r="W681" s="4"/>
    </row>
    <row x14ac:dyDescent="0.25" r="682" customHeight="1" ht="12.75">
      <c r="A682" s="4"/>
      <c r="B682" s="29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29"/>
      <c r="O682" s="76"/>
      <c r="P682" s="29"/>
      <c r="Q682" s="29"/>
      <c r="R682" s="4"/>
      <c r="S682" s="32"/>
      <c r="T682" s="4"/>
      <c r="U682" s="4"/>
      <c r="V682" s="4"/>
      <c r="W682" s="4"/>
    </row>
    <row x14ac:dyDescent="0.25" r="683" customHeight="1" ht="12.75">
      <c r="A683" s="4"/>
      <c r="B683" s="29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29"/>
      <c r="O683" s="76"/>
      <c r="P683" s="29"/>
      <c r="Q683" s="29"/>
      <c r="R683" s="4"/>
      <c r="S683" s="32"/>
      <c r="T683" s="4"/>
      <c r="U683" s="4"/>
      <c r="V683" s="4"/>
      <c r="W683" s="4"/>
    </row>
    <row x14ac:dyDescent="0.25" r="684" customHeight="1" ht="12.75">
      <c r="A684" s="4"/>
      <c r="B684" s="29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29"/>
      <c r="O684" s="76"/>
      <c r="P684" s="29"/>
      <c r="Q684" s="29"/>
      <c r="R684" s="4"/>
      <c r="S684" s="32"/>
      <c r="T684" s="4"/>
      <c r="U684" s="4"/>
      <c r="V684" s="4"/>
      <c r="W684" s="4"/>
    </row>
    <row x14ac:dyDescent="0.25" r="685" customHeight="1" ht="12.75">
      <c r="A685" s="4"/>
      <c r="B685" s="29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29"/>
      <c r="O685" s="76"/>
      <c r="P685" s="29"/>
      <c r="Q685" s="29"/>
      <c r="R685" s="4"/>
      <c r="S685" s="32"/>
      <c r="T685" s="4"/>
      <c r="U685" s="4"/>
      <c r="V685" s="4"/>
      <c r="W685" s="4"/>
    </row>
    <row x14ac:dyDescent="0.25" r="686" customHeight="1" ht="12.75">
      <c r="A686" s="4"/>
      <c r="B686" s="29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29"/>
      <c r="O686" s="76"/>
      <c r="P686" s="29"/>
      <c r="Q686" s="29"/>
      <c r="R686" s="4"/>
      <c r="S686" s="32"/>
      <c r="T686" s="4"/>
      <c r="U686" s="4"/>
      <c r="V686" s="4"/>
      <c r="W686" s="4"/>
    </row>
    <row x14ac:dyDescent="0.25" r="687" customHeight="1" ht="12.75">
      <c r="A687" s="4"/>
      <c r="B687" s="29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29"/>
      <c r="O687" s="76"/>
      <c r="P687" s="29"/>
      <c r="Q687" s="29"/>
      <c r="R687" s="4"/>
      <c r="S687" s="32"/>
      <c r="T687" s="4"/>
      <c r="U687" s="4"/>
      <c r="V687" s="4"/>
      <c r="W687" s="4"/>
    </row>
    <row x14ac:dyDescent="0.25" r="688" customHeight="1" ht="12.75">
      <c r="A688" s="4"/>
      <c r="B688" s="29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29"/>
      <c r="O688" s="76"/>
      <c r="P688" s="29"/>
      <c r="Q688" s="29"/>
      <c r="R688" s="4"/>
      <c r="S688" s="32"/>
      <c r="T688" s="4"/>
      <c r="U688" s="4"/>
      <c r="V688" s="4"/>
      <c r="W688" s="4"/>
    </row>
    <row x14ac:dyDescent="0.25" r="689" customHeight="1" ht="12.75">
      <c r="A689" s="4"/>
      <c r="B689" s="29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29"/>
      <c r="O689" s="76"/>
      <c r="P689" s="29"/>
      <c r="Q689" s="29"/>
      <c r="R689" s="4"/>
      <c r="S689" s="32"/>
      <c r="T689" s="4"/>
      <c r="U689" s="4"/>
      <c r="V689" s="4"/>
      <c r="W689" s="4"/>
    </row>
    <row x14ac:dyDescent="0.25" r="690" customHeight="1" ht="12.75">
      <c r="A690" s="4"/>
      <c r="B690" s="29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29"/>
      <c r="O690" s="76"/>
      <c r="P690" s="29"/>
      <c r="Q690" s="29"/>
      <c r="R690" s="4"/>
      <c r="S690" s="32"/>
      <c r="T690" s="4"/>
      <c r="U690" s="4"/>
      <c r="V690" s="4"/>
      <c r="W690" s="4"/>
    </row>
    <row x14ac:dyDescent="0.25" r="691" customHeight="1" ht="12.75">
      <c r="A691" s="4"/>
      <c r="B691" s="29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29"/>
      <c r="O691" s="76"/>
      <c r="P691" s="29"/>
      <c r="Q691" s="29"/>
      <c r="R691" s="4"/>
      <c r="S691" s="32"/>
      <c r="T691" s="4"/>
      <c r="U691" s="4"/>
      <c r="V691" s="4"/>
      <c r="W691" s="4"/>
    </row>
    <row x14ac:dyDescent="0.25" r="692" customHeight="1" ht="12.75">
      <c r="A692" s="4"/>
      <c r="B692" s="29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29"/>
      <c r="O692" s="76"/>
      <c r="P692" s="29"/>
      <c r="Q692" s="29"/>
      <c r="R692" s="4"/>
      <c r="S692" s="32"/>
      <c r="T692" s="4"/>
      <c r="U692" s="4"/>
      <c r="V692" s="4"/>
      <c r="W692" s="4"/>
    </row>
    <row x14ac:dyDescent="0.25" r="693" customHeight="1" ht="12.75">
      <c r="A693" s="4"/>
      <c r="B693" s="29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29"/>
      <c r="O693" s="76"/>
      <c r="P693" s="29"/>
      <c r="Q693" s="29"/>
      <c r="R693" s="4"/>
      <c r="S693" s="32"/>
      <c r="T693" s="4"/>
      <c r="U693" s="4"/>
      <c r="V693" s="4"/>
      <c r="W693" s="4"/>
    </row>
    <row x14ac:dyDescent="0.25" r="694" customHeight="1" ht="12.75">
      <c r="A694" s="4"/>
      <c r="B694" s="29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29"/>
      <c r="O694" s="76"/>
      <c r="P694" s="29"/>
      <c r="Q694" s="29"/>
      <c r="R694" s="4"/>
      <c r="S694" s="32"/>
      <c r="T694" s="4"/>
      <c r="U694" s="4"/>
      <c r="V694" s="4"/>
      <c r="W694" s="4"/>
    </row>
    <row x14ac:dyDescent="0.25" r="695" customHeight="1" ht="12.75">
      <c r="A695" s="4"/>
      <c r="B695" s="29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29"/>
      <c r="O695" s="76"/>
      <c r="P695" s="29"/>
      <c r="Q695" s="29"/>
      <c r="R695" s="4"/>
      <c r="S695" s="32"/>
      <c r="T695" s="4"/>
      <c r="U695" s="4"/>
      <c r="V695" s="4"/>
      <c r="W695" s="4"/>
    </row>
    <row x14ac:dyDescent="0.25" r="696" customHeight="1" ht="12.75">
      <c r="A696" s="4"/>
      <c r="B696" s="29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29"/>
      <c r="O696" s="76"/>
      <c r="P696" s="29"/>
      <c r="Q696" s="29"/>
      <c r="R696" s="4"/>
      <c r="S696" s="32"/>
      <c r="T696" s="4"/>
      <c r="U696" s="4"/>
      <c r="V696" s="4"/>
      <c r="W696" s="4"/>
    </row>
    <row x14ac:dyDescent="0.25" r="697" customHeight="1" ht="12.75">
      <c r="A697" s="4"/>
      <c r="B697" s="29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29"/>
      <c r="O697" s="76"/>
      <c r="P697" s="29"/>
      <c r="Q697" s="29"/>
      <c r="R697" s="4"/>
      <c r="S697" s="32"/>
      <c r="T697" s="4"/>
      <c r="U697" s="4"/>
      <c r="V697" s="4"/>
      <c r="W697" s="4"/>
    </row>
    <row x14ac:dyDescent="0.25" r="698" customHeight="1" ht="12.75">
      <c r="A698" s="4"/>
      <c r="B698" s="29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29"/>
      <c r="O698" s="76"/>
      <c r="P698" s="29"/>
      <c r="Q698" s="29"/>
      <c r="R698" s="4"/>
      <c r="S698" s="32"/>
      <c r="T698" s="4"/>
      <c r="U698" s="4"/>
      <c r="V698" s="4"/>
      <c r="W698" s="4"/>
    </row>
    <row x14ac:dyDescent="0.25" r="699" customHeight="1" ht="12.75">
      <c r="A699" s="4"/>
      <c r="B699" s="29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29"/>
      <c r="O699" s="76"/>
      <c r="P699" s="29"/>
      <c r="Q699" s="29"/>
      <c r="R699" s="4"/>
      <c r="S699" s="32"/>
      <c r="T699" s="4"/>
      <c r="U699" s="4"/>
      <c r="V699" s="4"/>
      <c r="W699" s="4"/>
    </row>
    <row x14ac:dyDescent="0.25" r="700" customHeight="1" ht="12.75">
      <c r="A700" s="4"/>
      <c r="B700" s="29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29"/>
      <c r="O700" s="76"/>
      <c r="P700" s="29"/>
      <c r="Q700" s="29"/>
      <c r="R700" s="4"/>
      <c r="S700" s="32"/>
      <c r="T700" s="4"/>
      <c r="U700" s="4"/>
      <c r="V700" s="4"/>
      <c r="W700" s="4"/>
    </row>
    <row x14ac:dyDescent="0.25" r="701" customHeight="1" ht="12.75">
      <c r="A701" s="4"/>
      <c r="B701" s="29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29"/>
      <c r="O701" s="76"/>
      <c r="P701" s="29"/>
      <c r="Q701" s="29"/>
      <c r="R701" s="4"/>
      <c r="S701" s="32"/>
      <c r="T701" s="4"/>
      <c r="U701" s="4"/>
      <c r="V701" s="4"/>
      <c r="W701" s="4"/>
    </row>
    <row x14ac:dyDescent="0.25" r="702" customHeight="1" ht="12.75">
      <c r="A702" s="4"/>
      <c r="B702" s="29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29"/>
      <c r="O702" s="76"/>
      <c r="P702" s="29"/>
      <c r="Q702" s="29"/>
      <c r="R702" s="4"/>
      <c r="S702" s="32"/>
      <c r="T702" s="4"/>
      <c r="U702" s="4"/>
      <c r="V702" s="4"/>
      <c r="W702" s="4"/>
    </row>
    <row x14ac:dyDescent="0.25" r="703" customHeight="1" ht="12.75">
      <c r="A703" s="4"/>
      <c r="B703" s="29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29"/>
      <c r="O703" s="76"/>
      <c r="P703" s="29"/>
      <c r="Q703" s="29"/>
      <c r="R703" s="4"/>
      <c r="S703" s="32"/>
      <c r="T703" s="4"/>
      <c r="U703" s="4"/>
      <c r="V703" s="4"/>
      <c r="W703" s="4"/>
    </row>
    <row x14ac:dyDescent="0.25" r="704" customHeight="1" ht="12.75">
      <c r="A704" s="4"/>
      <c r="B704" s="29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29"/>
      <c r="O704" s="76"/>
      <c r="P704" s="29"/>
      <c r="Q704" s="29"/>
      <c r="R704" s="4"/>
      <c r="S704" s="32"/>
      <c r="T704" s="4"/>
      <c r="U704" s="4"/>
      <c r="V704" s="4"/>
      <c r="W704" s="4"/>
    </row>
    <row x14ac:dyDescent="0.25" r="705" customHeight="1" ht="12.75">
      <c r="A705" s="4"/>
      <c r="B705" s="29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29"/>
      <c r="O705" s="76"/>
      <c r="P705" s="29"/>
      <c r="Q705" s="29"/>
      <c r="R705" s="4"/>
      <c r="S705" s="32"/>
      <c r="T705" s="4"/>
      <c r="U705" s="4"/>
      <c r="V705" s="4"/>
      <c r="W705" s="4"/>
    </row>
    <row x14ac:dyDescent="0.25" r="706" customHeight="1" ht="12.75">
      <c r="A706" s="4"/>
      <c r="B706" s="29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29"/>
      <c r="O706" s="76"/>
      <c r="P706" s="29"/>
      <c r="Q706" s="29"/>
      <c r="R706" s="4"/>
      <c r="S706" s="32"/>
      <c r="T706" s="4"/>
      <c r="U706" s="4"/>
      <c r="V706" s="4"/>
      <c r="W706" s="4"/>
    </row>
    <row x14ac:dyDescent="0.25" r="707" customHeight="1" ht="12.75">
      <c r="A707" s="4"/>
      <c r="B707" s="29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29"/>
      <c r="O707" s="76"/>
      <c r="P707" s="29"/>
      <c r="Q707" s="29"/>
      <c r="R707" s="4"/>
      <c r="S707" s="32"/>
      <c r="T707" s="4"/>
      <c r="U707" s="4"/>
      <c r="V707" s="4"/>
      <c r="W707" s="4"/>
    </row>
    <row x14ac:dyDescent="0.25" r="708" customHeight="1" ht="12.75">
      <c r="A708" s="4"/>
      <c r="B708" s="29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29"/>
      <c r="O708" s="76"/>
      <c r="P708" s="29"/>
      <c r="Q708" s="29"/>
      <c r="R708" s="4"/>
      <c r="S708" s="32"/>
      <c r="T708" s="4"/>
      <c r="U708" s="4"/>
      <c r="V708" s="4"/>
      <c r="W708" s="4"/>
    </row>
    <row x14ac:dyDescent="0.25" r="709" customHeight="1" ht="12.75">
      <c r="A709" s="4"/>
      <c r="B709" s="29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29"/>
      <c r="O709" s="76"/>
      <c r="P709" s="29"/>
      <c r="Q709" s="29"/>
      <c r="R709" s="4"/>
      <c r="S709" s="32"/>
      <c r="T709" s="4"/>
      <c r="U709" s="4"/>
      <c r="V709" s="4"/>
      <c r="W709" s="4"/>
    </row>
    <row x14ac:dyDescent="0.25" r="710" customHeight="1" ht="12.75">
      <c r="A710" s="4"/>
      <c r="B710" s="29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29"/>
      <c r="O710" s="76"/>
      <c r="P710" s="29"/>
      <c r="Q710" s="29"/>
      <c r="R710" s="4"/>
      <c r="S710" s="32"/>
      <c r="T710" s="4"/>
      <c r="U710" s="4"/>
      <c r="V710" s="4"/>
      <c r="W710" s="4"/>
    </row>
    <row x14ac:dyDescent="0.25" r="711" customHeight="1" ht="12.75">
      <c r="A711" s="4"/>
      <c r="B711" s="29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29"/>
      <c r="O711" s="76"/>
      <c r="P711" s="29"/>
      <c r="Q711" s="29"/>
      <c r="R711" s="4"/>
      <c r="S711" s="32"/>
      <c r="T711" s="4"/>
      <c r="U711" s="4"/>
      <c r="V711" s="4"/>
      <c r="W711" s="4"/>
    </row>
    <row x14ac:dyDescent="0.25" r="712" customHeight="1" ht="12.75">
      <c r="A712" s="4"/>
      <c r="B712" s="29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29"/>
      <c r="O712" s="76"/>
      <c r="P712" s="29"/>
      <c r="Q712" s="29"/>
      <c r="R712" s="4"/>
      <c r="S712" s="32"/>
      <c r="T712" s="4"/>
      <c r="U712" s="4"/>
      <c r="V712" s="4"/>
      <c r="W712" s="4"/>
    </row>
    <row x14ac:dyDescent="0.25" r="713" customHeight="1" ht="12.75">
      <c r="A713" s="4"/>
      <c r="B713" s="29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29"/>
      <c r="O713" s="76"/>
      <c r="P713" s="29"/>
      <c r="Q713" s="29"/>
      <c r="R713" s="4"/>
      <c r="S713" s="32"/>
      <c r="T713" s="4"/>
      <c r="U713" s="4"/>
      <c r="V713" s="4"/>
      <c r="W713" s="4"/>
    </row>
    <row x14ac:dyDescent="0.25" r="714" customHeight="1" ht="12.75">
      <c r="A714" s="4"/>
      <c r="B714" s="29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29"/>
      <c r="O714" s="76"/>
      <c r="P714" s="29"/>
      <c r="Q714" s="29"/>
      <c r="R714" s="4"/>
      <c r="S714" s="32"/>
      <c r="T714" s="4"/>
      <c r="U714" s="4"/>
      <c r="V714" s="4"/>
      <c r="W714" s="4"/>
    </row>
    <row x14ac:dyDescent="0.25" r="715" customHeight="1" ht="12.75">
      <c r="A715" s="4"/>
      <c r="B715" s="29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29"/>
      <c r="O715" s="76"/>
      <c r="P715" s="29"/>
      <c r="Q715" s="29"/>
      <c r="R715" s="4"/>
      <c r="S715" s="32"/>
      <c r="T715" s="4"/>
      <c r="U715" s="4"/>
      <c r="V715" s="4"/>
      <c r="W715" s="4"/>
    </row>
    <row x14ac:dyDescent="0.25" r="716" customHeight="1" ht="12.75">
      <c r="A716" s="4"/>
      <c r="B716" s="29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29"/>
      <c r="O716" s="76"/>
      <c r="P716" s="29"/>
      <c r="Q716" s="29"/>
      <c r="R716" s="4"/>
      <c r="S716" s="32"/>
      <c r="T716" s="4"/>
      <c r="U716" s="4"/>
      <c r="V716" s="4"/>
      <c r="W716" s="4"/>
    </row>
    <row x14ac:dyDescent="0.25" r="717" customHeight="1" ht="12.75">
      <c r="A717" s="4"/>
      <c r="B717" s="29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29"/>
      <c r="O717" s="76"/>
      <c r="P717" s="29"/>
      <c r="Q717" s="29"/>
      <c r="R717" s="4"/>
      <c r="S717" s="32"/>
      <c r="T717" s="4"/>
      <c r="U717" s="4"/>
      <c r="V717" s="4"/>
      <c r="W717" s="4"/>
    </row>
    <row x14ac:dyDescent="0.25" r="718" customHeight="1" ht="12.75">
      <c r="A718" s="4"/>
      <c r="B718" s="29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29"/>
      <c r="O718" s="76"/>
      <c r="P718" s="29"/>
      <c r="Q718" s="29"/>
      <c r="R718" s="4"/>
      <c r="S718" s="32"/>
      <c r="T718" s="4"/>
      <c r="U718" s="4"/>
      <c r="V718" s="4"/>
      <c r="W718" s="4"/>
    </row>
    <row x14ac:dyDescent="0.25" r="719" customHeight="1" ht="12.75">
      <c r="A719" s="4"/>
      <c r="B719" s="29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29"/>
      <c r="O719" s="76"/>
      <c r="P719" s="29"/>
      <c r="Q719" s="29"/>
      <c r="R719" s="4"/>
      <c r="S719" s="32"/>
      <c r="T719" s="4"/>
      <c r="U719" s="4"/>
      <c r="V719" s="4"/>
      <c r="W719" s="4"/>
    </row>
    <row x14ac:dyDescent="0.25" r="720" customHeight="1" ht="12.75">
      <c r="A720" s="4"/>
      <c r="B720" s="29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29"/>
      <c r="O720" s="76"/>
      <c r="P720" s="29"/>
      <c r="Q720" s="29"/>
      <c r="R720" s="4"/>
      <c r="S720" s="32"/>
      <c r="T720" s="4"/>
      <c r="U720" s="4"/>
      <c r="V720" s="4"/>
      <c r="W720" s="4"/>
    </row>
    <row x14ac:dyDescent="0.25" r="721" customHeight="1" ht="12.75">
      <c r="A721" s="4"/>
      <c r="B721" s="29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29"/>
      <c r="O721" s="76"/>
      <c r="P721" s="29"/>
      <c r="Q721" s="29"/>
      <c r="R721" s="4"/>
      <c r="S721" s="32"/>
      <c r="T721" s="4"/>
      <c r="U721" s="4"/>
      <c r="V721" s="4"/>
      <c r="W721" s="4"/>
    </row>
    <row x14ac:dyDescent="0.25" r="722" customHeight="1" ht="12.75">
      <c r="A722" s="4"/>
      <c r="B722" s="29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29"/>
      <c r="O722" s="76"/>
      <c r="P722" s="29"/>
      <c r="Q722" s="29"/>
      <c r="R722" s="4"/>
      <c r="S722" s="32"/>
      <c r="T722" s="4"/>
      <c r="U722" s="4"/>
      <c r="V722" s="4"/>
      <c r="W722" s="4"/>
    </row>
    <row x14ac:dyDescent="0.25" r="723" customHeight="1" ht="12.75">
      <c r="A723" s="4"/>
      <c r="B723" s="29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29"/>
      <c r="O723" s="76"/>
      <c r="P723" s="29"/>
      <c r="Q723" s="29"/>
      <c r="R723" s="4"/>
      <c r="S723" s="32"/>
      <c r="T723" s="4"/>
      <c r="U723" s="4"/>
      <c r="V723" s="4"/>
      <c r="W723" s="4"/>
    </row>
    <row x14ac:dyDescent="0.25" r="724" customHeight="1" ht="12.75">
      <c r="A724" s="4"/>
      <c r="B724" s="29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29"/>
      <c r="O724" s="76"/>
      <c r="P724" s="29"/>
      <c r="Q724" s="29"/>
      <c r="R724" s="4"/>
      <c r="S724" s="32"/>
      <c r="T724" s="4"/>
      <c r="U724" s="4"/>
      <c r="V724" s="4"/>
      <c r="W724" s="4"/>
    </row>
    <row x14ac:dyDescent="0.25" r="725" customHeight="1" ht="12.75">
      <c r="A725" s="4"/>
      <c r="B725" s="29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29"/>
      <c r="O725" s="76"/>
      <c r="P725" s="29"/>
      <c r="Q725" s="29"/>
      <c r="R725" s="4"/>
      <c r="S725" s="32"/>
      <c r="T725" s="4"/>
      <c r="U725" s="4"/>
      <c r="V725" s="4"/>
      <c r="W725" s="4"/>
    </row>
    <row x14ac:dyDescent="0.25" r="726" customHeight="1" ht="12.75">
      <c r="A726" s="4"/>
      <c r="B726" s="29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29"/>
      <c r="O726" s="76"/>
      <c r="P726" s="29"/>
      <c r="Q726" s="29"/>
      <c r="R726" s="4"/>
      <c r="S726" s="32"/>
      <c r="T726" s="4"/>
      <c r="U726" s="4"/>
      <c r="V726" s="4"/>
      <c r="W726" s="4"/>
    </row>
    <row x14ac:dyDescent="0.25" r="727" customHeight="1" ht="12.75">
      <c r="A727" s="4"/>
      <c r="B727" s="29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29"/>
      <c r="O727" s="76"/>
      <c r="P727" s="29"/>
      <c r="Q727" s="29"/>
      <c r="R727" s="4"/>
      <c r="S727" s="32"/>
      <c r="T727" s="4"/>
      <c r="U727" s="4"/>
      <c r="V727" s="4"/>
      <c r="W727" s="4"/>
    </row>
    <row x14ac:dyDescent="0.25" r="728" customHeight="1" ht="12.75">
      <c r="A728" s="4"/>
      <c r="B728" s="29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29"/>
      <c r="O728" s="76"/>
      <c r="P728" s="29"/>
      <c r="Q728" s="29"/>
      <c r="R728" s="4"/>
      <c r="S728" s="32"/>
      <c r="T728" s="4"/>
      <c r="U728" s="4"/>
      <c r="V728" s="4"/>
      <c r="W728" s="4"/>
    </row>
    <row x14ac:dyDescent="0.25" r="729" customHeight="1" ht="12.75">
      <c r="A729" s="4"/>
      <c r="B729" s="29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29"/>
      <c r="O729" s="76"/>
      <c r="P729" s="29"/>
      <c r="Q729" s="29"/>
      <c r="R729" s="4"/>
      <c r="S729" s="32"/>
      <c r="T729" s="4"/>
      <c r="U729" s="4"/>
      <c r="V729" s="4"/>
      <c r="W729" s="4"/>
    </row>
    <row x14ac:dyDescent="0.25" r="730" customHeight="1" ht="12.75">
      <c r="A730" s="4"/>
      <c r="B730" s="29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29"/>
      <c r="O730" s="76"/>
      <c r="P730" s="29"/>
      <c r="Q730" s="29"/>
      <c r="R730" s="4"/>
      <c r="S730" s="32"/>
      <c r="T730" s="4"/>
      <c r="U730" s="4"/>
      <c r="V730" s="4"/>
      <c r="W730" s="4"/>
    </row>
    <row x14ac:dyDescent="0.25" r="731" customHeight="1" ht="12.75">
      <c r="A731" s="4"/>
      <c r="B731" s="29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29"/>
      <c r="O731" s="76"/>
      <c r="P731" s="29"/>
      <c r="Q731" s="29"/>
      <c r="R731" s="4"/>
      <c r="S731" s="32"/>
      <c r="T731" s="4"/>
      <c r="U731" s="4"/>
      <c r="V731" s="4"/>
      <c r="W731" s="4"/>
    </row>
    <row x14ac:dyDescent="0.25" r="732" customHeight="1" ht="12.75">
      <c r="A732" s="4"/>
      <c r="B732" s="29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29"/>
      <c r="O732" s="76"/>
      <c r="P732" s="29"/>
      <c r="Q732" s="29"/>
      <c r="R732" s="4"/>
      <c r="S732" s="32"/>
      <c r="T732" s="4"/>
      <c r="U732" s="4"/>
      <c r="V732" s="4"/>
      <c r="W732" s="4"/>
    </row>
    <row x14ac:dyDescent="0.25" r="733" customHeight="1" ht="12.75">
      <c r="A733" s="4"/>
      <c r="B733" s="29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29"/>
      <c r="O733" s="76"/>
      <c r="P733" s="29"/>
      <c r="Q733" s="29"/>
      <c r="R733" s="4"/>
      <c r="S733" s="32"/>
      <c r="T733" s="4"/>
      <c r="U733" s="4"/>
      <c r="V733" s="4"/>
      <c r="W733" s="4"/>
    </row>
    <row x14ac:dyDescent="0.25" r="734" customHeight="1" ht="12.75">
      <c r="A734" s="4"/>
      <c r="B734" s="29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29"/>
      <c r="O734" s="76"/>
      <c r="P734" s="29"/>
      <c r="Q734" s="29"/>
      <c r="R734" s="4"/>
      <c r="S734" s="32"/>
      <c r="T734" s="4"/>
      <c r="U734" s="4"/>
      <c r="V734" s="4"/>
      <c r="W734" s="4"/>
    </row>
    <row x14ac:dyDescent="0.25" r="735" customHeight="1" ht="12.75">
      <c r="A735" s="4"/>
      <c r="B735" s="29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29"/>
      <c r="O735" s="76"/>
      <c r="P735" s="29"/>
      <c r="Q735" s="29"/>
      <c r="R735" s="4"/>
      <c r="S735" s="32"/>
      <c r="T735" s="4"/>
      <c r="U735" s="4"/>
      <c r="V735" s="4"/>
      <c r="W735" s="4"/>
    </row>
    <row x14ac:dyDescent="0.25" r="736" customHeight="1" ht="12.75">
      <c r="A736" s="4"/>
      <c r="B736" s="29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29"/>
      <c r="O736" s="76"/>
      <c r="P736" s="29"/>
      <c r="Q736" s="29"/>
      <c r="R736" s="4"/>
      <c r="S736" s="32"/>
      <c r="T736" s="4"/>
      <c r="U736" s="4"/>
      <c r="V736" s="4"/>
      <c r="W736" s="4"/>
    </row>
    <row x14ac:dyDescent="0.25" r="737" customHeight="1" ht="12.75">
      <c r="A737" s="4"/>
      <c r="B737" s="29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29"/>
      <c r="O737" s="76"/>
      <c r="P737" s="29"/>
      <c r="Q737" s="29"/>
      <c r="R737" s="4"/>
      <c r="S737" s="32"/>
      <c r="T737" s="4"/>
      <c r="U737" s="4"/>
      <c r="V737" s="4"/>
      <c r="W737" s="4"/>
    </row>
    <row x14ac:dyDescent="0.25" r="738" customHeight="1" ht="12.75">
      <c r="A738" s="4"/>
      <c r="B738" s="29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29"/>
      <c r="O738" s="76"/>
      <c r="P738" s="29"/>
      <c r="Q738" s="29"/>
      <c r="R738" s="4"/>
      <c r="S738" s="32"/>
      <c r="T738" s="4"/>
      <c r="U738" s="4"/>
      <c r="V738" s="4"/>
      <c r="W738" s="4"/>
    </row>
    <row x14ac:dyDescent="0.25" r="739" customHeight="1" ht="12.75">
      <c r="A739" s="4"/>
      <c r="B739" s="29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29"/>
      <c r="O739" s="76"/>
      <c r="P739" s="29"/>
      <c r="Q739" s="29"/>
      <c r="R739" s="4"/>
      <c r="S739" s="32"/>
      <c r="T739" s="4"/>
      <c r="U739" s="4"/>
      <c r="V739" s="4"/>
      <c r="W739" s="4"/>
    </row>
    <row x14ac:dyDescent="0.25" r="740" customHeight="1" ht="12.75">
      <c r="A740" s="4"/>
      <c r="B740" s="29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29"/>
      <c r="O740" s="76"/>
      <c r="P740" s="29"/>
      <c r="Q740" s="29"/>
      <c r="R740" s="4"/>
      <c r="S740" s="32"/>
      <c r="T740" s="4"/>
      <c r="U740" s="4"/>
      <c r="V740" s="4"/>
      <c r="W740" s="4"/>
    </row>
    <row x14ac:dyDescent="0.25" r="741" customHeight="1" ht="12.75">
      <c r="A741" s="4"/>
      <c r="B741" s="29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29"/>
      <c r="O741" s="76"/>
      <c r="P741" s="29"/>
      <c r="Q741" s="29"/>
      <c r="R741" s="4"/>
      <c r="S741" s="32"/>
      <c r="T741" s="4"/>
      <c r="U741" s="4"/>
      <c r="V741" s="4"/>
      <c r="W741" s="4"/>
    </row>
    <row x14ac:dyDescent="0.25" r="742" customHeight="1" ht="12.75">
      <c r="A742" s="4"/>
      <c r="B742" s="29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29"/>
      <c r="O742" s="76"/>
      <c r="P742" s="29"/>
      <c r="Q742" s="29"/>
      <c r="R742" s="4"/>
      <c r="S742" s="32"/>
      <c r="T742" s="4"/>
      <c r="U742" s="4"/>
      <c r="V742" s="4"/>
      <c r="W742" s="4"/>
    </row>
    <row x14ac:dyDescent="0.25" r="743" customHeight="1" ht="12.75">
      <c r="A743" s="4"/>
      <c r="B743" s="29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29"/>
      <c r="O743" s="76"/>
      <c r="P743" s="29"/>
      <c r="Q743" s="29"/>
      <c r="R743" s="4"/>
      <c r="S743" s="32"/>
      <c r="T743" s="4"/>
      <c r="U743" s="4"/>
      <c r="V743" s="4"/>
      <c r="W743" s="4"/>
    </row>
    <row x14ac:dyDescent="0.25" r="744" customHeight="1" ht="12.75">
      <c r="A744" s="4"/>
      <c r="B744" s="29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29"/>
      <c r="O744" s="76"/>
      <c r="P744" s="29"/>
      <c r="Q744" s="29"/>
      <c r="R744" s="4"/>
      <c r="S744" s="32"/>
      <c r="T744" s="4"/>
      <c r="U744" s="4"/>
      <c r="V744" s="4"/>
      <c r="W744" s="4"/>
    </row>
    <row x14ac:dyDescent="0.25" r="745" customHeight="1" ht="12.75">
      <c r="A745" s="4"/>
      <c r="B745" s="29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29"/>
      <c r="O745" s="76"/>
      <c r="P745" s="29"/>
      <c r="Q745" s="29"/>
      <c r="R745" s="4"/>
      <c r="S745" s="32"/>
      <c r="T745" s="4"/>
      <c r="U745" s="4"/>
      <c r="V745" s="4"/>
      <c r="W745" s="4"/>
    </row>
    <row x14ac:dyDescent="0.25" r="746" customHeight="1" ht="12.75">
      <c r="A746" s="4"/>
      <c r="B746" s="29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29"/>
      <c r="O746" s="76"/>
      <c r="P746" s="29"/>
      <c r="Q746" s="29"/>
      <c r="R746" s="4"/>
      <c r="S746" s="32"/>
      <c r="T746" s="4"/>
      <c r="U746" s="4"/>
      <c r="V746" s="4"/>
      <c r="W746" s="4"/>
    </row>
    <row x14ac:dyDescent="0.25" r="747" customHeight="1" ht="12.75">
      <c r="A747" s="4"/>
      <c r="B747" s="29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29"/>
      <c r="O747" s="76"/>
      <c r="P747" s="29"/>
      <c r="Q747" s="29"/>
      <c r="R747" s="4"/>
      <c r="S747" s="32"/>
      <c r="T747" s="4"/>
      <c r="U747" s="4"/>
      <c r="V747" s="4"/>
      <c r="W747" s="4"/>
    </row>
    <row x14ac:dyDescent="0.25" r="748" customHeight="1" ht="12.75">
      <c r="A748" s="4"/>
      <c r="B748" s="29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29"/>
      <c r="O748" s="76"/>
      <c r="P748" s="29"/>
      <c r="Q748" s="29"/>
      <c r="R748" s="4"/>
      <c r="S748" s="32"/>
      <c r="T748" s="4"/>
      <c r="U748" s="4"/>
      <c r="V748" s="4"/>
      <c r="W748" s="4"/>
    </row>
    <row x14ac:dyDescent="0.25" r="749" customHeight="1" ht="12.75">
      <c r="A749" s="4"/>
      <c r="B749" s="29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29"/>
      <c r="O749" s="76"/>
      <c r="P749" s="29"/>
      <c r="Q749" s="29"/>
      <c r="R749" s="4"/>
      <c r="S749" s="32"/>
      <c r="T749" s="4"/>
      <c r="U749" s="4"/>
      <c r="V749" s="4"/>
      <c r="W749" s="4"/>
    </row>
    <row x14ac:dyDescent="0.25" r="750" customHeight="1" ht="12.75">
      <c r="A750" s="4"/>
      <c r="B750" s="29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29"/>
      <c r="O750" s="76"/>
      <c r="P750" s="29"/>
      <c r="Q750" s="29"/>
      <c r="R750" s="4"/>
      <c r="S750" s="32"/>
      <c r="T750" s="4"/>
      <c r="U750" s="4"/>
      <c r="V750" s="4"/>
      <c r="W750" s="4"/>
    </row>
    <row x14ac:dyDescent="0.25" r="751" customHeight="1" ht="12.75">
      <c r="A751" s="4"/>
      <c r="B751" s="29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29"/>
      <c r="O751" s="76"/>
      <c r="P751" s="29"/>
      <c r="Q751" s="29"/>
      <c r="R751" s="4"/>
      <c r="S751" s="32"/>
      <c r="T751" s="4"/>
      <c r="U751" s="4"/>
      <c r="V751" s="4"/>
      <c r="W751" s="4"/>
    </row>
    <row x14ac:dyDescent="0.25" r="752" customHeight="1" ht="12.75">
      <c r="A752" s="4"/>
      <c r="B752" s="29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29"/>
      <c r="O752" s="76"/>
      <c r="P752" s="29"/>
      <c r="Q752" s="29"/>
      <c r="R752" s="4"/>
      <c r="S752" s="32"/>
      <c r="T752" s="4"/>
      <c r="U752" s="4"/>
      <c r="V752" s="4"/>
      <c r="W752" s="4"/>
    </row>
    <row x14ac:dyDescent="0.25" r="753" customHeight="1" ht="12.75">
      <c r="A753" s="4"/>
      <c r="B753" s="29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29"/>
      <c r="O753" s="76"/>
      <c r="P753" s="29"/>
      <c r="Q753" s="29"/>
      <c r="R753" s="4"/>
      <c r="S753" s="32"/>
      <c r="T753" s="4"/>
      <c r="U753" s="4"/>
      <c r="V753" s="4"/>
      <c r="W753" s="4"/>
    </row>
    <row x14ac:dyDescent="0.25" r="754" customHeight="1" ht="12.75">
      <c r="A754" s="4"/>
      <c r="B754" s="29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29"/>
      <c r="O754" s="76"/>
      <c r="P754" s="29"/>
      <c r="Q754" s="29"/>
      <c r="R754" s="4"/>
      <c r="S754" s="32"/>
      <c r="T754" s="4"/>
      <c r="U754" s="4"/>
      <c r="V754" s="4"/>
      <c r="W754" s="4"/>
    </row>
    <row x14ac:dyDescent="0.25" r="755" customHeight="1" ht="12.75">
      <c r="A755" s="4"/>
      <c r="B755" s="29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29"/>
      <c r="O755" s="76"/>
      <c r="P755" s="29"/>
      <c r="Q755" s="29"/>
      <c r="R755" s="4"/>
      <c r="S755" s="32"/>
      <c r="T755" s="4"/>
      <c r="U755" s="4"/>
      <c r="V755" s="4"/>
      <c r="W755" s="4"/>
    </row>
    <row x14ac:dyDescent="0.25" r="756" customHeight="1" ht="12.75">
      <c r="A756" s="4"/>
      <c r="B756" s="29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29"/>
      <c r="O756" s="76"/>
      <c r="P756" s="29"/>
      <c r="Q756" s="29"/>
      <c r="R756" s="4"/>
      <c r="S756" s="32"/>
      <c r="T756" s="4"/>
      <c r="U756" s="4"/>
      <c r="V756" s="4"/>
      <c r="W756" s="4"/>
    </row>
    <row x14ac:dyDescent="0.25" r="757" customHeight="1" ht="12.75">
      <c r="A757" s="4"/>
      <c r="B757" s="29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29"/>
      <c r="O757" s="76"/>
      <c r="P757" s="29"/>
      <c r="Q757" s="29"/>
      <c r="R757" s="4"/>
      <c r="S757" s="32"/>
      <c r="T757" s="4"/>
      <c r="U757" s="4"/>
      <c r="V757" s="4"/>
      <c r="W757" s="4"/>
    </row>
    <row x14ac:dyDescent="0.25" r="758" customHeight="1" ht="12.75">
      <c r="A758" s="4"/>
      <c r="B758" s="29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29"/>
      <c r="O758" s="76"/>
      <c r="P758" s="29"/>
      <c r="Q758" s="29"/>
      <c r="R758" s="4"/>
      <c r="S758" s="32"/>
      <c r="T758" s="4"/>
      <c r="U758" s="4"/>
      <c r="V758" s="4"/>
      <c r="W758" s="4"/>
    </row>
    <row x14ac:dyDescent="0.25" r="759" customHeight="1" ht="12.75">
      <c r="A759" s="4"/>
      <c r="B759" s="29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29"/>
      <c r="O759" s="76"/>
      <c r="P759" s="29"/>
      <c r="Q759" s="29"/>
      <c r="R759" s="4"/>
      <c r="S759" s="32"/>
      <c r="T759" s="4"/>
      <c r="U759" s="4"/>
      <c r="V759" s="4"/>
      <c r="W759" s="4"/>
    </row>
    <row x14ac:dyDescent="0.25" r="760" customHeight="1" ht="12.75">
      <c r="A760" s="4"/>
      <c r="B760" s="29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29"/>
      <c r="O760" s="76"/>
      <c r="P760" s="29"/>
      <c r="Q760" s="29"/>
      <c r="R760" s="4"/>
      <c r="S760" s="32"/>
      <c r="T760" s="4"/>
      <c r="U760" s="4"/>
      <c r="V760" s="4"/>
      <c r="W760" s="4"/>
    </row>
    <row x14ac:dyDescent="0.25" r="761" customHeight="1" ht="12.75">
      <c r="A761" s="4"/>
      <c r="B761" s="29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29"/>
      <c r="O761" s="76"/>
      <c r="P761" s="29"/>
      <c r="Q761" s="29"/>
      <c r="R761" s="4"/>
      <c r="S761" s="32"/>
      <c r="T761" s="4"/>
      <c r="U761" s="4"/>
      <c r="V761" s="4"/>
      <c r="W761" s="4"/>
    </row>
    <row x14ac:dyDescent="0.25" r="762" customHeight="1" ht="12.75">
      <c r="A762" s="4"/>
      <c r="B762" s="29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29"/>
      <c r="O762" s="76"/>
      <c r="P762" s="29"/>
      <c r="Q762" s="29"/>
      <c r="R762" s="4"/>
      <c r="S762" s="32"/>
      <c r="T762" s="4"/>
      <c r="U762" s="4"/>
      <c r="V762" s="4"/>
      <c r="W762" s="4"/>
    </row>
    <row x14ac:dyDescent="0.25" r="763" customHeight="1" ht="12.75">
      <c r="A763" s="4"/>
      <c r="B763" s="29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29"/>
      <c r="O763" s="76"/>
      <c r="P763" s="29"/>
      <c r="Q763" s="29"/>
      <c r="R763" s="4"/>
      <c r="S763" s="32"/>
      <c r="T763" s="4"/>
      <c r="U763" s="4"/>
      <c r="V763" s="4"/>
      <c r="W763" s="4"/>
    </row>
    <row x14ac:dyDescent="0.25" r="764" customHeight="1" ht="12.75">
      <c r="A764" s="4"/>
      <c r="B764" s="29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29"/>
      <c r="O764" s="76"/>
      <c r="P764" s="29"/>
      <c r="Q764" s="29"/>
      <c r="R764" s="4"/>
      <c r="S764" s="32"/>
      <c r="T764" s="4"/>
      <c r="U764" s="4"/>
      <c r="V764" s="4"/>
      <c r="W764" s="4"/>
    </row>
    <row x14ac:dyDescent="0.25" r="765" customHeight="1" ht="12.75">
      <c r="A765" s="4"/>
      <c r="B765" s="29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29"/>
      <c r="O765" s="76"/>
      <c r="P765" s="29"/>
      <c r="Q765" s="29"/>
      <c r="R765" s="4"/>
      <c r="S765" s="32"/>
      <c r="T765" s="4"/>
      <c r="U765" s="4"/>
      <c r="V765" s="4"/>
      <c r="W765" s="4"/>
    </row>
    <row x14ac:dyDescent="0.25" r="766" customHeight="1" ht="12.75">
      <c r="A766" s="4"/>
      <c r="B766" s="29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29"/>
      <c r="O766" s="76"/>
      <c r="P766" s="29"/>
      <c r="Q766" s="29"/>
      <c r="R766" s="4"/>
      <c r="S766" s="32"/>
      <c r="T766" s="4"/>
      <c r="U766" s="4"/>
      <c r="V766" s="4"/>
      <c r="W766" s="4"/>
    </row>
    <row x14ac:dyDescent="0.25" r="767" customHeight="1" ht="12.75">
      <c r="A767" s="4"/>
      <c r="B767" s="29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29"/>
      <c r="O767" s="76"/>
      <c r="P767" s="29"/>
      <c r="Q767" s="29"/>
      <c r="R767" s="4"/>
      <c r="S767" s="32"/>
      <c r="T767" s="4"/>
      <c r="U767" s="4"/>
      <c r="V767" s="4"/>
      <c r="W767" s="4"/>
    </row>
    <row x14ac:dyDescent="0.25" r="768" customHeight="1" ht="12.75">
      <c r="A768" s="4"/>
      <c r="B768" s="29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29"/>
      <c r="O768" s="76"/>
      <c r="P768" s="29"/>
      <c r="Q768" s="29"/>
      <c r="R768" s="4"/>
      <c r="S768" s="32"/>
      <c r="T768" s="4"/>
      <c r="U768" s="4"/>
      <c r="V768" s="4"/>
      <c r="W768" s="4"/>
    </row>
    <row x14ac:dyDescent="0.25" r="769" customHeight="1" ht="12.75">
      <c r="A769" s="4"/>
      <c r="B769" s="29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29"/>
      <c r="O769" s="76"/>
      <c r="P769" s="29"/>
      <c r="Q769" s="29"/>
      <c r="R769" s="4"/>
      <c r="S769" s="32"/>
      <c r="T769" s="4"/>
      <c r="U769" s="4"/>
      <c r="V769" s="4"/>
      <c r="W769" s="4"/>
    </row>
    <row x14ac:dyDescent="0.25" r="770" customHeight="1" ht="12.75">
      <c r="A770" s="4"/>
      <c r="B770" s="29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29"/>
      <c r="O770" s="76"/>
      <c r="P770" s="29"/>
      <c r="Q770" s="29"/>
      <c r="R770" s="4"/>
      <c r="S770" s="32"/>
      <c r="T770" s="4"/>
      <c r="U770" s="4"/>
      <c r="V770" s="4"/>
      <c r="W770" s="4"/>
    </row>
    <row x14ac:dyDescent="0.25" r="771" customHeight="1" ht="12.75">
      <c r="A771" s="4"/>
      <c r="B771" s="29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29"/>
      <c r="O771" s="76"/>
      <c r="P771" s="29"/>
      <c r="Q771" s="29"/>
      <c r="R771" s="4"/>
      <c r="S771" s="32"/>
      <c r="T771" s="4"/>
      <c r="U771" s="4"/>
      <c r="V771" s="4"/>
      <c r="W771" s="4"/>
    </row>
    <row x14ac:dyDescent="0.25" r="772" customHeight="1" ht="12.75">
      <c r="A772" s="4"/>
      <c r="B772" s="29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29"/>
      <c r="O772" s="76"/>
      <c r="P772" s="29"/>
      <c r="Q772" s="29"/>
      <c r="R772" s="4"/>
      <c r="S772" s="32"/>
      <c r="T772" s="4"/>
      <c r="U772" s="4"/>
      <c r="V772" s="4"/>
      <c r="W772" s="4"/>
    </row>
    <row x14ac:dyDescent="0.25" r="773" customHeight="1" ht="12.75">
      <c r="A773" s="4"/>
      <c r="B773" s="29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29"/>
      <c r="O773" s="76"/>
      <c r="P773" s="29"/>
      <c r="Q773" s="29"/>
      <c r="R773" s="4"/>
      <c r="S773" s="32"/>
      <c r="T773" s="4"/>
      <c r="U773" s="4"/>
      <c r="V773" s="4"/>
      <c r="W773" s="4"/>
    </row>
    <row x14ac:dyDescent="0.25" r="774" customHeight="1" ht="12.75">
      <c r="A774" s="4"/>
      <c r="B774" s="29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29"/>
      <c r="O774" s="76"/>
      <c r="P774" s="29"/>
      <c r="Q774" s="29"/>
      <c r="R774" s="4"/>
      <c r="S774" s="32"/>
      <c r="T774" s="4"/>
      <c r="U774" s="4"/>
      <c r="V774" s="4"/>
      <c r="W774" s="4"/>
    </row>
    <row x14ac:dyDescent="0.25" r="775" customHeight="1" ht="12.75">
      <c r="A775" s="4"/>
      <c r="B775" s="29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29"/>
      <c r="O775" s="76"/>
      <c r="P775" s="29"/>
      <c r="Q775" s="29"/>
      <c r="R775" s="4"/>
      <c r="S775" s="32"/>
      <c r="T775" s="4"/>
      <c r="U775" s="4"/>
      <c r="V775" s="4"/>
      <c r="W775" s="4"/>
    </row>
    <row x14ac:dyDescent="0.25" r="776" customHeight="1" ht="12.75">
      <c r="A776" s="4"/>
      <c r="B776" s="29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29"/>
      <c r="O776" s="76"/>
      <c r="P776" s="29"/>
      <c r="Q776" s="29"/>
      <c r="R776" s="4"/>
      <c r="S776" s="32"/>
      <c r="T776" s="4"/>
      <c r="U776" s="4"/>
      <c r="V776" s="4"/>
      <c r="W776" s="4"/>
    </row>
    <row x14ac:dyDescent="0.25" r="777" customHeight="1" ht="12.75">
      <c r="A777" s="4"/>
      <c r="B777" s="29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29"/>
      <c r="O777" s="76"/>
      <c r="P777" s="29"/>
      <c r="Q777" s="29"/>
      <c r="R777" s="4"/>
      <c r="S777" s="32"/>
      <c r="T777" s="4"/>
      <c r="U777" s="4"/>
      <c r="V777" s="4"/>
      <c r="W777" s="4"/>
    </row>
    <row x14ac:dyDescent="0.25" r="778" customHeight="1" ht="12.75">
      <c r="A778" s="4"/>
      <c r="B778" s="29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29"/>
      <c r="O778" s="76"/>
      <c r="P778" s="29"/>
      <c r="Q778" s="29"/>
      <c r="R778" s="4"/>
      <c r="S778" s="32"/>
      <c r="T778" s="4"/>
      <c r="U778" s="4"/>
      <c r="V778" s="4"/>
      <c r="W778" s="4"/>
    </row>
    <row x14ac:dyDescent="0.25" r="779" customHeight="1" ht="12.75">
      <c r="A779" s="4"/>
      <c r="B779" s="29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29"/>
      <c r="O779" s="76"/>
      <c r="P779" s="29"/>
      <c r="Q779" s="29"/>
      <c r="R779" s="4"/>
      <c r="S779" s="32"/>
      <c r="T779" s="4"/>
      <c r="U779" s="4"/>
      <c r="V779" s="4"/>
      <c r="W779" s="4"/>
    </row>
    <row x14ac:dyDescent="0.25" r="780" customHeight="1" ht="12.75">
      <c r="A780" s="4"/>
      <c r="B780" s="29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29"/>
      <c r="O780" s="76"/>
      <c r="P780" s="29"/>
      <c r="Q780" s="29"/>
      <c r="R780" s="4"/>
      <c r="S780" s="32"/>
      <c r="T780" s="4"/>
      <c r="U780" s="4"/>
      <c r="V780" s="4"/>
      <c r="W780" s="4"/>
    </row>
    <row x14ac:dyDescent="0.25" r="781" customHeight="1" ht="12.75">
      <c r="A781" s="4"/>
      <c r="B781" s="29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29"/>
      <c r="O781" s="76"/>
      <c r="P781" s="29"/>
      <c r="Q781" s="29"/>
      <c r="R781" s="4"/>
      <c r="S781" s="32"/>
      <c r="T781" s="4"/>
      <c r="U781" s="4"/>
      <c r="V781" s="4"/>
      <c r="W781" s="4"/>
    </row>
    <row x14ac:dyDescent="0.25" r="782" customHeight="1" ht="12.75">
      <c r="A782" s="4"/>
      <c r="B782" s="29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29"/>
      <c r="O782" s="76"/>
      <c r="P782" s="29"/>
      <c r="Q782" s="29"/>
      <c r="R782" s="4"/>
      <c r="S782" s="32"/>
      <c r="T782" s="4"/>
      <c r="U782" s="4"/>
      <c r="V782" s="4"/>
      <c r="W782" s="4"/>
    </row>
    <row x14ac:dyDescent="0.25" r="783" customHeight="1" ht="12.75">
      <c r="A783" s="4"/>
      <c r="B783" s="29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29"/>
      <c r="O783" s="76"/>
      <c r="P783" s="29"/>
      <c r="Q783" s="29"/>
      <c r="R783" s="4"/>
      <c r="S783" s="32"/>
      <c r="T783" s="4"/>
      <c r="U783" s="4"/>
      <c r="V783" s="4"/>
      <c r="W783" s="4"/>
    </row>
    <row x14ac:dyDescent="0.25" r="784" customHeight="1" ht="12.75">
      <c r="A784" s="4"/>
      <c r="B784" s="29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29"/>
      <c r="O784" s="76"/>
      <c r="P784" s="29"/>
      <c r="Q784" s="29"/>
      <c r="R784" s="4"/>
      <c r="S784" s="32"/>
      <c r="T784" s="4"/>
      <c r="U784" s="4"/>
      <c r="V784" s="4"/>
      <c r="W784" s="4"/>
    </row>
    <row x14ac:dyDescent="0.25" r="785" customHeight="1" ht="12.75">
      <c r="A785" s="4"/>
      <c r="B785" s="29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29"/>
      <c r="O785" s="76"/>
      <c r="P785" s="29"/>
      <c r="Q785" s="29"/>
      <c r="R785" s="4"/>
      <c r="S785" s="32"/>
      <c r="T785" s="4"/>
      <c r="U785" s="4"/>
      <c r="V785" s="4"/>
      <c r="W785" s="4"/>
    </row>
    <row x14ac:dyDescent="0.25" r="786" customHeight="1" ht="12.75">
      <c r="A786" s="4"/>
      <c r="B786" s="29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29"/>
      <c r="O786" s="76"/>
      <c r="P786" s="29"/>
      <c r="Q786" s="29"/>
      <c r="R786" s="4"/>
      <c r="S786" s="32"/>
      <c r="T786" s="4"/>
      <c r="U786" s="4"/>
      <c r="V786" s="4"/>
      <c r="W786" s="4"/>
    </row>
    <row x14ac:dyDescent="0.25" r="787" customHeight="1" ht="12.75">
      <c r="A787" s="4"/>
      <c r="B787" s="29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29"/>
      <c r="O787" s="76"/>
      <c r="P787" s="29"/>
      <c r="Q787" s="29"/>
      <c r="R787" s="4"/>
      <c r="S787" s="32"/>
      <c r="T787" s="4"/>
      <c r="U787" s="4"/>
      <c r="V787" s="4"/>
      <c r="W787" s="4"/>
    </row>
    <row x14ac:dyDescent="0.25" r="788" customHeight="1" ht="12.75">
      <c r="A788" s="4"/>
      <c r="B788" s="29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29"/>
      <c r="O788" s="76"/>
      <c r="P788" s="29"/>
      <c r="Q788" s="29"/>
      <c r="R788" s="4"/>
      <c r="S788" s="32"/>
      <c r="T788" s="4"/>
      <c r="U788" s="4"/>
      <c r="V788" s="4"/>
      <c r="W788" s="4"/>
    </row>
    <row x14ac:dyDescent="0.25" r="789" customHeight="1" ht="12.75">
      <c r="A789" s="4"/>
      <c r="B789" s="29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29"/>
      <c r="O789" s="76"/>
      <c r="P789" s="29"/>
      <c r="Q789" s="29"/>
      <c r="R789" s="4"/>
      <c r="S789" s="32"/>
      <c r="T789" s="4"/>
      <c r="U789" s="4"/>
      <c r="V789" s="4"/>
      <c r="W789" s="4"/>
    </row>
    <row x14ac:dyDescent="0.25" r="790" customHeight="1" ht="12.75">
      <c r="A790" s="4"/>
      <c r="B790" s="29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29"/>
      <c r="O790" s="76"/>
      <c r="P790" s="29"/>
      <c r="Q790" s="29"/>
      <c r="R790" s="4"/>
      <c r="S790" s="32"/>
      <c r="T790" s="4"/>
      <c r="U790" s="4"/>
      <c r="V790" s="4"/>
      <c r="W790" s="4"/>
    </row>
    <row x14ac:dyDescent="0.25" r="791" customHeight="1" ht="12.75">
      <c r="A791" s="4"/>
      <c r="B791" s="29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29"/>
      <c r="O791" s="76"/>
      <c r="P791" s="29"/>
      <c r="Q791" s="29"/>
      <c r="R791" s="4"/>
      <c r="S791" s="32"/>
      <c r="T791" s="4"/>
      <c r="U791" s="4"/>
      <c r="V791" s="4"/>
      <c r="W791" s="4"/>
    </row>
    <row x14ac:dyDescent="0.25" r="792" customHeight="1" ht="12.75">
      <c r="A792" s="4"/>
      <c r="B792" s="29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29"/>
      <c r="O792" s="76"/>
      <c r="P792" s="29"/>
      <c r="Q792" s="29"/>
      <c r="R792" s="4"/>
      <c r="S792" s="32"/>
      <c r="T792" s="4"/>
      <c r="U792" s="4"/>
      <c r="V792" s="4"/>
      <c r="W792" s="4"/>
    </row>
    <row x14ac:dyDescent="0.25" r="793" customHeight="1" ht="12.75">
      <c r="A793" s="4"/>
      <c r="B793" s="29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29"/>
      <c r="O793" s="76"/>
      <c r="P793" s="29"/>
      <c r="Q793" s="29"/>
      <c r="R793" s="4"/>
      <c r="S793" s="32"/>
      <c r="T793" s="4"/>
      <c r="U793" s="4"/>
      <c r="V793" s="4"/>
      <c r="W793" s="4"/>
    </row>
    <row x14ac:dyDescent="0.25" r="794" customHeight="1" ht="12.75">
      <c r="A794" s="4"/>
      <c r="B794" s="29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29"/>
      <c r="O794" s="76"/>
      <c r="P794" s="29"/>
      <c r="Q794" s="29"/>
      <c r="R794" s="4"/>
      <c r="S794" s="32"/>
      <c r="T794" s="4"/>
      <c r="U794" s="4"/>
      <c r="V794" s="4"/>
      <c r="W794" s="4"/>
    </row>
    <row x14ac:dyDescent="0.25" r="795" customHeight="1" ht="12.75">
      <c r="A795" s="4"/>
      <c r="B795" s="29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29"/>
      <c r="O795" s="76"/>
      <c r="P795" s="29"/>
      <c r="Q795" s="29"/>
      <c r="R795" s="4"/>
      <c r="S795" s="32"/>
      <c r="T795" s="4"/>
      <c r="U795" s="4"/>
      <c r="V795" s="4"/>
      <c r="W795" s="4"/>
    </row>
    <row x14ac:dyDescent="0.25" r="796" customHeight="1" ht="12.75">
      <c r="A796" s="4"/>
      <c r="B796" s="29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29"/>
      <c r="O796" s="76"/>
      <c r="P796" s="29"/>
      <c r="Q796" s="29"/>
      <c r="R796" s="4"/>
      <c r="S796" s="32"/>
      <c r="T796" s="4"/>
      <c r="U796" s="4"/>
      <c r="V796" s="4"/>
      <c r="W796" s="4"/>
    </row>
    <row x14ac:dyDescent="0.25" r="797" customHeight="1" ht="12.75">
      <c r="A797" s="4"/>
      <c r="B797" s="29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29"/>
      <c r="O797" s="76"/>
      <c r="P797" s="29"/>
      <c r="Q797" s="29"/>
      <c r="R797" s="4"/>
      <c r="S797" s="32"/>
      <c r="T797" s="4"/>
      <c r="U797" s="4"/>
      <c r="V797" s="4"/>
      <c r="W797" s="4"/>
    </row>
    <row x14ac:dyDescent="0.25" r="798" customHeight="1" ht="12.75">
      <c r="A798" s="4"/>
      <c r="B798" s="29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29"/>
      <c r="O798" s="76"/>
      <c r="P798" s="29"/>
      <c r="Q798" s="29"/>
      <c r="R798" s="4"/>
      <c r="S798" s="32"/>
      <c r="T798" s="4"/>
      <c r="U798" s="4"/>
      <c r="V798" s="4"/>
      <c r="W798" s="4"/>
    </row>
    <row x14ac:dyDescent="0.25" r="799" customHeight="1" ht="12.75">
      <c r="A799" s="4"/>
      <c r="B799" s="29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29"/>
      <c r="O799" s="76"/>
      <c r="P799" s="29"/>
      <c r="Q799" s="29"/>
      <c r="R799" s="4"/>
      <c r="S799" s="32"/>
      <c r="T799" s="4"/>
      <c r="U799" s="4"/>
      <c r="V799" s="4"/>
      <c r="W799" s="4"/>
    </row>
    <row x14ac:dyDescent="0.25" r="800" customHeight="1" ht="12.75">
      <c r="A800" s="4"/>
      <c r="B800" s="29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29"/>
      <c r="O800" s="76"/>
      <c r="P800" s="29"/>
      <c r="Q800" s="29"/>
      <c r="R800" s="4"/>
      <c r="S800" s="32"/>
      <c r="T800" s="4"/>
      <c r="U800" s="4"/>
      <c r="V800" s="4"/>
      <c r="W800" s="4"/>
    </row>
    <row x14ac:dyDescent="0.25" r="801" customHeight="1" ht="12.75">
      <c r="A801" s="4"/>
      <c r="B801" s="29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29"/>
      <c r="O801" s="76"/>
      <c r="P801" s="29"/>
      <c r="Q801" s="29"/>
      <c r="R801" s="4"/>
      <c r="S801" s="32"/>
      <c r="T801" s="4"/>
      <c r="U801" s="4"/>
      <c r="V801" s="4"/>
      <c r="W801" s="4"/>
    </row>
    <row x14ac:dyDescent="0.25" r="802" customHeight="1" ht="12.75">
      <c r="A802" s="4"/>
      <c r="B802" s="29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29"/>
      <c r="O802" s="76"/>
      <c r="P802" s="29"/>
      <c r="Q802" s="29"/>
      <c r="R802" s="4"/>
      <c r="S802" s="32"/>
      <c r="T802" s="4"/>
      <c r="U802" s="4"/>
      <c r="V802" s="4"/>
      <c r="W802" s="4"/>
    </row>
    <row x14ac:dyDescent="0.25" r="803" customHeight="1" ht="12.75">
      <c r="A803" s="4"/>
      <c r="B803" s="29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29"/>
      <c r="O803" s="76"/>
      <c r="P803" s="29"/>
      <c r="Q803" s="29"/>
      <c r="R803" s="4"/>
      <c r="S803" s="32"/>
      <c r="T803" s="4"/>
      <c r="U803" s="4"/>
      <c r="V803" s="4"/>
      <c r="W803" s="4"/>
    </row>
    <row x14ac:dyDescent="0.25" r="804" customHeight="1" ht="12.75">
      <c r="A804" s="4"/>
      <c r="B804" s="29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29"/>
      <c r="O804" s="76"/>
      <c r="P804" s="29"/>
      <c r="Q804" s="29"/>
      <c r="R804" s="4"/>
      <c r="S804" s="32"/>
      <c r="T804" s="4"/>
      <c r="U804" s="4"/>
      <c r="V804" s="4"/>
      <c r="W804" s="4"/>
    </row>
    <row x14ac:dyDescent="0.25" r="805" customHeight="1" ht="12.75">
      <c r="A805" s="4"/>
      <c r="B805" s="29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29"/>
      <c r="O805" s="76"/>
      <c r="P805" s="29"/>
      <c r="Q805" s="29"/>
      <c r="R805" s="4"/>
      <c r="S805" s="32"/>
      <c r="T805" s="4"/>
      <c r="U805" s="4"/>
      <c r="V805" s="4"/>
      <c r="W805" s="4"/>
    </row>
    <row x14ac:dyDescent="0.25" r="806" customHeight="1" ht="12.75">
      <c r="A806" s="4"/>
      <c r="B806" s="29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29"/>
      <c r="O806" s="76"/>
      <c r="P806" s="29"/>
      <c r="Q806" s="29"/>
      <c r="R806" s="4"/>
      <c r="S806" s="32"/>
      <c r="T806" s="4"/>
      <c r="U806" s="4"/>
      <c r="V806" s="4"/>
      <c r="W806" s="4"/>
    </row>
    <row x14ac:dyDescent="0.25" r="807" customHeight="1" ht="12.75">
      <c r="A807" s="4"/>
      <c r="B807" s="29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29"/>
      <c r="O807" s="76"/>
      <c r="P807" s="29"/>
      <c r="Q807" s="29"/>
      <c r="R807" s="4"/>
      <c r="S807" s="32"/>
      <c r="T807" s="4"/>
      <c r="U807" s="4"/>
      <c r="V807" s="4"/>
      <c r="W807" s="4"/>
    </row>
    <row x14ac:dyDescent="0.25" r="808" customHeight="1" ht="12.75">
      <c r="A808" s="4"/>
      <c r="B808" s="29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29"/>
      <c r="O808" s="76"/>
      <c r="P808" s="29"/>
      <c r="Q808" s="29"/>
      <c r="R808" s="4"/>
      <c r="S808" s="32"/>
      <c r="T808" s="4"/>
      <c r="U808" s="4"/>
      <c r="V808" s="4"/>
      <c r="W808" s="4"/>
    </row>
    <row x14ac:dyDescent="0.25" r="809" customHeight="1" ht="12.75">
      <c r="A809" s="4"/>
      <c r="B809" s="29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29"/>
      <c r="O809" s="76"/>
      <c r="P809" s="29"/>
      <c r="Q809" s="29"/>
      <c r="R809" s="4"/>
      <c r="S809" s="32"/>
      <c r="T809" s="4"/>
      <c r="U809" s="4"/>
      <c r="V809" s="4"/>
      <c r="W809" s="4"/>
    </row>
    <row x14ac:dyDescent="0.25" r="810" customHeight="1" ht="12.75">
      <c r="A810" s="4"/>
      <c r="B810" s="29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29"/>
      <c r="O810" s="76"/>
      <c r="P810" s="29"/>
      <c r="Q810" s="29"/>
      <c r="R810" s="4"/>
      <c r="S810" s="32"/>
      <c r="T810" s="4"/>
      <c r="U810" s="4"/>
      <c r="V810" s="4"/>
      <c r="W810" s="4"/>
    </row>
    <row x14ac:dyDescent="0.25" r="811" customHeight="1" ht="12.75">
      <c r="A811" s="4"/>
      <c r="B811" s="29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29"/>
      <c r="O811" s="76"/>
      <c r="P811" s="29"/>
      <c r="Q811" s="29"/>
      <c r="R811" s="4"/>
      <c r="S811" s="32"/>
      <c r="T811" s="4"/>
      <c r="U811" s="4"/>
      <c r="V811" s="4"/>
      <c r="W811" s="4"/>
    </row>
    <row x14ac:dyDescent="0.25" r="812" customHeight="1" ht="12.75">
      <c r="A812" s="4"/>
      <c r="B812" s="29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29"/>
      <c r="O812" s="76"/>
      <c r="P812" s="29"/>
      <c r="Q812" s="29"/>
      <c r="R812" s="4"/>
      <c r="S812" s="32"/>
      <c r="T812" s="4"/>
      <c r="U812" s="4"/>
      <c r="V812" s="4"/>
      <c r="W812" s="4"/>
    </row>
    <row x14ac:dyDescent="0.25" r="813" customHeight="1" ht="12.75">
      <c r="A813" s="4"/>
      <c r="B813" s="29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29"/>
      <c r="O813" s="76"/>
      <c r="P813" s="29"/>
      <c r="Q813" s="29"/>
      <c r="R813" s="4"/>
      <c r="S813" s="32"/>
      <c r="T813" s="4"/>
      <c r="U813" s="4"/>
      <c r="V813" s="4"/>
      <c r="W813" s="4"/>
    </row>
    <row x14ac:dyDescent="0.25" r="814" customHeight="1" ht="12.75">
      <c r="A814" s="4"/>
      <c r="B814" s="29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29"/>
      <c r="O814" s="76"/>
      <c r="P814" s="29"/>
      <c r="Q814" s="29"/>
      <c r="R814" s="4"/>
      <c r="S814" s="32"/>
      <c r="T814" s="4"/>
      <c r="U814" s="4"/>
      <c r="V814" s="4"/>
      <c r="W814" s="4"/>
    </row>
    <row x14ac:dyDescent="0.25" r="815" customHeight="1" ht="12.75">
      <c r="A815" s="4"/>
      <c r="B815" s="29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29"/>
      <c r="O815" s="76"/>
      <c r="P815" s="29"/>
      <c r="Q815" s="29"/>
      <c r="R815" s="4"/>
      <c r="S815" s="32"/>
      <c r="T815" s="4"/>
      <c r="U815" s="4"/>
      <c r="V815" s="4"/>
      <c r="W815" s="4"/>
    </row>
    <row x14ac:dyDescent="0.25" r="816" customHeight="1" ht="12.75">
      <c r="A816" s="4"/>
      <c r="B816" s="29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29"/>
      <c r="O816" s="76"/>
      <c r="P816" s="29"/>
      <c r="Q816" s="29"/>
      <c r="R816" s="4"/>
      <c r="S816" s="32"/>
      <c r="T816" s="4"/>
      <c r="U816" s="4"/>
      <c r="V816" s="4"/>
      <c r="W816" s="4"/>
    </row>
    <row x14ac:dyDescent="0.25" r="817" customHeight="1" ht="12.75">
      <c r="A817" s="4"/>
      <c r="B817" s="29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29"/>
      <c r="O817" s="76"/>
      <c r="P817" s="29"/>
      <c r="Q817" s="29"/>
      <c r="R817" s="4"/>
      <c r="S817" s="32"/>
      <c r="T817" s="4"/>
      <c r="U817" s="4"/>
      <c r="V817" s="4"/>
      <c r="W817" s="4"/>
    </row>
    <row x14ac:dyDescent="0.25" r="818" customHeight="1" ht="12.75">
      <c r="A818" s="4"/>
      <c r="B818" s="29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29"/>
      <c r="O818" s="76"/>
      <c r="P818" s="29"/>
      <c r="Q818" s="29"/>
      <c r="R818" s="4"/>
      <c r="S818" s="32"/>
      <c r="T818" s="4"/>
      <c r="U818" s="4"/>
      <c r="V818" s="4"/>
      <c r="W818" s="4"/>
    </row>
    <row x14ac:dyDescent="0.25" r="819" customHeight="1" ht="12.75">
      <c r="A819" s="4"/>
      <c r="B819" s="29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29"/>
      <c r="O819" s="76"/>
      <c r="P819" s="29"/>
      <c r="Q819" s="29"/>
      <c r="R819" s="4"/>
      <c r="S819" s="32"/>
      <c r="T819" s="4"/>
      <c r="U819" s="4"/>
      <c r="V819" s="4"/>
      <c r="W819" s="4"/>
    </row>
    <row x14ac:dyDescent="0.25" r="820" customHeight="1" ht="12.75">
      <c r="A820" s="4"/>
      <c r="B820" s="29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29"/>
      <c r="O820" s="76"/>
      <c r="P820" s="29"/>
      <c r="Q820" s="29"/>
      <c r="R820" s="4"/>
      <c r="S820" s="32"/>
      <c r="T820" s="4"/>
      <c r="U820" s="4"/>
      <c r="V820" s="4"/>
      <c r="W820" s="4"/>
    </row>
    <row x14ac:dyDescent="0.25" r="821" customHeight="1" ht="12.75">
      <c r="A821" s="4"/>
      <c r="B821" s="29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29"/>
      <c r="O821" s="76"/>
      <c r="P821" s="29"/>
      <c r="Q821" s="29"/>
      <c r="R821" s="4"/>
      <c r="S821" s="32"/>
      <c r="T821" s="4"/>
      <c r="U821" s="4"/>
      <c r="V821" s="4"/>
      <c r="W821" s="4"/>
    </row>
    <row x14ac:dyDescent="0.25" r="822" customHeight="1" ht="12.75">
      <c r="A822" s="4"/>
      <c r="B822" s="29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29"/>
      <c r="O822" s="76"/>
      <c r="P822" s="29"/>
      <c r="Q822" s="29"/>
      <c r="R822" s="4"/>
      <c r="S822" s="32"/>
      <c r="T822" s="4"/>
      <c r="U822" s="4"/>
      <c r="V822" s="4"/>
      <c r="W822" s="4"/>
    </row>
    <row x14ac:dyDescent="0.25" r="823" customHeight="1" ht="12.75">
      <c r="A823" s="4"/>
      <c r="B823" s="29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29"/>
      <c r="O823" s="76"/>
      <c r="P823" s="29"/>
      <c r="Q823" s="29"/>
      <c r="R823" s="4"/>
      <c r="S823" s="32"/>
      <c r="T823" s="4"/>
      <c r="U823" s="4"/>
      <c r="V823" s="4"/>
      <c r="W823" s="4"/>
    </row>
    <row x14ac:dyDescent="0.25" r="824" customHeight="1" ht="12.75">
      <c r="A824" s="4"/>
      <c r="B824" s="29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29"/>
      <c r="O824" s="76"/>
      <c r="P824" s="29"/>
      <c r="Q824" s="29"/>
      <c r="R824" s="4"/>
      <c r="S824" s="32"/>
      <c r="T824" s="4"/>
      <c r="U824" s="4"/>
      <c r="V824" s="4"/>
      <c r="W824" s="4"/>
    </row>
    <row x14ac:dyDescent="0.25" r="825" customHeight="1" ht="12.75">
      <c r="A825" s="4"/>
      <c r="B825" s="29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29"/>
      <c r="O825" s="76"/>
      <c r="P825" s="29"/>
      <c r="Q825" s="29"/>
      <c r="R825" s="4"/>
      <c r="S825" s="32"/>
      <c r="T825" s="4"/>
      <c r="U825" s="4"/>
      <c r="V825" s="4"/>
      <c r="W825" s="4"/>
    </row>
    <row x14ac:dyDescent="0.25" r="826" customHeight="1" ht="12.75">
      <c r="A826" s="4"/>
      <c r="B826" s="29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29"/>
      <c r="O826" s="76"/>
      <c r="P826" s="29"/>
      <c r="Q826" s="29"/>
      <c r="R826" s="4"/>
      <c r="S826" s="32"/>
      <c r="T826" s="4"/>
      <c r="U826" s="4"/>
      <c r="V826" s="4"/>
      <c r="W826" s="4"/>
    </row>
    <row x14ac:dyDescent="0.25" r="827" customHeight="1" ht="12.75">
      <c r="A827" s="4"/>
      <c r="B827" s="29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29"/>
      <c r="O827" s="76"/>
      <c r="P827" s="29"/>
      <c r="Q827" s="29"/>
      <c r="R827" s="4"/>
      <c r="S827" s="32"/>
      <c r="T827" s="4"/>
      <c r="U827" s="4"/>
      <c r="V827" s="4"/>
      <c r="W827" s="4"/>
    </row>
    <row x14ac:dyDescent="0.25" r="828" customHeight="1" ht="12.75">
      <c r="A828" s="4"/>
      <c r="B828" s="29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29"/>
      <c r="O828" s="76"/>
      <c r="P828" s="29"/>
      <c r="Q828" s="29"/>
      <c r="R828" s="4"/>
      <c r="S828" s="32"/>
      <c r="T828" s="4"/>
      <c r="U828" s="4"/>
      <c r="V828" s="4"/>
      <c r="W828" s="4"/>
    </row>
    <row x14ac:dyDescent="0.25" r="829" customHeight="1" ht="12.75">
      <c r="A829" s="4"/>
      <c r="B829" s="29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29"/>
      <c r="O829" s="76"/>
      <c r="P829" s="29"/>
      <c r="Q829" s="29"/>
      <c r="R829" s="4"/>
      <c r="S829" s="32"/>
      <c r="T829" s="4"/>
      <c r="U829" s="4"/>
      <c r="V829" s="4"/>
      <c r="W829" s="4"/>
    </row>
    <row x14ac:dyDescent="0.25" r="830" customHeight="1" ht="12.75">
      <c r="A830" s="4"/>
      <c r="B830" s="29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29"/>
      <c r="O830" s="76"/>
      <c r="P830" s="29"/>
      <c r="Q830" s="29"/>
      <c r="R830" s="4"/>
      <c r="S830" s="32"/>
      <c r="T830" s="4"/>
      <c r="U830" s="4"/>
      <c r="V830" s="4"/>
      <c r="W830" s="4"/>
    </row>
    <row x14ac:dyDescent="0.25" r="831" customHeight="1" ht="12.75">
      <c r="A831" s="4"/>
      <c r="B831" s="29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29"/>
      <c r="O831" s="76"/>
      <c r="P831" s="29"/>
      <c r="Q831" s="29"/>
      <c r="R831" s="4"/>
      <c r="S831" s="32"/>
      <c r="T831" s="4"/>
      <c r="U831" s="4"/>
      <c r="V831" s="4"/>
      <c r="W831" s="4"/>
    </row>
    <row x14ac:dyDescent="0.25" r="832" customHeight="1" ht="12.75">
      <c r="A832" s="4"/>
      <c r="B832" s="29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29"/>
      <c r="O832" s="76"/>
      <c r="P832" s="29"/>
      <c r="Q832" s="29"/>
      <c r="R832" s="4"/>
      <c r="S832" s="32"/>
      <c r="T832" s="4"/>
      <c r="U832" s="4"/>
      <c r="V832" s="4"/>
      <c r="W832" s="4"/>
    </row>
    <row x14ac:dyDescent="0.25" r="833" customHeight="1" ht="12.75">
      <c r="A833" s="4"/>
      <c r="B833" s="29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29"/>
      <c r="O833" s="76"/>
      <c r="P833" s="29"/>
      <c r="Q833" s="29"/>
      <c r="R833" s="4"/>
      <c r="S833" s="32"/>
      <c r="T833" s="4"/>
      <c r="U833" s="4"/>
      <c r="V833" s="4"/>
      <c r="W833" s="4"/>
    </row>
    <row x14ac:dyDescent="0.25" r="834" customHeight="1" ht="12.75">
      <c r="A834" s="4"/>
      <c r="B834" s="29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29"/>
      <c r="O834" s="76"/>
      <c r="P834" s="29"/>
      <c r="Q834" s="29"/>
      <c r="R834" s="4"/>
      <c r="S834" s="32"/>
      <c r="T834" s="4"/>
      <c r="U834" s="4"/>
      <c r="V834" s="4"/>
      <c r="W834" s="4"/>
    </row>
    <row x14ac:dyDescent="0.25" r="835" customHeight="1" ht="12.75">
      <c r="A835" s="4"/>
      <c r="B835" s="29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29"/>
      <c r="O835" s="76"/>
      <c r="P835" s="29"/>
      <c r="Q835" s="29"/>
      <c r="R835" s="4"/>
      <c r="S835" s="32"/>
      <c r="T835" s="4"/>
      <c r="U835" s="4"/>
      <c r="V835" s="4"/>
      <c r="W835" s="4"/>
    </row>
    <row x14ac:dyDescent="0.25" r="836" customHeight="1" ht="12.75">
      <c r="A836" s="4"/>
      <c r="B836" s="29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29"/>
      <c r="O836" s="76"/>
      <c r="P836" s="29"/>
      <c r="Q836" s="29"/>
      <c r="R836" s="4"/>
      <c r="S836" s="32"/>
      <c r="T836" s="4"/>
      <c r="U836" s="4"/>
      <c r="V836" s="4"/>
      <c r="W836" s="4"/>
    </row>
    <row x14ac:dyDescent="0.25" r="837" customHeight="1" ht="12.75">
      <c r="A837" s="4"/>
      <c r="B837" s="29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29"/>
      <c r="O837" s="76"/>
      <c r="P837" s="29"/>
      <c r="Q837" s="29"/>
      <c r="R837" s="4"/>
      <c r="S837" s="32"/>
      <c r="T837" s="4"/>
      <c r="U837" s="4"/>
      <c r="V837" s="4"/>
      <c r="W837" s="4"/>
    </row>
    <row x14ac:dyDescent="0.25" r="838" customHeight="1" ht="12.75">
      <c r="A838" s="4"/>
      <c r="B838" s="29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29"/>
      <c r="O838" s="76"/>
      <c r="P838" s="29"/>
      <c r="Q838" s="29"/>
      <c r="R838" s="4"/>
      <c r="S838" s="32"/>
      <c r="T838" s="4"/>
      <c r="U838" s="4"/>
      <c r="V838" s="4"/>
      <c r="W838" s="4"/>
    </row>
    <row x14ac:dyDescent="0.25" r="839" customHeight="1" ht="12.75">
      <c r="A839" s="4"/>
      <c r="B839" s="29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29"/>
      <c r="O839" s="76"/>
      <c r="P839" s="29"/>
      <c r="Q839" s="29"/>
      <c r="R839" s="4"/>
      <c r="S839" s="32"/>
      <c r="T839" s="4"/>
      <c r="U839" s="4"/>
      <c r="V839" s="4"/>
      <c r="W839" s="4"/>
    </row>
    <row x14ac:dyDescent="0.25" r="840" customHeight="1" ht="12.75">
      <c r="A840" s="4"/>
      <c r="B840" s="29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29"/>
      <c r="O840" s="76"/>
      <c r="P840" s="29"/>
      <c r="Q840" s="29"/>
      <c r="R840" s="4"/>
      <c r="S840" s="32"/>
      <c r="T840" s="4"/>
      <c r="U840" s="4"/>
      <c r="V840" s="4"/>
      <c r="W840" s="4"/>
    </row>
    <row x14ac:dyDescent="0.25" r="841" customHeight="1" ht="12.75">
      <c r="A841" s="4"/>
      <c r="B841" s="29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29"/>
      <c r="O841" s="76"/>
      <c r="P841" s="29"/>
      <c r="Q841" s="29"/>
      <c r="R841" s="4"/>
      <c r="S841" s="32"/>
      <c r="T841" s="4"/>
      <c r="U841" s="4"/>
      <c r="V841" s="4"/>
      <c r="W841" s="4"/>
    </row>
    <row x14ac:dyDescent="0.25" r="842" customHeight="1" ht="12.75">
      <c r="A842" s="4"/>
      <c r="B842" s="29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29"/>
      <c r="O842" s="76"/>
      <c r="P842" s="29"/>
      <c r="Q842" s="29"/>
      <c r="R842" s="4"/>
      <c r="S842" s="32"/>
      <c r="T842" s="4"/>
      <c r="U842" s="4"/>
      <c r="V842" s="4"/>
      <c r="W842" s="4"/>
    </row>
    <row x14ac:dyDescent="0.25" r="843" customHeight="1" ht="12.75">
      <c r="A843" s="4"/>
      <c r="B843" s="29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29"/>
      <c r="O843" s="76"/>
      <c r="P843" s="29"/>
      <c r="Q843" s="29"/>
      <c r="R843" s="4"/>
      <c r="S843" s="32"/>
      <c r="T843" s="4"/>
      <c r="U843" s="4"/>
      <c r="V843" s="4"/>
      <c r="W843" s="4"/>
    </row>
    <row x14ac:dyDescent="0.25" r="844" customHeight="1" ht="12.75">
      <c r="A844" s="4"/>
      <c r="B844" s="29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29"/>
      <c r="O844" s="76"/>
      <c r="P844" s="29"/>
      <c r="Q844" s="29"/>
      <c r="R844" s="4"/>
      <c r="S844" s="32"/>
      <c r="T844" s="4"/>
      <c r="U844" s="4"/>
      <c r="V844" s="4"/>
      <c r="W844" s="4"/>
    </row>
    <row x14ac:dyDescent="0.25" r="845" customHeight="1" ht="12.75">
      <c r="A845" s="4"/>
      <c r="B845" s="29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29"/>
      <c r="O845" s="76"/>
      <c r="P845" s="29"/>
      <c r="Q845" s="29"/>
      <c r="R845" s="4"/>
      <c r="S845" s="32"/>
      <c r="T845" s="4"/>
      <c r="U845" s="4"/>
      <c r="V845" s="4"/>
      <c r="W845" s="4"/>
    </row>
    <row x14ac:dyDescent="0.25" r="846" customHeight="1" ht="12.75">
      <c r="A846" s="4"/>
      <c r="B846" s="29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29"/>
      <c r="O846" s="76"/>
      <c r="P846" s="29"/>
      <c r="Q846" s="29"/>
      <c r="R846" s="4"/>
      <c r="S846" s="32"/>
      <c r="T846" s="4"/>
      <c r="U846" s="4"/>
      <c r="V846" s="4"/>
      <c r="W846" s="4"/>
    </row>
    <row x14ac:dyDescent="0.25" r="847" customHeight="1" ht="12.75">
      <c r="A847" s="4"/>
      <c r="B847" s="29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29"/>
      <c r="O847" s="76"/>
      <c r="P847" s="29"/>
      <c r="Q847" s="29"/>
      <c r="R847" s="4"/>
      <c r="S847" s="32"/>
      <c r="T847" s="4"/>
      <c r="U847" s="4"/>
      <c r="V847" s="4"/>
      <c r="W847" s="4"/>
    </row>
    <row x14ac:dyDescent="0.25" r="848" customHeight="1" ht="12.75">
      <c r="A848" s="4"/>
      <c r="B848" s="29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29"/>
      <c r="O848" s="76"/>
      <c r="P848" s="29"/>
      <c r="Q848" s="29"/>
      <c r="R848" s="4"/>
      <c r="S848" s="32"/>
      <c r="T848" s="4"/>
      <c r="U848" s="4"/>
      <c r="V848" s="4"/>
      <c r="W848" s="4"/>
    </row>
    <row x14ac:dyDescent="0.25" r="849" customHeight="1" ht="12.75">
      <c r="A849" s="4"/>
      <c r="B849" s="29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29"/>
      <c r="O849" s="76"/>
      <c r="P849" s="29"/>
      <c r="Q849" s="29"/>
      <c r="R849" s="4"/>
      <c r="S849" s="32"/>
      <c r="T849" s="4"/>
      <c r="U849" s="4"/>
      <c r="V849" s="4"/>
      <c r="W849" s="4"/>
    </row>
    <row x14ac:dyDescent="0.25" r="850" customHeight="1" ht="12.75">
      <c r="A850" s="4"/>
      <c r="B850" s="29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29"/>
      <c r="O850" s="76"/>
      <c r="P850" s="29"/>
      <c r="Q850" s="29"/>
      <c r="R850" s="4"/>
      <c r="S850" s="32"/>
      <c r="T850" s="4"/>
      <c r="U850" s="4"/>
      <c r="V850" s="4"/>
      <c r="W850" s="4"/>
    </row>
    <row x14ac:dyDescent="0.25" r="851" customHeight="1" ht="12.75">
      <c r="A851" s="4"/>
      <c r="B851" s="29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29"/>
      <c r="O851" s="76"/>
      <c r="P851" s="29"/>
      <c r="Q851" s="29"/>
      <c r="R851" s="4"/>
      <c r="S851" s="32"/>
      <c r="T851" s="4"/>
      <c r="U851" s="4"/>
      <c r="V851" s="4"/>
      <c r="W851" s="4"/>
    </row>
    <row x14ac:dyDescent="0.25" r="852" customHeight="1" ht="12.75">
      <c r="A852" s="4"/>
      <c r="B852" s="29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29"/>
      <c r="O852" s="76"/>
      <c r="P852" s="29"/>
      <c r="Q852" s="29"/>
      <c r="R852" s="4"/>
      <c r="S852" s="32"/>
      <c r="T852" s="4"/>
      <c r="U852" s="4"/>
      <c r="V852" s="4"/>
      <c r="W852" s="4"/>
    </row>
    <row x14ac:dyDescent="0.25" r="853" customHeight="1" ht="12.75">
      <c r="A853" s="4"/>
      <c r="B853" s="29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29"/>
      <c r="O853" s="76"/>
      <c r="P853" s="29"/>
      <c r="Q853" s="29"/>
      <c r="R853" s="4"/>
      <c r="S853" s="32"/>
      <c r="T853" s="4"/>
      <c r="U853" s="4"/>
      <c r="V853" s="4"/>
      <c r="W853" s="4"/>
    </row>
    <row x14ac:dyDescent="0.25" r="854" customHeight="1" ht="12.75">
      <c r="A854" s="4"/>
      <c r="B854" s="29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29"/>
      <c r="O854" s="76"/>
      <c r="P854" s="29"/>
      <c r="Q854" s="29"/>
      <c r="R854" s="4"/>
      <c r="S854" s="32"/>
      <c r="T854" s="4"/>
      <c r="U854" s="4"/>
      <c r="V854" s="4"/>
      <c r="W854" s="4"/>
    </row>
    <row x14ac:dyDescent="0.25" r="855" customHeight="1" ht="12.75">
      <c r="A855" s="4"/>
      <c r="B855" s="29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29"/>
      <c r="O855" s="76"/>
      <c r="P855" s="29"/>
      <c r="Q855" s="29"/>
      <c r="R855" s="4"/>
      <c r="S855" s="32"/>
      <c r="T855" s="4"/>
      <c r="U855" s="4"/>
      <c r="V855" s="4"/>
      <c r="W855" s="4"/>
    </row>
    <row x14ac:dyDescent="0.25" r="856" customHeight="1" ht="12.75">
      <c r="A856" s="4"/>
      <c r="B856" s="29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29"/>
      <c r="O856" s="76"/>
      <c r="P856" s="29"/>
      <c r="Q856" s="29"/>
      <c r="R856" s="4"/>
      <c r="S856" s="32"/>
      <c r="T856" s="4"/>
      <c r="U856" s="4"/>
      <c r="V856" s="4"/>
      <c r="W856" s="4"/>
    </row>
    <row x14ac:dyDescent="0.25" r="857" customHeight="1" ht="12.75">
      <c r="A857" s="4"/>
      <c r="B857" s="29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29"/>
      <c r="O857" s="76"/>
      <c r="P857" s="29"/>
      <c r="Q857" s="29"/>
      <c r="R857" s="4"/>
      <c r="S857" s="32"/>
      <c r="T857" s="4"/>
      <c r="U857" s="4"/>
      <c r="V857" s="4"/>
      <c r="W857" s="4"/>
    </row>
    <row x14ac:dyDescent="0.25" r="858" customHeight="1" ht="12.75">
      <c r="A858" s="4"/>
      <c r="B858" s="29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29"/>
      <c r="O858" s="76"/>
      <c r="P858" s="29"/>
      <c r="Q858" s="29"/>
      <c r="R858" s="4"/>
      <c r="S858" s="32"/>
      <c r="T858" s="4"/>
      <c r="U858" s="4"/>
      <c r="V858" s="4"/>
      <c r="W858" s="4"/>
    </row>
    <row x14ac:dyDescent="0.25" r="859" customHeight="1" ht="12.75">
      <c r="A859" s="4"/>
      <c r="B859" s="29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29"/>
      <c r="O859" s="76"/>
      <c r="P859" s="29"/>
      <c r="Q859" s="29"/>
      <c r="R859" s="4"/>
      <c r="S859" s="32"/>
      <c r="T859" s="4"/>
      <c r="U859" s="4"/>
      <c r="V859" s="4"/>
      <c r="W859" s="4"/>
    </row>
    <row x14ac:dyDescent="0.25" r="860" customHeight="1" ht="12.75">
      <c r="A860" s="4"/>
      <c r="B860" s="29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29"/>
      <c r="O860" s="76"/>
      <c r="P860" s="29"/>
      <c r="Q860" s="29"/>
      <c r="R860" s="4"/>
      <c r="S860" s="32"/>
      <c r="T860" s="4"/>
      <c r="U860" s="4"/>
      <c r="V860" s="4"/>
      <c r="W860" s="4"/>
    </row>
    <row x14ac:dyDescent="0.25" r="861" customHeight="1" ht="12.75">
      <c r="A861" s="4"/>
      <c r="B861" s="29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29"/>
      <c r="O861" s="76"/>
      <c r="P861" s="29"/>
      <c r="Q861" s="29"/>
      <c r="R861" s="4"/>
      <c r="S861" s="32"/>
      <c r="T861" s="4"/>
      <c r="U861" s="4"/>
      <c r="V861" s="4"/>
      <c r="W861" s="4"/>
    </row>
    <row x14ac:dyDescent="0.25" r="862" customHeight="1" ht="12.75">
      <c r="A862" s="4"/>
      <c r="B862" s="29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29"/>
      <c r="O862" s="76"/>
      <c r="P862" s="29"/>
      <c r="Q862" s="29"/>
      <c r="R862" s="4"/>
      <c r="S862" s="32"/>
      <c r="T862" s="4"/>
      <c r="U862" s="4"/>
      <c r="V862" s="4"/>
      <c r="W862" s="4"/>
    </row>
    <row x14ac:dyDescent="0.25" r="863" customHeight="1" ht="12.75">
      <c r="A863" s="4"/>
      <c r="B863" s="29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29"/>
      <c r="O863" s="76"/>
      <c r="P863" s="29"/>
      <c r="Q863" s="29"/>
      <c r="R863" s="4"/>
      <c r="S863" s="32"/>
      <c r="T863" s="4"/>
      <c r="U863" s="4"/>
      <c r="V863" s="4"/>
      <c r="W863" s="4"/>
    </row>
    <row x14ac:dyDescent="0.25" r="864" customHeight="1" ht="12.75">
      <c r="A864" s="4"/>
      <c r="B864" s="29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29"/>
      <c r="O864" s="76"/>
      <c r="P864" s="29"/>
      <c r="Q864" s="29"/>
      <c r="R864" s="4"/>
      <c r="S864" s="32"/>
      <c r="T864" s="4"/>
      <c r="U864" s="4"/>
      <c r="V864" s="4"/>
      <c r="W864" s="4"/>
    </row>
    <row x14ac:dyDescent="0.25" r="865" customHeight="1" ht="12.75">
      <c r="A865" s="4"/>
      <c r="B865" s="29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29"/>
      <c r="O865" s="76"/>
      <c r="P865" s="29"/>
      <c r="Q865" s="29"/>
      <c r="R865" s="4"/>
      <c r="S865" s="32"/>
      <c r="T865" s="4"/>
      <c r="U865" s="4"/>
      <c r="V865" s="4"/>
      <c r="W865" s="4"/>
    </row>
    <row x14ac:dyDescent="0.25" r="866" customHeight="1" ht="12.75">
      <c r="A866" s="4"/>
      <c r="B866" s="29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29"/>
      <c r="O866" s="76"/>
      <c r="P866" s="29"/>
      <c r="Q866" s="29"/>
      <c r="R866" s="4"/>
      <c r="S866" s="32"/>
      <c r="T866" s="4"/>
      <c r="U866" s="4"/>
      <c r="V866" s="4"/>
      <c r="W866" s="4"/>
    </row>
    <row x14ac:dyDescent="0.25" r="867" customHeight="1" ht="12.75">
      <c r="A867" s="4"/>
      <c r="B867" s="29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29"/>
      <c r="O867" s="76"/>
      <c r="P867" s="29"/>
      <c r="Q867" s="29"/>
      <c r="R867" s="4"/>
      <c r="S867" s="32"/>
      <c r="T867" s="4"/>
      <c r="U867" s="4"/>
      <c r="V867" s="4"/>
      <c r="W867" s="4"/>
    </row>
    <row x14ac:dyDescent="0.25" r="868" customHeight="1" ht="12.75">
      <c r="A868" s="4"/>
      <c r="B868" s="29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29"/>
      <c r="O868" s="76"/>
      <c r="P868" s="29"/>
      <c r="Q868" s="29"/>
      <c r="R868" s="4"/>
      <c r="S868" s="32"/>
      <c r="T868" s="4"/>
      <c r="U868" s="4"/>
      <c r="V868" s="4"/>
      <c r="W868" s="4"/>
    </row>
    <row x14ac:dyDescent="0.25" r="869" customHeight="1" ht="12.75">
      <c r="A869" s="4"/>
      <c r="B869" s="29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29"/>
      <c r="O869" s="76"/>
      <c r="P869" s="29"/>
      <c r="Q869" s="29"/>
      <c r="R869" s="4"/>
      <c r="S869" s="32"/>
      <c r="T869" s="4"/>
      <c r="U869" s="4"/>
      <c r="V869" s="4"/>
      <c r="W869" s="4"/>
    </row>
    <row x14ac:dyDescent="0.25" r="870" customHeight="1" ht="12.75">
      <c r="A870" s="4"/>
      <c r="B870" s="29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29"/>
      <c r="O870" s="76"/>
      <c r="P870" s="29"/>
      <c r="Q870" s="29"/>
      <c r="R870" s="4"/>
      <c r="S870" s="32"/>
      <c r="T870" s="4"/>
      <c r="U870" s="4"/>
      <c r="V870" s="4"/>
      <c r="W870" s="4"/>
    </row>
    <row x14ac:dyDescent="0.25" r="871" customHeight="1" ht="12.75">
      <c r="A871" s="4"/>
      <c r="B871" s="29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29"/>
      <c r="O871" s="76"/>
      <c r="P871" s="29"/>
      <c r="Q871" s="29"/>
      <c r="R871" s="4"/>
      <c r="S871" s="32"/>
      <c r="T871" s="4"/>
      <c r="U871" s="4"/>
      <c r="V871" s="4"/>
      <c r="W871" s="4"/>
    </row>
    <row x14ac:dyDescent="0.25" r="872" customHeight="1" ht="12.75">
      <c r="A872" s="4"/>
      <c r="B872" s="29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29"/>
      <c r="O872" s="76"/>
      <c r="P872" s="29"/>
      <c r="Q872" s="29"/>
      <c r="R872" s="4"/>
      <c r="S872" s="32"/>
      <c r="T872" s="4"/>
      <c r="U872" s="4"/>
      <c r="V872" s="4"/>
      <c r="W872" s="4"/>
    </row>
    <row x14ac:dyDescent="0.25" r="873" customHeight="1" ht="12.75">
      <c r="A873" s="4"/>
      <c r="B873" s="29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29"/>
      <c r="O873" s="76"/>
      <c r="P873" s="29"/>
      <c r="Q873" s="29"/>
      <c r="R873" s="4"/>
      <c r="S873" s="32"/>
      <c r="T873" s="4"/>
      <c r="U873" s="4"/>
      <c r="V873" s="4"/>
      <c r="W873" s="4"/>
    </row>
    <row x14ac:dyDescent="0.25" r="874" customHeight="1" ht="12.75">
      <c r="A874" s="4"/>
      <c r="B874" s="29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29"/>
      <c r="O874" s="76"/>
      <c r="P874" s="29"/>
      <c r="Q874" s="29"/>
      <c r="R874" s="4"/>
      <c r="S874" s="32"/>
      <c r="T874" s="4"/>
      <c r="U874" s="4"/>
      <c r="V874" s="4"/>
      <c r="W874" s="4"/>
    </row>
    <row x14ac:dyDescent="0.25" r="875" customHeight="1" ht="12.75">
      <c r="A875" s="4"/>
      <c r="B875" s="29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29"/>
      <c r="O875" s="76"/>
      <c r="P875" s="29"/>
      <c r="Q875" s="29"/>
      <c r="R875" s="4"/>
      <c r="S875" s="32"/>
      <c r="T875" s="4"/>
      <c r="U875" s="4"/>
      <c r="V875" s="4"/>
      <c r="W875" s="4"/>
    </row>
    <row x14ac:dyDescent="0.25" r="876" customHeight="1" ht="12.75">
      <c r="A876" s="4"/>
      <c r="B876" s="29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29"/>
      <c r="O876" s="76"/>
      <c r="P876" s="29"/>
      <c r="Q876" s="29"/>
      <c r="R876" s="4"/>
      <c r="S876" s="32"/>
      <c r="T876" s="4"/>
      <c r="U876" s="4"/>
      <c r="V876" s="4"/>
      <c r="W876" s="4"/>
    </row>
    <row x14ac:dyDescent="0.25" r="877" customHeight="1" ht="12.75">
      <c r="A877" s="4"/>
      <c r="B877" s="29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29"/>
      <c r="O877" s="76"/>
      <c r="P877" s="29"/>
      <c r="Q877" s="29"/>
      <c r="R877" s="4"/>
      <c r="S877" s="32"/>
      <c r="T877" s="4"/>
      <c r="U877" s="4"/>
      <c r="V877" s="4"/>
      <c r="W877" s="4"/>
    </row>
    <row x14ac:dyDescent="0.25" r="878" customHeight="1" ht="12.75">
      <c r="A878" s="4"/>
      <c r="B878" s="29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29"/>
      <c r="O878" s="76"/>
      <c r="P878" s="29"/>
      <c r="Q878" s="29"/>
      <c r="R878" s="4"/>
      <c r="S878" s="32"/>
      <c r="T878" s="4"/>
      <c r="U878" s="4"/>
      <c r="V878" s="4"/>
      <c r="W878" s="4"/>
    </row>
    <row x14ac:dyDescent="0.25" r="879" customHeight="1" ht="12.75">
      <c r="A879" s="4"/>
      <c r="B879" s="29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29"/>
      <c r="O879" s="76"/>
      <c r="P879" s="29"/>
      <c r="Q879" s="29"/>
      <c r="R879" s="4"/>
      <c r="S879" s="32"/>
      <c r="T879" s="4"/>
      <c r="U879" s="4"/>
      <c r="V879" s="4"/>
      <c r="W879" s="4"/>
    </row>
    <row x14ac:dyDescent="0.25" r="880" customHeight="1" ht="12.75">
      <c r="A880" s="4"/>
      <c r="B880" s="29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29"/>
      <c r="O880" s="76"/>
      <c r="P880" s="29"/>
      <c r="Q880" s="29"/>
      <c r="R880" s="4"/>
      <c r="S880" s="32"/>
      <c r="T880" s="4"/>
      <c r="U880" s="4"/>
      <c r="V880" s="4"/>
      <c r="W880" s="4"/>
    </row>
    <row x14ac:dyDescent="0.25" r="881" customHeight="1" ht="12.75">
      <c r="A881" s="4"/>
      <c r="B881" s="29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29"/>
      <c r="O881" s="76"/>
      <c r="P881" s="29"/>
      <c r="Q881" s="29"/>
      <c r="R881" s="4"/>
      <c r="S881" s="32"/>
      <c r="T881" s="4"/>
      <c r="U881" s="4"/>
      <c r="V881" s="4"/>
      <c r="W881" s="4"/>
    </row>
    <row x14ac:dyDescent="0.25" r="882" customHeight="1" ht="12.75">
      <c r="A882" s="4"/>
      <c r="B882" s="29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29"/>
      <c r="O882" s="76"/>
      <c r="P882" s="29"/>
      <c r="Q882" s="29"/>
      <c r="R882" s="4"/>
      <c r="S882" s="32"/>
      <c r="T882" s="4"/>
      <c r="U882" s="4"/>
      <c r="V882" s="4"/>
      <c r="W882" s="4"/>
    </row>
    <row x14ac:dyDescent="0.25" r="883" customHeight="1" ht="12.75">
      <c r="A883" s="4"/>
      <c r="B883" s="29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29"/>
      <c r="O883" s="76"/>
      <c r="P883" s="29"/>
      <c r="Q883" s="29"/>
      <c r="R883" s="4"/>
      <c r="S883" s="32"/>
      <c r="T883" s="4"/>
      <c r="U883" s="4"/>
      <c r="V883" s="4"/>
      <c r="W883" s="4"/>
    </row>
    <row x14ac:dyDescent="0.25" r="884" customHeight="1" ht="12.75">
      <c r="A884" s="4"/>
      <c r="B884" s="29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29"/>
      <c r="O884" s="76"/>
      <c r="P884" s="29"/>
      <c r="Q884" s="29"/>
      <c r="R884" s="4"/>
      <c r="S884" s="32"/>
      <c r="T884" s="4"/>
      <c r="U884" s="4"/>
      <c r="V884" s="4"/>
      <c r="W884" s="4"/>
    </row>
    <row x14ac:dyDescent="0.25" r="885" customHeight="1" ht="12.75">
      <c r="A885" s="4"/>
      <c r="B885" s="29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29"/>
      <c r="O885" s="76"/>
      <c r="P885" s="29"/>
      <c r="Q885" s="29"/>
      <c r="R885" s="4"/>
      <c r="S885" s="32"/>
      <c r="T885" s="4"/>
      <c r="U885" s="4"/>
      <c r="V885" s="4"/>
      <c r="W885" s="4"/>
    </row>
    <row x14ac:dyDescent="0.25" r="886" customHeight="1" ht="12.75">
      <c r="A886" s="4"/>
      <c r="B886" s="29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29"/>
      <c r="O886" s="76"/>
      <c r="P886" s="29"/>
      <c r="Q886" s="29"/>
      <c r="R886" s="4"/>
      <c r="S886" s="32"/>
      <c r="T886" s="4"/>
      <c r="U886" s="4"/>
      <c r="V886" s="4"/>
      <c r="W886" s="4"/>
    </row>
    <row x14ac:dyDescent="0.25" r="887" customHeight="1" ht="12.75">
      <c r="A887" s="4"/>
      <c r="B887" s="29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29"/>
      <c r="O887" s="76"/>
      <c r="P887" s="29"/>
      <c r="Q887" s="29"/>
      <c r="R887" s="4"/>
      <c r="S887" s="32"/>
      <c r="T887" s="4"/>
      <c r="U887" s="4"/>
      <c r="V887" s="4"/>
      <c r="W887" s="4"/>
    </row>
    <row x14ac:dyDescent="0.25" r="888" customHeight="1" ht="12.75">
      <c r="A888" s="4"/>
      <c r="B888" s="29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29"/>
      <c r="O888" s="76"/>
      <c r="P888" s="29"/>
      <c r="Q888" s="29"/>
      <c r="R888" s="4"/>
      <c r="S888" s="32"/>
      <c r="T888" s="4"/>
      <c r="U888" s="4"/>
      <c r="V888" s="4"/>
      <c r="W888" s="4"/>
    </row>
    <row x14ac:dyDescent="0.25" r="889" customHeight="1" ht="12.75">
      <c r="A889" s="4"/>
      <c r="B889" s="29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29"/>
      <c r="O889" s="76"/>
      <c r="P889" s="29"/>
      <c r="Q889" s="29"/>
      <c r="R889" s="4"/>
      <c r="S889" s="32"/>
      <c r="T889" s="4"/>
      <c r="U889" s="4"/>
      <c r="V889" s="4"/>
      <c r="W889" s="4"/>
    </row>
    <row x14ac:dyDescent="0.25" r="890" customHeight="1" ht="12.75">
      <c r="A890" s="4"/>
      <c r="B890" s="29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29"/>
      <c r="O890" s="76"/>
      <c r="P890" s="29"/>
      <c r="Q890" s="29"/>
      <c r="R890" s="4"/>
      <c r="S890" s="32"/>
      <c r="T890" s="4"/>
      <c r="U890" s="4"/>
      <c r="V890" s="4"/>
      <c r="W890" s="4"/>
    </row>
    <row x14ac:dyDescent="0.25" r="891" customHeight="1" ht="12.75">
      <c r="A891" s="4"/>
      <c r="B891" s="29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29"/>
      <c r="O891" s="76"/>
      <c r="P891" s="29"/>
      <c r="Q891" s="29"/>
      <c r="R891" s="4"/>
      <c r="S891" s="32"/>
      <c r="T891" s="4"/>
      <c r="U891" s="4"/>
      <c r="V891" s="4"/>
      <c r="W891" s="4"/>
    </row>
    <row x14ac:dyDescent="0.25" r="892" customHeight="1" ht="12.75">
      <c r="A892" s="4"/>
      <c r="B892" s="29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29"/>
      <c r="O892" s="76"/>
      <c r="P892" s="29"/>
      <c r="Q892" s="29"/>
      <c r="R892" s="4"/>
      <c r="S892" s="32"/>
      <c r="T892" s="4"/>
      <c r="U892" s="4"/>
      <c r="V892" s="4"/>
      <c r="W892" s="4"/>
    </row>
    <row x14ac:dyDescent="0.25" r="893" customHeight="1" ht="12.75">
      <c r="A893" s="4"/>
      <c r="B893" s="29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29"/>
      <c r="O893" s="76"/>
      <c r="P893" s="29"/>
      <c r="Q893" s="29"/>
      <c r="R893" s="4"/>
      <c r="S893" s="32"/>
      <c r="T893" s="4"/>
      <c r="U893" s="4"/>
      <c r="V893" s="4"/>
      <c r="W893" s="4"/>
    </row>
    <row x14ac:dyDescent="0.25" r="894" customHeight="1" ht="12.75">
      <c r="A894" s="4"/>
      <c r="B894" s="29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29"/>
      <c r="O894" s="76"/>
      <c r="P894" s="29"/>
      <c r="Q894" s="29"/>
      <c r="R894" s="4"/>
      <c r="S894" s="32"/>
      <c r="T894" s="4"/>
      <c r="U894" s="4"/>
      <c r="V894" s="4"/>
      <c r="W894" s="4"/>
    </row>
    <row x14ac:dyDescent="0.25" r="895" customHeight="1" ht="12.75">
      <c r="A895" s="4"/>
      <c r="B895" s="29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29"/>
      <c r="O895" s="76"/>
      <c r="P895" s="29"/>
      <c r="Q895" s="29"/>
      <c r="R895" s="4"/>
      <c r="S895" s="32"/>
      <c r="T895" s="4"/>
      <c r="U895" s="4"/>
      <c r="V895" s="4"/>
      <c r="W895" s="4"/>
    </row>
    <row x14ac:dyDescent="0.25" r="896" customHeight="1" ht="12.75">
      <c r="A896" s="4"/>
      <c r="B896" s="29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29"/>
      <c r="O896" s="76"/>
      <c r="P896" s="29"/>
      <c r="Q896" s="29"/>
      <c r="R896" s="4"/>
      <c r="S896" s="32"/>
      <c r="T896" s="4"/>
      <c r="U896" s="4"/>
      <c r="V896" s="4"/>
      <c r="W896" s="4"/>
    </row>
    <row x14ac:dyDescent="0.25" r="897" customHeight="1" ht="12.75">
      <c r="A897" s="4"/>
      <c r="B897" s="29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29"/>
      <c r="O897" s="76"/>
      <c r="P897" s="29"/>
      <c r="Q897" s="29"/>
      <c r="R897" s="4"/>
      <c r="S897" s="32"/>
      <c r="T897" s="4"/>
      <c r="U897" s="4"/>
      <c r="V897" s="4"/>
      <c r="W897" s="4"/>
    </row>
    <row x14ac:dyDescent="0.25" r="898" customHeight="1" ht="12.75">
      <c r="A898" s="4"/>
      <c r="B898" s="29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29"/>
      <c r="O898" s="76"/>
      <c r="P898" s="29"/>
      <c r="Q898" s="29"/>
      <c r="R898" s="4"/>
      <c r="S898" s="32"/>
      <c r="T898" s="4"/>
      <c r="U898" s="4"/>
      <c r="V898" s="4"/>
      <c r="W898" s="4"/>
    </row>
    <row x14ac:dyDescent="0.25" r="899" customHeight="1" ht="12.75">
      <c r="A899" s="4"/>
      <c r="B899" s="29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29"/>
      <c r="O899" s="76"/>
      <c r="P899" s="29"/>
      <c r="Q899" s="29"/>
      <c r="R899" s="4"/>
      <c r="S899" s="32"/>
      <c r="T899" s="4"/>
      <c r="U899" s="4"/>
      <c r="V899" s="4"/>
      <c r="W899" s="4"/>
    </row>
    <row x14ac:dyDescent="0.25" r="900" customHeight="1" ht="12.75">
      <c r="A900" s="4"/>
      <c r="B900" s="29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29"/>
      <c r="O900" s="76"/>
      <c r="P900" s="29"/>
      <c r="Q900" s="29"/>
      <c r="R900" s="4"/>
      <c r="S900" s="32"/>
      <c r="T900" s="4"/>
      <c r="U900" s="4"/>
      <c r="V900" s="4"/>
      <c r="W900" s="4"/>
    </row>
    <row x14ac:dyDescent="0.25" r="901" customHeight="1" ht="12.75">
      <c r="A901" s="4"/>
      <c r="B901" s="29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29"/>
      <c r="O901" s="76"/>
      <c r="P901" s="29"/>
      <c r="Q901" s="29"/>
      <c r="R901" s="4"/>
      <c r="S901" s="32"/>
      <c r="T901" s="4"/>
      <c r="U901" s="4"/>
      <c r="V901" s="4"/>
      <c r="W901" s="4"/>
    </row>
    <row x14ac:dyDescent="0.25" r="902" customHeight="1" ht="12.75">
      <c r="A902" s="4"/>
      <c r="B902" s="29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29"/>
      <c r="O902" s="76"/>
      <c r="P902" s="29"/>
      <c r="Q902" s="29"/>
      <c r="R902" s="4"/>
      <c r="S902" s="32"/>
      <c r="T902" s="4"/>
      <c r="U902" s="4"/>
      <c r="V902" s="4"/>
      <c r="W902" s="4"/>
    </row>
    <row x14ac:dyDescent="0.25" r="903" customHeight="1" ht="12.75">
      <c r="A903" s="4"/>
      <c r="B903" s="29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29"/>
      <c r="O903" s="76"/>
      <c r="P903" s="29"/>
      <c r="Q903" s="29"/>
      <c r="R903" s="4"/>
      <c r="S903" s="32"/>
      <c r="T903" s="4"/>
      <c r="U903" s="4"/>
      <c r="V903" s="4"/>
      <c r="W903" s="4"/>
    </row>
    <row x14ac:dyDescent="0.25" r="904" customHeight="1" ht="12.75">
      <c r="A904" s="4"/>
      <c r="B904" s="29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29"/>
      <c r="O904" s="76"/>
      <c r="P904" s="29"/>
      <c r="Q904" s="29"/>
      <c r="R904" s="4"/>
      <c r="S904" s="32"/>
      <c r="T904" s="4"/>
      <c r="U904" s="4"/>
      <c r="V904" s="4"/>
      <c r="W904" s="4"/>
    </row>
    <row x14ac:dyDescent="0.25" r="905" customHeight="1" ht="12.75">
      <c r="A905" s="4"/>
      <c r="B905" s="29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29"/>
      <c r="O905" s="76"/>
      <c r="P905" s="29"/>
      <c r="Q905" s="29"/>
      <c r="R905" s="4"/>
      <c r="S905" s="32"/>
      <c r="T905" s="4"/>
      <c r="U905" s="4"/>
      <c r="V905" s="4"/>
      <c r="W905" s="4"/>
    </row>
    <row x14ac:dyDescent="0.25" r="906" customHeight="1" ht="12.75">
      <c r="A906" s="4"/>
      <c r="B906" s="29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29"/>
      <c r="O906" s="76"/>
      <c r="P906" s="29"/>
      <c r="Q906" s="29"/>
      <c r="R906" s="4"/>
      <c r="S906" s="32"/>
      <c r="T906" s="4"/>
      <c r="U906" s="4"/>
      <c r="V906" s="4"/>
      <c r="W906" s="4"/>
    </row>
    <row x14ac:dyDescent="0.25" r="907" customHeight="1" ht="12.75">
      <c r="A907" s="4"/>
      <c r="B907" s="29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29"/>
      <c r="O907" s="76"/>
      <c r="P907" s="29"/>
      <c r="Q907" s="29"/>
      <c r="R907" s="4"/>
      <c r="S907" s="32"/>
      <c r="T907" s="4"/>
      <c r="U907" s="4"/>
      <c r="V907" s="4"/>
      <c r="W907" s="4"/>
    </row>
    <row x14ac:dyDescent="0.25" r="908" customHeight="1" ht="12.75">
      <c r="A908" s="4"/>
      <c r="B908" s="29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29"/>
      <c r="O908" s="76"/>
      <c r="P908" s="29"/>
      <c r="Q908" s="29"/>
      <c r="R908" s="4"/>
      <c r="S908" s="32"/>
      <c r="T908" s="4"/>
      <c r="U908" s="4"/>
      <c r="V908" s="4"/>
      <c r="W908" s="4"/>
    </row>
    <row x14ac:dyDescent="0.25" r="909" customHeight="1" ht="12.75">
      <c r="A909" s="4"/>
      <c r="B909" s="29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29"/>
      <c r="O909" s="76"/>
      <c r="P909" s="29"/>
      <c r="Q909" s="29"/>
      <c r="R909" s="4"/>
      <c r="S909" s="32"/>
      <c r="T909" s="4"/>
      <c r="U909" s="4"/>
      <c r="V909" s="4"/>
      <c r="W909" s="4"/>
    </row>
    <row x14ac:dyDescent="0.25" r="910" customHeight="1" ht="12.75">
      <c r="A910" s="4"/>
      <c r="B910" s="29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29"/>
      <c r="O910" s="76"/>
      <c r="P910" s="29"/>
      <c r="Q910" s="29"/>
      <c r="R910" s="4"/>
      <c r="S910" s="32"/>
      <c r="T910" s="4"/>
      <c r="U910" s="4"/>
      <c r="V910" s="4"/>
      <c r="W910" s="4"/>
    </row>
    <row x14ac:dyDescent="0.25" r="911" customHeight="1" ht="12.75">
      <c r="A911" s="4"/>
      <c r="B911" s="29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29"/>
      <c r="O911" s="76"/>
      <c r="P911" s="29"/>
      <c r="Q911" s="29"/>
      <c r="R911" s="4"/>
      <c r="S911" s="32"/>
      <c r="T911" s="4"/>
      <c r="U911" s="4"/>
      <c r="V911" s="4"/>
      <c r="W911" s="4"/>
    </row>
    <row x14ac:dyDescent="0.25" r="912" customHeight="1" ht="12.75">
      <c r="A912" s="4"/>
      <c r="B912" s="29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29"/>
      <c r="O912" s="76"/>
      <c r="P912" s="29"/>
      <c r="Q912" s="29"/>
      <c r="R912" s="4"/>
      <c r="S912" s="32"/>
      <c r="T912" s="4"/>
      <c r="U912" s="4"/>
      <c r="V912" s="4"/>
      <c r="W912" s="4"/>
    </row>
    <row x14ac:dyDescent="0.25" r="913" customHeight="1" ht="12.75">
      <c r="A913" s="4"/>
      <c r="B913" s="29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29"/>
      <c r="O913" s="76"/>
      <c r="P913" s="29"/>
      <c r="Q913" s="29"/>
      <c r="R913" s="4"/>
      <c r="S913" s="32"/>
      <c r="T913" s="4"/>
      <c r="U913" s="4"/>
      <c r="V913" s="4"/>
      <c r="W913" s="4"/>
    </row>
    <row x14ac:dyDescent="0.25" r="914" customHeight="1" ht="12.75">
      <c r="A914" s="4"/>
      <c r="B914" s="29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29"/>
      <c r="O914" s="76"/>
      <c r="P914" s="29"/>
      <c r="Q914" s="29"/>
      <c r="R914" s="4"/>
      <c r="S914" s="32"/>
      <c r="T914" s="4"/>
      <c r="U914" s="4"/>
      <c r="V914" s="4"/>
      <c r="W914" s="4"/>
    </row>
    <row x14ac:dyDescent="0.25" r="915" customHeight="1" ht="12.75">
      <c r="A915" s="4"/>
      <c r="B915" s="29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29"/>
      <c r="O915" s="76"/>
      <c r="P915" s="29"/>
      <c r="Q915" s="29"/>
      <c r="R915" s="4"/>
      <c r="S915" s="32"/>
      <c r="T915" s="4"/>
      <c r="U915" s="4"/>
      <c r="V915" s="4"/>
      <c r="W915" s="4"/>
    </row>
    <row x14ac:dyDescent="0.25" r="916" customHeight="1" ht="12.75">
      <c r="A916" s="4"/>
      <c r="B916" s="29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29"/>
      <c r="O916" s="76"/>
      <c r="P916" s="29"/>
      <c r="Q916" s="29"/>
      <c r="R916" s="4"/>
      <c r="S916" s="32"/>
      <c r="T916" s="4"/>
      <c r="U916" s="4"/>
      <c r="V916" s="4"/>
      <c r="W916" s="4"/>
    </row>
    <row x14ac:dyDescent="0.25" r="917" customHeight="1" ht="12.75">
      <c r="A917" s="4"/>
      <c r="B917" s="29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29"/>
      <c r="O917" s="76"/>
      <c r="P917" s="29"/>
      <c r="Q917" s="29"/>
      <c r="R917" s="4"/>
      <c r="S917" s="32"/>
      <c r="T917" s="4"/>
      <c r="U917" s="4"/>
      <c r="V917" s="4"/>
      <c r="W917" s="4"/>
    </row>
    <row x14ac:dyDescent="0.25" r="918" customHeight="1" ht="12.75">
      <c r="A918" s="4"/>
      <c r="B918" s="29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29"/>
      <c r="O918" s="76"/>
      <c r="P918" s="29"/>
      <c r="Q918" s="29"/>
      <c r="R918" s="4"/>
      <c r="S918" s="32"/>
      <c r="T918" s="4"/>
      <c r="U918" s="4"/>
      <c r="V918" s="4"/>
      <c r="W918" s="4"/>
    </row>
    <row x14ac:dyDescent="0.25" r="919" customHeight="1" ht="12.75">
      <c r="A919" s="4"/>
      <c r="B919" s="29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29"/>
      <c r="O919" s="76"/>
      <c r="P919" s="29"/>
      <c r="Q919" s="29"/>
      <c r="R919" s="4"/>
      <c r="S919" s="32"/>
      <c r="T919" s="4"/>
      <c r="U919" s="4"/>
      <c r="V919" s="4"/>
      <c r="W919" s="4"/>
    </row>
    <row x14ac:dyDescent="0.25" r="920" customHeight="1" ht="12.75">
      <c r="A920" s="4"/>
      <c r="B920" s="29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29"/>
      <c r="O920" s="76"/>
      <c r="P920" s="29"/>
      <c r="Q920" s="29"/>
      <c r="R920" s="4"/>
      <c r="S920" s="32"/>
      <c r="T920" s="4"/>
      <c r="U920" s="4"/>
      <c r="V920" s="4"/>
      <c r="W920" s="4"/>
    </row>
    <row x14ac:dyDescent="0.25" r="921" customHeight="1" ht="12.75">
      <c r="A921" s="4"/>
      <c r="B921" s="29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29"/>
      <c r="O921" s="76"/>
      <c r="P921" s="29"/>
      <c r="Q921" s="29"/>
      <c r="R921" s="4"/>
      <c r="S921" s="32"/>
      <c r="T921" s="4"/>
      <c r="U921" s="4"/>
      <c r="V921" s="4"/>
      <c r="W921" s="4"/>
    </row>
    <row x14ac:dyDescent="0.25" r="922" customHeight="1" ht="12.75">
      <c r="A922" s="4"/>
      <c r="B922" s="29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29"/>
      <c r="O922" s="76"/>
      <c r="P922" s="29"/>
      <c r="Q922" s="29"/>
      <c r="R922" s="4"/>
      <c r="S922" s="32"/>
      <c r="T922" s="4"/>
      <c r="U922" s="4"/>
      <c r="V922" s="4"/>
      <c r="W922" s="4"/>
    </row>
    <row x14ac:dyDescent="0.25" r="923" customHeight="1" ht="12.75">
      <c r="A923" s="4"/>
      <c r="B923" s="29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29"/>
      <c r="O923" s="76"/>
      <c r="P923" s="29"/>
      <c r="Q923" s="29"/>
      <c r="R923" s="4"/>
      <c r="S923" s="32"/>
      <c r="T923" s="4"/>
      <c r="U923" s="4"/>
      <c r="V923" s="4"/>
      <c r="W923" s="4"/>
    </row>
    <row x14ac:dyDescent="0.25" r="924" customHeight="1" ht="12.75">
      <c r="A924" s="4"/>
      <c r="B924" s="29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29"/>
      <c r="O924" s="76"/>
      <c r="P924" s="29"/>
      <c r="Q924" s="29"/>
      <c r="R924" s="4"/>
      <c r="S924" s="32"/>
      <c r="T924" s="4"/>
      <c r="U924" s="4"/>
      <c r="V924" s="4"/>
      <c r="W924" s="4"/>
    </row>
    <row x14ac:dyDescent="0.25" r="925" customHeight="1" ht="12.75">
      <c r="A925" s="4"/>
      <c r="B925" s="29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29"/>
      <c r="O925" s="76"/>
      <c r="P925" s="29"/>
      <c r="Q925" s="29"/>
      <c r="R925" s="4"/>
      <c r="S925" s="32"/>
      <c r="T925" s="4"/>
      <c r="U925" s="4"/>
      <c r="V925" s="4"/>
      <c r="W925" s="4"/>
    </row>
    <row x14ac:dyDescent="0.25" r="926" customHeight="1" ht="12.75">
      <c r="A926" s="4"/>
      <c r="B926" s="29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29"/>
      <c r="O926" s="76"/>
      <c r="P926" s="29"/>
      <c r="Q926" s="29"/>
      <c r="R926" s="4"/>
      <c r="S926" s="32"/>
      <c r="T926" s="4"/>
      <c r="U926" s="4"/>
      <c r="V926" s="4"/>
      <c r="W926" s="4"/>
    </row>
    <row x14ac:dyDescent="0.25" r="927" customHeight="1" ht="12.75">
      <c r="A927" s="4"/>
      <c r="B927" s="29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29"/>
      <c r="O927" s="76"/>
      <c r="P927" s="29"/>
      <c r="Q927" s="29"/>
      <c r="R927" s="4"/>
      <c r="S927" s="32"/>
      <c r="T927" s="4"/>
      <c r="U927" s="4"/>
      <c r="V927" s="4"/>
      <c r="W927" s="4"/>
    </row>
    <row x14ac:dyDescent="0.25" r="928" customHeight="1" ht="12.75">
      <c r="A928" s="4"/>
      <c r="B928" s="29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29"/>
      <c r="O928" s="76"/>
      <c r="P928" s="29"/>
      <c r="Q928" s="29"/>
      <c r="R928" s="4"/>
      <c r="S928" s="32"/>
      <c r="T928" s="4"/>
      <c r="U928" s="4"/>
      <c r="V928" s="4"/>
      <c r="W928" s="4"/>
    </row>
    <row x14ac:dyDescent="0.25" r="929" customHeight="1" ht="12.75">
      <c r="A929" s="4"/>
      <c r="B929" s="29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29"/>
      <c r="O929" s="76"/>
      <c r="P929" s="29"/>
      <c r="Q929" s="29"/>
      <c r="R929" s="4"/>
      <c r="S929" s="32"/>
      <c r="T929" s="4"/>
      <c r="U929" s="4"/>
      <c r="V929" s="4"/>
      <c r="W929" s="4"/>
    </row>
    <row x14ac:dyDescent="0.25" r="930" customHeight="1" ht="12.75">
      <c r="A930" s="4"/>
      <c r="B930" s="29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29"/>
      <c r="O930" s="76"/>
      <c r="P930" s="29"/>
      <c r="Q930" s="29"/>
      <c r="R930" s="4"/>
      <c r="S930" s="32"/>
      <c r="T930" s="4"/>
      <c r="U930" s="4"/>
      <c r="V930" s="4"/>
      <c r="W930" s="4"/>
    </row>
    <row x14ac:dyDescent="0.25" r="931" customHeight="1" ht="12.75">
      <c r="A931" s="4"/>
      <c r="B931" s="29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29"/>
      <c r="O931" s="76"/>
      <c r="P931" s="29"/>
      <c r="Q931" s="29"/>
      <c r="R931" s="4"/>
      <c r="S931" s="32"/>
      <c r="T931" s="4"/>
      <c r="U931" s="4"/>
      <c r="V931" s="4"/>
      <c r="W931" s="4"/>
    </row>
    <row x14ac:dyDescent="0.25" r="932" customHeight="1" ht="12.75">
      <c r="A932" s="4"/>
      <c r="B932" s="29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29"/>
      <c r="O932" s="76"/>
      <c r="P932" s="29"/>
      <c r="Q932" s="29"/>
      <c r="R932" s="4"/>
      <c r="S932" s="32"/>
      <c r="T932" s="4"/>
      <c r="U932" s="4"/>
      <c r="V932" s="4"/>
      <c r="W932" s="4"/>
    </row>
    <row x14ac:dyDescent="0.25" r="933" customHeight="1" ht="12.75">
      <c r="A933" s="4"/>
      <c r="B933" s="29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29"/>
      <c r="O933" s="76"/>
      <c r="P933" s="29"/>
      <c r="Q933" s="29"/>
      <c r="R933" s="4"/>
      <c r="S933" s="32"/>
      <c r="T933" s="4"/>
      <c r="U933" s="4"/>
      <c r="V933" s="4"/>
      <c r="W933" s="4"/>
    </row>
    <row x14ac:dyDescent="0.25" r="934" customHeight="1" ht="12.75">
      <c r="A934" s="4"/>
      <c r="B934" s="29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29"/>
      <c r="O934" s="76"/>
      <c r="P934" s="29"/>
      <c r="Q934" s="29"/>
      <c r="R934" s="4"/>
      <c r="S934" s="32"/>
      <c r="T934" s="4"/>
      <c r="U934" s="4"/>
      <c r="V934" s="4"/>
      <c r="W934" s="4"/>
    </row>
    <row x14ac:dyDescent="0.25" r="935" customHeight="1" ht="12.75">
      <c r="A935" s="4"/>
      <c r="B935" s="29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29"/>
      <c r="O935" s="76"/>
      <c r="P935" s="29"/>
      <c r="Q935" s="29"/>
      <c r="R935" s="4"/>
      <c r="S935" s="32"/>
      <c r="T935" s="4"/>
      <c r="U935" s="4"/>
      <c r="V935" s="4"/>
      <c r="W935" s="4"/>
    </row>
    <row x14ac:dyDescent="0.25" r="936" customHeight="1" ht="12.75">
      <c r="A936" s="4"/>
      <c r="B936" s="29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29"/>
      <c r="O936" s="76"/>
      <c r="P936" s="29"/>
      <c r="Q936" s="29"/>
      <c r="R936" s="4"/>
      <c r="S936" s="32"/>
      <c r="T936" s="4"/>
      <c r="U936" s="4"/>
      <c r="V936" s="4"/>
      <c r="W936" s="4"/>
    </row>
    <row x14ac:dyDescent="0.25" r="937" customHeight="1" ht="12.75">
      <c r="A937" s="4"/>
      <c r="B937" s="29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29"/>
      <c r="O937" s="76"/>
      <c r="P937" s="29"/>
      <c r="Q937" s="29"/>
      <c r="R937" s="4"/>
      <c r="S937" s="32"/>
      <c r="T937" s="4"/>
      <c r="U937" s="4"/>
      <c r="V937" s="4"/>
      <c r="W937" s="4"/>
    </row>
    <row x14ac:dyDescent="0.25" r="938" customHeight="1" ht="12.75">
      <c r="A938" s="4"/>
      <c r="B938" s="29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29"/>
      <c r="O938" s="76"/>
      <c r="P938" s="29"/>
      <c r="Q938" s="29"/>
      <c r="R938" s="4"/>
      <c r="S938" s="32"/>
      <c r="T938" s="4"/>
      <c r="U938" s="4"/>
      <c r="V938" s="4"/>
      <c r="W938" s="4"/>
    </row>
    <row x14ac:dyDescent="0.25" r="939" customHeight="1" ht="12.75">
      <c r="A939" s="4"/>
      <c r="B939" s="29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29"/>
      <c r="O939" s="76"/>
      <c r="P939" s="29"/>
      <c r="Q939" s="29"/>
      <c r="R939" s="4"/>
      <c r="S939" s="32"/>
      <c r="T939" s="4"/>
      <c r="U939" s="4"/>
      <c r="V939" s="4"/>
      <c r="W939" s="4"/>
    </row>
    <row x14ac:dyDescent="0.25" r="940" customHeight="1" ht="12.75">
      <c r="A940" s="4"/>
      <c r="B940" s="29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29"/>
      <c r="O940" s="76"/>
      <c r="P940" s="29"/>
      <c r="Q940" s="29"/>
      <c r="R940" s="4"/>
      <c r="S940" s="32"/>
      <c r="T940" s="4"/>
      <c r="U940" s="4"/>
      <c r="V940" s="4"/>
      <c r="W940" s="4"/>
    </row>
    <row x14ac:dyDescent="0.25" r="941" customHeight="1" ht="12.75">
      <c r="A941" s="4"/>
      <c r="B941" s="29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29"/>
      <c r="O941" s="76"/>
      <c r="P941" s="29"/>
      <c r="Q941" s="29"/>
      <c r="R941" s="4"/>
      <c r="S941" s="32"/>
      <c r="T941" s="4"/>
      <c r="U941" s="4"/>
      <c r="V941" s="4"/>
      <c r="W941" s="4"/>
    </row>
    <row x14ac:dyDescent="0.25" r="942" customHeight="1" ht="12.75">
      <c r="A942" s="4"/>
      <c r="B942" s="29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29"/>
      <c r="O942" s="76"/>
      <c r="P942" s="29"/>
      <c r="Q942" s="29"/>
      <c r="R942" s="4"/>
      <c r="S942" s="32"/>
      <c r="T942" s="4"/>
      <c r="U942" s="4"/>
      <c r="V942" s="4"/>
      <c r="W942" s="4"/>
    </row>
    <row x14ac:dyDescent="0.25" r="943" customHeight="1" ht="12.75">
      <c r="A943" s="4"/>
      <c r="B943" s="29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29"/>
      <c r="O943" s="76"/>
      <c r="P943" s="29"/>
      <c r="Q943" s="29"/>
      <c r="R943" s="4"/>
      <c r="S943" s="32"/>
      <c r="T943" s="4"/>
      <c r="U943" s="4"/>
      <c r="V943" s="4"/>
      <c r="W943" s="4"/>
    </row>
    <row x14ac:dyDescent="0.25" r="944" customHeight="1" ht="12.75">
      <c r="A944" s="4"/>
      <c r="B944" s="29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29"/>
      <c r="O944" s="76"/>
      <c r="P944" s="29"/>
      <c r="Q944" s="29"/>
      <c r="R944" s="4"/>
      <c r="S944" s="32"/>
      <c r="T944" s="4"/>
      <c r="U944" s="4"/>
      <c r="V944" s="4"/>
      <c r="W944" s="4"/>
    </row>
    <row x14ac:dyDescent="0.25" r="945" customHeight="1" ht="12.75">
      <c r="A945" s="4"/>
      <c r="B945" s="29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29"/>
      <c r="O945" s="76"/>
      <c r="P945" s="29"/>
      <c r="Q945" s="29"/>
      <c r="R945" s="4"/>
      <c r="S945" s="32"/>
      <c r="T945" s="4"/>
      <c r="U945" s="4"/>
      <c r="V945" s="4"/>
      <c r="W945" s="4"/>
    </row>
    <row x14ac:dyDescent="0.25" r="946" customHeight="1" ht="12.75">
      <c r="A946" s="4"/>
      <c r="B946" s="29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29"/>
      <c r="O946" s="76"/>
      <c r="P946" s="29"/>
      <c r="Q946" s="29"/>
      <c r="R946" s="4"/>
      <c r="S946" s="32"/>
      <c r="T946" s="4"/>
      <c r="U946" s="4"/>
      <c r="V946" s="4"/>
      <c r="W946" s="4"/>
    </row>
    <row x14ac:dyDescent="0.25" r="947" customHeight="1" ht="12.75">
      <c r="A947" s="4"/>
      <c r="B947" s="29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29"/>
      <c r="O947" s="76"/>
      <c r="P947" s="29"/>
      <c r="Q947" s="29"/>
      <c r="R947" s="4"/>
      <c r="S947" s="32"/>
      <c r="T947" s="4"/>
      <c r="U947" s="4"/>
      <c r="V947" s="4"/>
      <c r="W947" s="4"/>
    </row>
    <row x14ac:dyDescent="0.25" r="948" customHeight="1" ht="12.75">
      <c r="A948" s="4"/>
      <c r="B948" s="29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29"/>
      <c r="O948" s="76"/>
      <c r="P948" s="29"/>
      <c r="Q948" s="29"/>
      <c r="R948" s="4"/>
      <c r="S948" s="32"/>
      <c r="T948" s="4"/>
      <c r="U948" s="4"/>
      <c r="V948" s="4"/>
      <c r="W948" s="4"/>
    </row>
    <row x14ac:dyDescent="0.25" r="949" customHeight="1" ht="12.75">
      <c r="A949" s="4"/>
      <c r="B949" s="29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29"/>
      <c r="O949" s="76"/>
      <c r="P949" s="29"/>
      <c r="Q949" s="29"/>
      <c r="R949" s="4"/>
      <c r="S949" s="32"/>
      <c r="T949" s="4"/>
      <c r="U949" s="4"/>
      <c r="V949" s="4"/>
      <c r="W949" s="4"/>
    </row>
    <row x14ac:dyDescent="0.25" r="950" customHeight="1" ht="12.75">
      <c r="A950" s="4"/>
      <c r="B950" s="29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29"/>
      <c r="O950" s="76"/>
      <c r="P950" s="29"/>
      <c r="Q950" s="29"/>
      <c r="R950" s="4"/>
      <c r="S950" s="32"/>
      <c r="T950" s="4"/>
      <c r="U950" s="4"/>
      <c r="V950" s="4"/>
      <c r="W950" s="4"/>
    </row>
    <row x14ac:dyDescent="0.25" r="951" customHeight="1" ht="12.75">
      <c r="A951" s="4"/>
      <c r="B951" s="29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29"/>
      <c r="O951" s="76"/>
      <c r="P951" s="29"/>
      <c r="Q951" s="29"/>
      <c r="R951" s="4"/>
      <c r="S951" s="32"/>
      <c r="T951" s="4"/>
      <c r="U951" s="4"/>
      <c r="V951" s="4"/>
      <c r="W951" s="4"/>
    </row>
    <row x14ac:dyDescent="0.25" r="952" customHeight="1" ht="12.75">
      <c r="A952" s="4"/>
      <c r="B952" s="29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29"/>
      <c r="O952" s="76"/>
      <c r="P952" s="29"/>
      <c r="Q952" s="29"/>
      <c r="R952" s="4"/>
      <c r="S952" s="32"/>
      <c r="T952" s="4"/>
      <c r="U952" s="4"/>
      <c r="V952" s="4"/>
      <c r="W952" s="4"/>
    </row>
    <row x14ac:dyDescent="0.25" r="953" customHeight="1" ht="12.75">
      <c r="A953" s="4"/>
      <c r="B953" s="29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29"/>
      <c r="O953" s="76"/>
      <c r="P953" s="29"/>
      <c r="Q953" s="29"/>
      <c r="R953" s="4"/>
      <c r="S953" s="32"/>
      <c r="T953" s="4"/>
      <c r="U953" s="4"/>
      <c r="V953" s="4"/>
      <c r="W953" s="4"/>
    </row>
    <row x14ac:dyDescent="0.25" r="954" customHeight="1" ht="12.75">
      <c r="A954" s="4"/>
      <c r="B954" s="29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29"/>
      <c r="O954" s="76"/>
      <c r="P954" s="29"/>
      <c r="Q954" s="29"/>
      <c r="R954" s="4"/>
      <c r="S954" s="32"/>
      <c r="T954" s="4"/>
      <c r="U954" s="4"/>
      <c r="V954" s="4"/>
      <c r="W954" s="4"/>
    </row>
    <row x14ac:dyDescent="0.25" r="955" customHeight="1" ht="12.75">
      <c r="A955" s="4"/>
      <c r="B955" s="29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29"/>
      <c r="O955" s="76"/>
      <c r="P955" s="29"/>
      <c r="Q955" s="29"/>
      <c r="R955" s="4"/>
      <c r="S955" s="32"/>
      <c r="T955" s="4"/>
      <c r="U955" s="4"/>
      <c r="V955" s="4"/>
      <c r="W955" s="4"/>
    </row>
    <row x14ac:dyDescent="0.25" r="956" customHeight="1" ht="12.75">
      <c r="A956" s="4"/>
      <c r="B956" s="29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29"/>
      <c r="O956" s="76"/>
      <c r="P956" s="29"/>
      <c r="Q956" s="29"/>
      <c r="R956" s="4"/>
      <c r="S956" s="32"/>
      <c r="T956" s="4"/>
      <c r="U956" s="4"/>
      <c r="V956" s="4"/>
      <c r="W956" s="4"/>
    </row>
    <row x14ac:dyDescent="0.25" r="957" customHeight="1" ht="12.75">
      <c r="A957" s="4"/>
      <c r="B957" s="29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29"/>
      <c r="O957" s="76"/>
      <c r="P957" s="29"/>
      <c r="Q957" s="29"/>
      <c r="R957" s="4"/>
      <c r="S957" s="32"/>
      <c r="T957" s="4"/>
      <c r="U957" s="4"/>
      <c r="V957" s="4"/>
      <c r="W957" s="4"/>
    </row>
    <row x14ac:dyDescent="0.25" r="958" customHeight="1" ht="12.75">
      <c r="A958" s="4"/>
      <c r="B958" s="29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29"/>
      <c r="O958" s="76"/>
      <c r="P958" s="29"/>
      <c r="Q958" s="29"/>
      <c r="R958" s="4"/>
      <c r="S958" s="32"/>
      <c r="T958" s="4"/>
      <c r="U958" s="4"/>
      <c r="V958" s="4"/>
      <c r="W958" s="4"/>
    </row>
    <row x14ac:dyDescent="0.25" r="959" customHeight="1" ht="12.75">
      <c r="A959" s="4"/>
      <c r="B959" s="29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29"/>
      <c r="O959" s="76"/>
      <c r="P959" s="29"/>
      <c r="Q959" s="29"/>
      <c r="R959" s="4"/>
      <c r="S959" s="32"/>
      <c r="T959" s="4"/>
      <c r="U959" s="4"/>
      <c r="V959" s="4"/>
      <c r="W959" s="4"/>
    </row>
    <row x14ac:dyDescent="0.25" r="960" customHeight="1" ht="12.75">
      <c r="A960" s="4"/>
      <c r="B960" s="29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29"/>
      <c r="O960" s="76"/>
      <c r="P960" s="29"/>
      <c r="Q960" s="29"/>
      <c r="R960" s="4"/>
      <c r="S960" s="32"/>
      <c r="T960" s="4"/>
      <c r="U960" s="4"/>
      <c r="V960" s="4"/>
      <c r="W960" s="4"/>
    </row>
    <row x14ac:dyDescent="0.25" r="961" customHeight="1" ht="12.75">
      <c r="A961" s="4"/>
      <c r="B961" s="29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29"/>
      <c r="O961" s="76"/>
      <c r="P961" s="29"/>
      <c r="Q961" s="29"/>
      <c r="R961" s="4"/>
      <c r="S961" s="32"/>
      <c r="T961" s="4"/>
      <c r="U961" s="4"/>
      <c r="V961" s="4"/>
      <c r="W961" s="4"/>
    </row>
    <row x14ac:dyDescent="0.25" r="962" customHeight="1" ht="12.75">
      <c r="A962" s="4"/>
      <c r="B962" s="29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29"/>
      <c r="O962" s="76"/>
      <c r="P962" s="29"/>
      <c r="Q962" s="29"/>
      <c r="R962" s="4"/>
      <c r="S962" s="32"/>
      <c r="T962" s="4"/>
      <c r="U962" s="4"/>
      <c r="V962" s="4"/>
      <c r="W962" s="4"/>
    </row>
    <row x14ac:dyDescent="0.25" r="963" customHeight="1" ht="12.75">
      <c r="A963" s="4"/>
      <c r="B963" s="29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29"/>
      <c r="O963" s="76"/>
      <c r="P963" s="29"/>
      <c r="Q963" s="29"/>
      <c r="R963" s="4"/>
      <c r="S963" s="32"/>
      <c r="T963" s="4"/>
      <c r="U963" s="4"/>
      <c r="V963" s="4"/>
      <c r="W963" s="4"/>
    </row>
    <row x14ac:dyDescent="0.25" r="964" customHeight="1" ht="12.75">
      <c r="A964" s="4"/>
      <c r="B964" s="29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29"/>
      <c r="O964" s="76"/>
      <c r="P964" s="29"/>
      <c r="Q964" s="29"/>
      <c r="R964" s="4"/>
      <c r="S964" s="32"/>
      <c r="T964" s="4"/>
      <c r="U964" s="4"/>
      <c r="V964" s="4"/>
      <c r="W964" s="4"/>
    </row>
    <row x14ac:dyDescent="0.25" r="965" customHeight="1" ht="12.75">
      <c r="A965" s="4"/>
      <c r="B965" s="29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29"/>
      <c r="O965" s="76"/>
      <c r="P965" s="29"/>
      <c r="Q965" s="29"/>
      <c r="R965" s="4"/>
      <c r="S965" s="32"/>
      <c r="T965" s="4"/>
      <c r="U965" s="4"/>
      <c r="V965" s="4"/>
      <c r="W965" s="4"/>
    </row>
    <row x14ac:dyDescent="0.25" r="966" customHeight="1" ht="12.75">
      <c r="A966" s="4"/>
      <c r="B966" s="29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29"/>
      <c r="O966" s="76"/>
      <c r="P966" s="29"/>
      <c r="Q966" s="29"/>
      <c r="R966" s="4"/>
      <c r="S966" s="32"/>
      <c r="T966" s="4"/>
      <c r="U966" s="4"/>
      <c r="V966" s="4"/>
      <c r="W966" s="4"/>
    </row>
    <row x14ac:dyDescent="0.25" r="967" customHeight="1" ht="12.75">
      <c r="A967" s="4"/>
      <c r="B967" s="29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29"/>
      <c r="O967" s="76"/>
      <c r="P967" s="29"/>
      <c r="Q967" s="29"/>
      <c r="R967" s="4"/>
      <c r="S967" s="32"/>
      <c r="T967" s="4"/>
      <c r="U967" s="4"/>
      <c r="V967" s="4"/>
      <c r="W967" s="4"/>
    </row>
    <row x14ac:dyDescent="0.25" r="968" customHeight="1" ht="12.75">
      <c r="A968" s="4"/>
      <c r="B968" s="29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29"/>
      <c r="O968" s="76"/>
      <c r="P968" s="29"/>
      <c r="Q968" s="29"/>
      <c r="R968" s="4"/>
      <c r="S968" s="32"/>
      <c r="T968" s="4"/>
      <c r="U968" s="4"/>
      <c r="V968" s="4"/>
      <c r="W968" s="4"/>
    </row>
    <row x14ac:dyDescent="0.25" r="969" customHeight="1" ht="12.75">
      <c r="A969" s="4"/>
      <c r="B969" s="29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29"/>
      <c r="O969" s="76"/>
      <c r="P969" s="29"/>
      <c r="Q969" s="29"/>
      <c r="R969" s="4"/>
      <c r="S969" s="32"/>
      <c r="T969" s="4"/>
      <c r="U969" s="4"/>
      <c r="V969" s="4"/>
      <c r="W969" s="4"/>
    </row>
    <row x14ac:dyDescent="0.25" r="970" customHeight="1" ht="12.75">
      <c r="A970" s="4"/>
      <c r="B970" s="29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29"/>
      <c r="O970" s="76"/>
      <c r="P970" s="29"/>
      <c r="Q970" s="29"/>
      <c r="R970" s="4"/>
      <c r="S970" s="32"/>
      <c r="T970" s="4"/>
      <c r="U970" s="4"/>
      <c r="V970" s="4"/>
      <c r="W970" s="4"/>
    </row>
    <row x14ac:dyDescent="0.25" r="971" customHeight="1" ht="12.75">
      <c r="A971" s="4"/>
      <c r="B971" s="29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29"/>
      <c r="O971" s="76"/>
      <c r="P971" s="29"/>
      <c r="Q971" s="29"/>
      <c r="R971" s="4"/>
      <c r="S971" s="32"/>
      <c r="T971" s="4"/>
      <c r="U971" s="4"/>
      <c r="V971" s="4"/>
      <c r="W971" s="4"/>
    </row>
    <row x14ac:dyDescent="0.25" r="972" customHeight="1" ht="12.75">
      <c r="A972" s="4"/>
      <c r="B972" s="29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29"/>
      <c r="O972" s="76"/>
      <c r="P972" s="29"/>
      <c r="Q972" s="29"/>
      <c r="R972" s="4"/>
      <c r="S972" s="32"/>
      <c r="T972" s="4"/>
      <c r="U972" s="4"/>
      <c r="V972" s="4"/>
      <c r="W972" s="4"/>
    </row>
    <row x14ac:dyDescent="0.25" r="973" customHeight="1" ht="12.75">
      <c r="A973" s="4"/>
      <c r="B973" s="29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29"/>
      <c r="O973" s="76"/>
      <c r="P973" s="29"/>
      <c r="Q973" s="29"/>
      <c r="R973" s="4"/>
      <c r="S973" s="32"/>
      <c r="T973" s="4"/>
      <c r="U973" s="4"/>
      <c r="V973" s="4"/>
      <c r="W973" s="4"/>
    </row>
    <row x14ac:dyDescent="0.25" r="974" customHeight="1" ht="12.75">
      <c r="A974" s="4"/>
      <c r="B974" s="29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29"/>
      <c r="O974" s="76"/>
      <c r="P974" s="29"/>
      <c r="Q974" s="29"/>
      <c r="R974" s="4"/>
      <c r="S974" s="32"/>
      <c r="T974" s="4"/>
      <c r="U974" s="4"/>
      <c r="V974" s="4"/>
      <c r="W974" s="4"/>
    </row>
    <row x14ac:dyDescent="0.25" r="975" customHeight="1" ht="12.75">
      <c r="A975" s="4"/>
      <c r="B975" s="29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29"/>
      <c r="O975" s="76"/>
      <c r="P975" s="29"/>
      <c r="Q975" s="29"/>
      <c r="R975" s="4"/>
      <c r="S975" s="32"/>
      <c r="T975" s="4"/>
      <c r="U975" s="4"/>
      <c r="V975" s="4"/>
      <c r="W975" s="4"/>
    </row>
    <row x14ac:dyDescent="0.25" r="976" customHeight="1" ht="12.75">
      <c r="A976" s="4"/>
      <c r="B976" s="29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29"/>
      <c r="O976" s="76"/>
      <c r="P976" s="29"/>
      <c r="Q976" s="29"/>
      <c r="R976" s="4"/>
      <c r="S976" s="32"/>
      <c r="T976" s="4"/>
      <c r="U976" s="4"/>
      <c r="V976" s="4"/>
      <c r="W976" s="4"/>
    </row>
    <row x14ac:dyDescent="0.25" r="977" customHeight="1" ht="12.75">
      <c r="A977" s="4"/>
      <c r="B977" s="29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29"/>
      <c r="O977" s="76"/>
      <c r="P977" s="29"/>
      <c r="Q977" s="29"/>
      <c r="R977" s="4"/>
      <c r="S977" s="32"/>
      <c r="T977" s="4"/>
      <c r="U977" s="4"/>
      <c r="V977" s="4"/>
      <c r="W977" s="4"/>
    </row>
    <row x14ac:dyDescent="0.25" r="978" customHeight="1" ht="12.75">
      <c r="A978" s="4"/>
      <c r="B978" s="29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29"/>
      <c r="O978" s="76"/>
      <c r="P978" s="29"/>
      <c r="Q978" s="29"/>
      <c r="R978" s="4"/>
      <c r="S978" s="32"/>
      <c r="T978" s="4"/>
      <c r="U978" s="4"/>
      <c r="V978" s="4"/>
      <c r="W978" s="4"/>
    </row>
    <row x14ac:dyDescent="0.25" r="979" customHeight="1" ht="12.75">
      <c r="A979" s="4"/>
      <c r="B979" s="29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29"/>
      <c r="O979" s="76"/>
      <c r="P979" s="29"/>
      <c r="Q979" s="29"/>
      <c r="R979" s="4"/>
      <c r="S979" s="32"/>
      <c r="T979" s="4"/>
      <c r="U979" s="4"/>
      <c r="V979" s="4"/>
      <c r="W979" s="4"/>
    </row>
    <row x14ac:dyDescent="0.25" r="980" customHeight="1" ht="12.75">
      <c r="A980" s="4"/>
      <c r="B980" s="29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29"/>
      <c r="O980" s="76"/>
      <c r="P980" s="29"/>
      <c r="Q980" s="29"/>
      <c r="R980" s="4"/>
      <c r="S980" s="32"/>
      <c r="T980" s="4"/>
      <c r="U980" s="4"/>
      <c r="V980" s="4"/>
      <c r="W980" s="4"/>
    </row>
    <row x14ac:dyDescent="0.25" r="981" customHeight="1" ht="12.75">
      <c r="A981" s="4"/>
      <c r="B981" s="29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29"/>
      <c r="O981" s="76"/>
      <c r="P981" s="29"/>
      <c r="Q981" s="29"/>
      <c r="R981" s="4"/>
      <c r="S981" s="32"/>
      <c r="T981" s="4"/>
      <c r="U981" s="4"/>
      <c r="V981" s="4"/>
      <c r="W981" s="4"/>
    </row>
    <row x14ac:dyDescent="0.25" r="982" customHeight="1" ht="12.75">
      <c r="A982" s="4"/>
      <c r="B982" s="29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29"/>
      <c r="O982" s="76"/>
      <c r="P982" s="29"/>
      <c r="Q982" s="29"/>
      <c r="R982" s="4"/>
      <c r="S982" s="32"/>
      <c r="T982" s="4"/>
      <c r="U982" s="4"/>
      <c r="V982" s="4"/>
      <c r="W982" s="4"/>
    </row>
    <row x14ac:dyDescent="0.25" r="983" customHeight="1" ht="12.75">
      <c r="A983" s="4"/>
      <c r="B983" s="29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29"/>
      <c r="O983" s="76"/>
      <c r="P983" s="29"/>
      <c r="Q983" s="29"/>
      <c r="R983" s="4"/>
      <c r="S983" s="32"/>
      <c r="T983" s="4"/>
      <c r="U983" s="4"/>
      <c r="V983" s="4"/>
      <c r="W983" s="4"/>
    </row>
    <row x14ac:dyDescent="0.25" r="984" customHeight="1" ht="12.75">
      <c r="A984" s="4"/>
      <c r="B984" s="29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29"/>
      <c r="O984" s="76"/>
      <c r="P984" s="29"/>
      <c r="Q984" s="29"/>
      <c r="R984" s="4"/>
      <c r="S984" s="32"/>
      <c r="T984" s="4"/>
      <c r="U984" s="4"/>
      <c r="V984" s="4"/>
      <c r="W984" s="4"/>
    </row>
    <row x14ac:dyDescent="0.25" r="985" customHeight="1" ht="12.75">
      <c r="A985" s="4"/>
      <c r="B985" s="29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29"/>
      <c r="O985" s="76"/>
      <c r="P985" s="29"/>
      <c r="Q985" s="29"/>
      <c r="R985" s="4"/>
      <c r="S985" s="32"/>
      <c r="T985" s="4"/>
      <c r="U985" s="4"/>
      <c r="V985" s="4"/>
      <c r="W985" s="4"/>
    </row>
    <row x14ac:dyDescent="0.25" r="986" customHeight="1" ht="12.75">
      <c r="A986" s="4"/>
      <c r="B986" s="29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29"/>
      <c r="O986" s="76"/>
      <c r="P986" s="29"/>
      <c r="Q986" s="29"/>
      <c r="R986" s="4"/>
      <c r="S986" s="32"/>
      <c r="T986" s="4"/>
      <c r="U986" s="4"/>
      <c r="V986" s="4"/>
      <c r="W986" s="4"/>
    </row>
    <row x14ac:dyDescent="0.25" r="987" customHeight="1" ht="12.75">
      <c r="A987" s="4"/>
      <c r="B987" s="29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29"/>
      <c r="O987" s="76"/>
      <c r="P987" s="29"/>
      <c r="Q987" s="29"/>
      <c r="R987" s="4"/>
      <c r="S987" s="32"/>
      <c r="T987" s="4"/>
      <c r="U987" s="4"/>
      <c r="V987" s="4"/>
      <c r="W987" s="4"/>
    </row>
    <row x14ac:dyDescent="0.25" r="988" customHeight="1" ht="12.75">
      <c r="A988" s="4"/>
      <c r="B988" s="29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29"/>
      <c r="O988" s="76"/>
      <c r="P988" s="29"/>
      <c r="Q988" s="29"/>
      <c r="R988" s="4"/>
      <c r="S988" s="32"/>
      <c r="T988" s="4"/>
      <c r="U988" s="4"/>
      <c r="V988" s="4"/>
      <c r="W988" s="4"/>
    </row>
    <row x14ac:dyDescent="0.25" r="989" customHeight="1" ht="12.75">
      <c r="A989" s="4"/>
      <c r="B989" s="29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29"/>
      <c r="O989" s="76"/>
      <c r="P989" s="29"/>
      <c r="Q989" s="29"/>
      <c r="R989" s="4"/>
      <c r="S989" s="32"/>
      <c r="T989" s="4"/>
      <c r="U989" s="4"/>
      <c r="V989" s="4"/>
      <c r="W989" s="4"/>
    </row>
    <row x14ac:dyDescent="0.25" r="990" customHeight="1" ht="12.75">
      <c r="A990" s="4"/>
      <c r="B990" s="29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29"/>
      <c r="O990" s="76"/>
      <c r="P990" s="29"/>
      <c r="Q990" s="29"/>
      <c r="R990" s="4"/>
      <c r="S990" s="32"/>
      <c r="T990" s="4"/>
      <c r="U990" s="4"/>
      <c r="V990" s="4"/>
      <c r="W990" s="4"/>
    </row>
    <row x14ac:dyDescent="0.25" r="991" customHeight="1" ht="12.75">
      <c r="A991" s="4"/>
      <c r="B991" s="29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29"/>
      <c r="O991" s="76"/>
      <c r="P991" s="29"/>
      <c r="Q991" s="29"/>
      <c r="R991" s="4"/>
      <c r="S991" s="32"/>
      <c r="T991" s="4"/>
      <c r="U991" s="4"/>
      <c r="V991" s="4"/>
      <c r="W991" s="4"/>
    </row>
    <row x14ac:dyDescent="0.25" r="992" customHeight="1" ht="12.75">
      <c r="A992" s="4"/>
      <c r="B992" s="29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29"/>
      <c r="O992" s="76"/>
      <c r="P992" s="29"/>
      <c r="Q992" s="29"/>
      <c r="R992" s="4"/>
      <c r="S992" s="32"/>
      <c r="T992" s="4"/>
      <c r="U992" s="4"/>
      <c r="V992" s="4"/>
      <c r="W992" s="4"/>
    </row>
    <row x14ac:dyDescent="0.25" r="993" customHeight="1" ht="12.75">
      <c r="A993" s="4"/>
      <c r="B993" s="29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29"/>
      <c r="O993" s="76"/>
      <c r="P993" s="29"/>
      <c r="Q993" s="29"/>
      <c r="R993" s="4"/>
      <c r="S993" s="32"/>
      <c r="T993" s="4"/>
      <c r="U993" s="4"/>
      <c r="V993" s="4"/>
      <c r="W993" s="4"/>
    </row>
    <row x14ac:dyDescent="0.25" r="994" customHeight="1" ht="12.75">
      <c r="A994" s="4"/>
      <c r="B994" s="29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29"/>
      <c r="O994" s="76"/>
      <c r="P994" s="29"/>
      <c r="Q994" s="29"/>
      <c r="R994" s="4"/>
      <c r="S994" s="32"/>
      <c r="T994" s="4"/>
      <c r="U994" s="4"/>
      <c r="V994" s="4"/>
      <c r="W994" s="4"/>
    </row>
    <row x14ac:dyDescent="0.25" r="995" customHeight="1" ht="12.75">
      <c r="A995" s="4"/>
      <c r="B995" s="29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29"/>
      <c r="O995" s="76"/>
      <c r="P995" s="29"/>
      <c r="Q995" s="29"/>
      <c r="R995" s="4"/>
      <c r="S995" s="32"/>
      <c r="T995" s="4"/>
      <c r="U995" s="4"/>
      <c r="V995" s="4"/>
      <c r="W995" s="4"/>
    </row>
    <row x14ac:dyDescent="0.25" r="996" customHeight="1" ht="12.75">
      <c r="A996" s="4"/>
      <c r="B996" s="29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29"/>
      <c r="O996" s="76"/>
      <c r="P996" s="29"/>
      <c r="Q996" s="29"/>
      <c r="R996" s="4"/>
      <c r="S996" s="32"/>
      <c r="T996" s="4"/>
      <c r="U996" s="4"/>
      <c r="V996" s="4"/>
      <c r="W996" s="4"/>
    </row>
    <row x14ac:dyDescent="0.25" r="997" customHeight="1" ht="12.75">
      <c r="A997" s="4"/>
      <c r="B997" s="29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29"/>
      <c r="O997" s="76"/>
      <c r="P997" s="29"/>
      <c r="Q997" s="29"/>
      <c r="R997" s="4"/>
      <c r="S997" s="32"/>
      <c r="T997" s="4"/>
      <c r="U997" s="4"/>
      <c r="V997" s="4"/>
      <c r="W997" s="4"/>
    </row>
    <row x14ac:dyDescent="0.25" r="998" customHeight="1" ht="12.75">
      <c r="A998" s="4"/>
      <c r="B998" s="29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29"/>
      <c r="O998" s="76"/>
      <c r="P998" s="29"/>
      <c r="Q998" s="29"/>
      <c r="R998" s="4"/>
      <c r="S998" s="32"/>
      <c r="T998" s="4"/>
      <c r="U998" s="4"/>
      <c r="V998" s="4"/>
      <c r="W998" s="4"/>
    </row>
    <row x14ac:dyDescent="0.25" r="999" customHeight="1" ht="12.75">
      <c r="A999" s="4"/>
      <c r="B999" s="29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29"/>
      <c r="O999" s="76"/>
      <c r="P999" s="29"/>
      <c r="Q999" s="29"/>
      <c r="R999" s="4"/>
      <c r="S999" s="32"/>
      <c r="T999" s="4"/>
      <c r="U999" s="4"/>
      <c r="V999" s="4"/>
      <c r="W999" s="4"/>
    </row>
    <row x14ac:dyDescent="0.25" r="1000" customHeight="1" ht="12.75">
      <c r="A1000" s="4"/>
      <c r="B1000" s="29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29"/>
      <c r="O1000" s="76"/>
      <c r="P1000" s="29"/>
      <c r="Q1000" s="29"/>
      <c r="R1000" s="4"/>
      <c r="S1000" s="32"/>
      <c r="T1000" s="4"/>
      <c r="U1000" s="4"/>
      <c r="V1000" s="4"/>
      <c r="W1000" s="4"/>
    </row>
    <row x14ac:dyDescent="0.25" r="1001" customHeight="1" ht="12.75">
      <c r="A1001" s="4"/>
      <c r="B1001" s="29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29"/>
      <c r="O1001" s="76"/>
      <c r="P1001" s="29"/>
      <c r="Q1001" s="29"/>
      <c r="R1001" s="4"/>
      <c r="S1001" s="32"/>
      <c r="T1001" s="4"/>
      <c r="U1001" s="4"/>
      <c r="V1001" s="4"/>
      <c r="W1001" s="4"/>
    </row>
    <row x14ac:dyDescent="0.25" r="1002" customHeight="1" ht="12.75">
      <c r="A1002" s="4"/>
      <c r="B1002" s="29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29"/>
      <c r="O1002" s="76"/>
      <c r="P1002" s="29"/>
      <c r="Q1002" s="29"/>
      <c r="R1002" s="4"/>
      <c r="S1002" s="32"/>
      <c r="T1002" s="4"/>
      <c r="U1002" s="4"/>
      <c r="V1002" s="4"/>
      <c r="W1002" s="4"/>
    </row>
    <row x14ac:dyDescent="0.25" r="1003" customHeight="1" ht="12.75">
      <c r="A1003" s="4"/>
      <c r="B1003" s="29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29"/>
      <c r="O1003" s="76"/>
      <c r="P1003" s="29"/>
      <c r="Q1003" s="29"/>
      <c r="R1003" s="4"/>
      <c r="S1003" s="32"/>
      <c r="T1003" s="4"/>
      <c r="U1003" s="4"/>
      <c r="V1003" s="4"/>
      <c r="W1003" s="4"/>
    </row>
    <row x14ac:dyDescent="0.25" r="1004" customHeight="1" ht="12.75">
      <c r="A1004" s="4"/>
      <c r="B1004" s="29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29"/>
      <c r="O1004" s="76"/>
      <c r="P1004" s="29"/>
      <c r="Q1004" s="29"/>
      <c r="R1004" s="4"/>
      <c r="S1004" s="32"/>
      <c r="T1004" s="4"/>
      <c r="U1004" s="4"/>
      <c r="V1004" s="4"/>
      <c r="W1004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0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43" width="13.576428571428572" customWidth="1" bestFit="1"/>
    <col min="3" max="3" style="44" width="13.576428571428572" customWidth="1" bestFit="1"/>
    <col min="4" max="4" style="44" width="13.576428571428572" customWidth="1" bestFit="1"/>
    <col min="5" max="5" style="44" width="13.576428571428572" customWidth="1" bestFit="1"/>
    <col min="6" max="6" style="44" width="13.576428571428572" customWidth="1" bestFit="1"/>
    <col min="7" max="7" style="44" width="13.576428571428572" customWidth="1" bestFit="1"/>
    <col min="8" max="8" style="44" width="13.576428571428572" customWidth="1" bestFit="1"/>
    <col min="9" max="9" style="44" width="13.576428571428572" customWidth="1" bestFit="1"/>
    <col min="10" max="10" style="44" width="13.576428571428572" customWidth="1" bestFit="1"/>
    <col min="11" max="11" style="44" width="13.576428571428572" customWidth="1" bestFit="1"/>
    <col min="12" max="12" style="44" width="13.576428571428572" customWidth="1" bestFit="1"/>
    <col min="13" max="13" style="43" width="13.43357142857143" customWidth="1" bestFit="1"/>
    <col min="14" max="14" style="43" width="13.576428571428572" customWidth="1" bestFit="1"/>
    <col min="15" max="15" style="43" width="13.576428571428572" customWidth="1" bestFit="1"/>
    <col min="16" max="16" style="45" width="13.576428571428572" customWidth="1" bestFit="1"/>
    <col min="17" max="17" style="45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</cols>
  <sheetData>
    <row x14ac:dyDescent="0.25" r="1" customHeight="1" ht="14.25">
      <c r="A1" s="10" t="s">
        <v>0</v>
      </c>
      <c r="B1" s="11" t="s">
        <v>13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1" t="s">
        <v>14</v>
      </c>
      <c r="N1" s="11" t="s">
        <v>15</v>
      </c>
      <c r="O1" s="11" t="s">
        <v>16</v>
      </c>
      <c r="P1" s="12" t="s">
        <v>63</v>
      </c>
      <c r="Q1" s="12" t="s">
        <v>64</v>
      </c>
      <c r="R1" s="13" t="s">
        <v>65</v>
      </c>
      <c r="S1" s="14"/>
      <c r="T1" s="14"/>
      <c r="U1" s="14"/>
      <c r="V1" s="14"/>
      <c r="W1" s="14"/>
      <c r="X1" s="14"/>
    </row>
    <row x14ac:dyDescent="0.25" r="2" customHeight="1" ht="15.75">
      <c r="A2" s="15" t="s">
        <v>41</v>
      </c>
      <c r="B2" s="16">
        <f>$D$1:$D$87/$C$1:$C$87</f>
      </c>
      <c r="C2" s="17">
        <v>3</v>
      </c>
      <c r="D2" s="17">
        <v>2</v>
      </c>
      <c r="E2" s="17">
        <v>2</v>
      </c>
      <c r="F2" s="17">
        <v>0</v>
      </c>
      <c r="G2" s="17">
        <v>0</v>
      </c>
      <c r="H2" s="17">
        <v>0</v>
      </c>
      <c r="I2" s="17">
        <v>0</v>
      </c>
      <c r="J2" s="17">
        <v>2</v>
      </c>
      <c r="K2" s="17">
        <v>0</v>
      </c>
      <c r="L2" s="17">
        <v>0</v>
      </c>
      <c r="M2" s="16">
        <f>(($E2:$E16 + 2 * $F2:$F16 + 3 * $G2:$G16 + 4 * $H2:$H16) / $C2:$C16)</f>
      </c>
      <c r="N2" s="16">
        <f>(($D$1:$D$87 + $K$1:$K$87) / ($C$1:$C$87 + $K$1:$K$87))</f>
      </c>
      <c r="O2" s="16">
        <f>(($D$1:$D$76 + $K$1:$K$76) / ($C$1:$C$76 + $K$1:$K$105)) + ((($E$1:$E$117) + (2 * $F$1:$F$117) + (3 * $G$1:$G$117) + (4 * $H$1:$H$117)) / $C$1:$C$76)</f>
      </c>
      <c r="P2" s="17">
        <v>0</v>
      </c>
      <c r="Q2" s="17">
        <v>0</v>
      </c>
      <c r="R2" s="18"/>
      <c r="S2" s="14"/>
      <c r="T2" s="14"/>
      <c r="U2" s="14"/>
      <c r="V2" s="14"/>
      <c r="W2" s="14"/>
      <c r="X2" s="14"/>
    </row>
    <row x14ac:dyDescent="0.25" r="3" customHeight="1" ht="15.75">
      <c r="A3" s="19" t="s">
        <v>48</v>
      </c>
      <c r="B3" s="20">
        <f>$D$1:$D$87/$C$1:$C$87</f>
      </c>
      <c r="C3" s="21">
        <v>3</v>
      </c>
      <c r="D3" s="21">
        <v>2</v>
      </c>
      <c r="E3" s="21">
        <v>2</v>
      </c>
      <c r="F3" s="21">
        <v>0</v>
      </c>
      <c r="G3" s="21">
        <v>0</v>
      </c>
      <c r="H3" s="21">
        <v>0</v>
      </c>
      <c r="I3" s="21">
        <v>2</v>
      </c>
      <c r="J3" s="21">
        <v>1</v>
      </c>
      <c r="K3" s="21">
        <v>0</v>
      </c>
      <c r="L3" s="21">
        <v>0</v>
      </c>
      <c r="M3" s="20">
        <f>(($E3:$E17 + 2 * $F3:$F17 + 3 * $G3:$G17 + 4 * $H3:$H17) / $C3:$C17)</f>
      </c>
      <c r="N3" s="20">
        <f>(($D$1:$D$87 + $K$1:$K$87) / ($C$1:$C$87 + $K$1:$K$87))</f>
      </c>
      <c r="O3" s="20">
        <f>(($D$1:$D$76 + $K$1:$K$76) / ($C$1:$C$76 + $K$1:$K$105)) + ((($E$1:$E$117) + (2 * $F$1:$F$117) + (3 * $G$1:$G$117) + (4 * $H$1:$H$117)) / $C$1:$C$76)</f>
      </c>
      <c r="P3" s="21">
        <v>1</v>
      </c>
      <c r="Q3" s="21">
        <v>1</v>
      </c>
      <c r="R3" s="22">
        <f>$Q$1:$Q$87/$P$1:$P$87</f>
      </c>
      <c r="S3" s="14"/>
      <c r="T3" s="14"/>
      <c r="U3" s="14"/>
      <c r="V3" s="14"/>
      <c r="W3" s="14"/>
      <c r="X3" s="14"/>
    </row>
    <row x14ac:dyDescent="0.25" r="4" customHeight="1" ht="14.25">
      <c r="A4" s="15" t="s">
        <v>27</v>
      </c>
      <c r="B4" s="16">
        <f>$D$1:$D$87/$C$1:$C$87</f>
      </c>
      <c r="C4" s="17">
        <v>3</v>
      </c>
      <c r="D4" s="17">
        <v>3</v>
      </c>
      <c r="E4" s="17">
        <v>2</v>
      </c>
      <c r="F4" s="17">
        <v>0</v>
      </c>
      <c r="G4" s="17">
        <v>1</v>
      </c>
      <c r="H4" s="17">
        <v>0</v>
      </c>
      <c r="I4" s="17">
        <v>2</v>
      </c>
      <c r="J4" s="17">
        <v>2</v>
      </c>
      <c r="K4" s="17">
        <v>0</v>
      </c>
      <c r="L4" s="17">
        <v>0</v>
      </c>
      <c r="M4" s="16">
        <f>(($E4:$E14 + 2 * $F4:$F14 + 3 * $G4:$G14 + 4 * $H4:$H14) / $C4:$C14)</f>
      </c>
      <c r="N4" s="16">
        <f>(($D$1:$D$87 + $K$1:$K$87) / ($C$1:$C$87 + $K$1:$K$87))</f>
      </c>
      <c r="O4" s="16">
        <f>(($D$1:$D$76 + $K$1:$K$76) / ($C$1:$C$76 + $K$1:$K$105)) + ((($E$1:$E$117) + (2 * $F$1:$F$117) + (3 * $G$1:$G$117) + (4 * $H$1:$H$117)) / $C$1:$C$76)</f>
      </c>
      <c r="P4" s="17">
        <v>1</v>
      </c>
      <c r="Q4" s="17">
        <v>1</v>
      </c>
      <c r="R4" s="18">
        <f>$Q$1:$Q$87/$P$1:$P$87</f>
      </c>
      <c r="S4" s="14"/>
      <c r="T4" s="14"/>
      <c r="U4" s="14"/>
      <c r="V4" s="14"/>
      <c r="W4" s="14"/>
      <c r="X4" s="14"/>
    </row>
    <row x14ac:dyDescent="0.25" r="5" customHeight="1" ht="14.25">
      <c r="A5" s="19" t="s">
        <v>24</v>
      </c>
      <c r="B5" s="20">
        <f>$D$1:$D$87/$C$1:$C$87</f>
      </c>
      <c r="C5" s="21">
        <v>3</v>
      </c>
      <c r="D5" s="21">
        <v>1</v>
      </c>
      <c r="E5" s="21">
        <v>0</v>
      </c>
      <c r="F5" s="21">
        <v>0</v>
      </c>
      <c r="G5" s="21">
        <v>1</v>
      </c>
      <c r="H5" s="21">
        <v>0</v>
      </c>
      <c r="I5" s="21">
        <v>1</v>
      </c>
      <c r="J5" s="21">
        <v>1</v>
      </c>
      <c r="K5" s="21">
        <v>0</v>
      </c>
      <c r="L5" s="21">
        <v>0</v>
      </c>
      <c r="M5" s="20">
        <f>(($E5:$E17 + 2 * $F5:$F17 + 3 * $G5:$G17 + 4 * $H5:$H17) / $C5:$C17)</f>
      </c>
      <c r="N5" s="20">
        <f>(($D$1:$D$87 + $K$1:$K$87) / ($C$1:$C$87 + $K$1:$K$87))</f>
      </c>
      <c r="O5" s="20">
        <f>(($D$1:$D$76 + $K$1:$K$76) / ($C$1:$C$76 + $K$1:$K$105)) + ((($E$1:$E$117) + (2 * $F$1:$F$117) + (3 * $G$1:$G$117) + (4 * $H$1:$H$117)) / $C$1:$C$76)</f>
      </c>
      <c r="P5" s="21">
        <v>2</v>
      </c>
      <c r="Q5" s="21">
        <v>1</v>
      </c>
      <c r="R5" s="22">
        <f>$Q$1:$Q$87/$P$1:$P$87</f>
      </c>
      <c r="S5" s="14"/>
      <c r="T5" s="14"/>
      <c r="U5" s="14"/>
      <c r="V5" s="14"/>
      <c r="W5" s="14"/>
      <c r="X5" s="14"/>
    </row>
    <row x14ac:dyDescent="0.25" r="6" customHeight="1" ht="14.25">
      <c r="A6" s="15" t="s">
        <v>32</v>
      </c>
      <c r="B6" s="16">
        <f>$D$1:$D$87/$C$1:$C$87</f>
      </c>
      <c r="C6" s="17">
        <v>3</v>
      </c>
      <c r="D6" s="17">
        <v>2</v>
      </c>
      <c r="E6" s="17">
        <v>2</v>
      </c>
      <c r="F6" s="17">
        <v>0</v>
      </c>
      <c r="G6" s="17">
        <v>0</v>
      </c>
      <c r="H6" s="17">
        <v>0</v>
      </c>
      <c r="I6" s="17">
        <v>2</v>
      </c>
      <c r="J6" s="17">
        <v>1</v>
      </c>
      <c r="K6" s="17">
        <v>0</v>
      </c>
      <c r="L6" s="17">
        <v>0</v>
      </c>
      <c r="M6" s="16">
        <f>(($E6:$E18 + 2 * $F6:$F18 + 3 * $G6:$G18 + 4 * $H6:$H18) / $C6:$C18)</f>
      </c>
      <c r="N6" s="16">
        <f>(($D$1:$D$87 + $K$1:$K$87) / ($C$1:$C$87 + $K$1:$K$87))</f>
      </c>
      <c r="O6" s="16">
        <f>(($D$1:$D$76 + $K$1:$K$76) / ($C$1:$C$76 + $K$1:$K$105)) + ((($E$1:$E$117) + (2 * $F$1:$F$117) + (3 * $G$1:$G$117) + (4 * $H$1:$H$117)) / $C$1:$C$76)</f>
      </c>
      <c r="P6" s="17">
        <v>2</v>
      </c>
      <c r="Q6" s="17">
        <v>2</v>
      </c>
      <c r="R6" s="18">
        <f>$Q$1:$Q$87/$P$1:$P$87</f>
      </c>
      <c r="S6" s="14"/>
      <c r="T6" s="14"/>
      <c r="U6" s="14"/>
      <c r="V6" s="14"/>
      <c r="W6" s="14"/>
      <c r="X6" s="14"/>
    </row>
    <row x14ac:dyDescent="0.25" r="7" customHeight="1" ht="14.25">
      <c r="A7" s="19" t="s">
        <v>40</v>
      </c>
      <c r="B7" s="20">
        <f>$D$1:$D$87/$C$1:$C$87</f>
      </c>
      <c r="C7" s="21">
        <v>2</v>
      </c>
      <c r="D7" s="21">
        <v>1</v>
      </c>
      <c r="E7" s="21">
        <v>1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0">
        <f>(($E7:$E20 + 2 * $F7:$F20 + 3 * $G7:$G20 + 4 * $H7:$H20) / $C7:$C20)</f>
      </c>
      <c r="N7" s="20">
        <f>(($D$1:$D$87 + $K$1:$K$87) / ($C$1:$C$87 + $K$1:$K$87))</f>
      </c>
      <c r="O7" s="20">
        <f>(($D$1:$D$76 + $K$1:$K$76) / ($C$1:$C$76 + $K$1:$K$105)) + ((($E$1:$E$117) + (2 * $F$1:$F$117) + (3 * $G$1:$G$117) + (4 * $H$1:$H$117)) / $C$1:$C$76)</f>
      </c>
      <c r="P7" s="21">
        <v>1</v>
      </c>
      <c r="Q7" s="21">
        <v>1</v>
      </c>
      <c r="R7" s="22">
        <f>$Q$1:$Q$87/$P$1:$P$87</f>
      </c>
      <c r="S7" s="14"/>
      <c r="T7" s="14"/>
      <c r="U7" s="14"/>
      <c r="V7" s="14"/>
      <c r="W7" s="14"/>
      <c r="X7" s="14"/>
    </row>
    <row x14ac:dyDescent="0.25" r="8" customHeight="1" ht="14.25">
      <c r="A8" s="15" t="s">
        <v>61</v>
      </c>
      <c r="B8" s="16">
        <f>$D$1:$D$87/$C$1:$C$87</f>
      </c>
      <c r="C8" s="17">
        <v>2</v>
      </c>
      <c r="D8" s="17">
        <v>2</v>
      </c>
      <c r="E8" s="17">
        <v>2</v>
      </c>
      <c r="F8" s="17">
        <v>0</v>
      </c>
      <c r="G8" s="17">
        <v>0</v>
      </c>
      <c r="H8" s="17">
        <v>0</v>
      </c>
      <c r="I8" s="17">
        <v>2</v>
      </c>
      <c r="J8" s="17">
        <v>1</v>
      </c>
      <c r="K8" s="17">
        <v>0</v>
      </c>
      <c r="L8" s="17">
        <v>0</v>
      </c>
      <c r="M8" s="16">
        <f>(($E8:$E14 + 2 * $F8:$F14 + 3 * $G8:$G14 + 4 * $H8:$H14) / $C8:$C14)</f>
      </c>
      <c r="N8" s="16">
        <f>(($D$1:$D$87 + $K$1:$K$87) / ($C$1:$C$87 + $K$1:$K$87))</f>
      </c>
      <c r="O8" s="16">
        <f>(($D$1:$D$76 + $K$1:$K$76) / ($C$1:$C$76 + $K$1:$K$105)) + ((($E$1:$E$117) + (2 * $F$1:$F$117) + (3 * $G$1:$G$117) + (4 * $H$1:$H$117)) / $C$1:$C$76)</f>
      </c>
      <c r="P8" s="17">
        <v>1</v>
      </c>
      <c r="Q8" s="17">
        <v>1</v>
      </c>
      <c r="R8" s="18">
        <f>$Q$1:$Q$87/$P$1:$P$87</f>
      </c>
      <c r="S8" s="14"/>
      <c r="T8" s="14"/>
      <c r="U8" s="14"/>
      <c r="V8" s="14"/>
      <c r="W8" s="14"/>
      <c r="X8" s="14"/>
    </row>
    <row x14ac:dyDescent="0.25" r="9" customHeight="1" ht="14.25">
      <c r="A9" s="19" t="s">
        <v>36</v>
      </c>
      <c r="B9" s="20">
        <f>$D$1:$D$87/$C$1:$C$87</f>
      </c>
      <c r="C9" s="21">
        <v>2</v>
      </c>
      <c r="D9" s="21">
        <v>1</v>
      </c>
      <c r="E9" s="21">
        <v>1</v>
      </c>
      <c r="F9" s="21">
        <v>0</v>
      </c>
      <c r="G9" s="21">
        <v>0</v>
      </c>
      <c r="H9" s="21">
        <v>0</v>
      </c>
      <c r="I9" s="21">
        <v>0</v>
      </c>
      <c r="J9" s="21">
        <v>1</v>
      </c>
      <c r="K9" s="21">
        <v>0</v>
      </c>
      <c r="L9" s="21">
        <v>0</v>
      </c>
      <c r="M9" s="20">
        <f>(($E9:$E29 + 2 * $F9:$F29 + 3 * $G9:$G22 + 4 * $H9:$H22) / $C9:$C21)</f>
      </c>
      <c r="N9" s="20">
        <f>(($D$1:$D$87 + $K$1:$K$87) / ($C$1:$C$87 + $K$1:$K$87))</f>
      </c>
      <c r="O9" s="20">
        <f>(($D$1:$D$76 + $K$1:$K$76) / ($C$1:$C$76 + $K$1:$K$105)) + ((($E$1:$E$117) + (2 * $F$1:$F$117) + (3 * $G$1:$G$117) + (4 * $H$1:$H$117)) / $C$1:$C$76)</f>
      </c>
      <c r="P9" s="21">
        <v>1</v>
      </c>
      <c r="Q9" s="21">
        <v>0</v>
      </c>
      <c r="R9" s="22">
        <f>$Q$1:$Q$87/$P$1:$P$87</f>
      </c>
      <c r="S9" s="14"/>
      <c r="T9" s="14"/>
      <c r="U9" s="14"/>
      <c r="V9" s="14"/>
      <c r="W9" s="14"/>
      <c r="X9" s="14"/>
    </row>
    <row x14ac:dyDescent="0.25" r="10" customHeight="1" ht="14.25">
      <c r="A10" s="15" t="s">
        <v>56</v>
      </c>
      <c r="B10" s="16">
        <f>$D$1:$D$87/$C$1:$C$87</f>
      </c>
      <c r="C10" s="17">
        <v>2</v>
      </c>
      <c r="D10" s="17">
        <v>2</v>
      </c>
      <c r="E10" s="17">
        <v>1</v>
      </c>
      <c r="F10" s="17">
        <v>1</v>
      </c>
      <c r="G10" s="17">
        <v>0</v>
      </c>
      <c r="H10" s="17">
        <v>0</v>
      </c>
      <c r="I10" s="17">
        <v>1</v>
      </c>
      <c r="J10" s="17">
        <v>2</v>
      </c>
      <c r="K10" s="17">
        <v>0</v>
      </c>
      <c r="L10" s="17">
        <v>0</v>
      </c>
      <c r="M10" s="16">
        <f>(($E10:$E14 + 2 * $F10:$F14 + 3 * $G10:$G14 + 4 * $H10:$H14) / $C10:$C14)</f>
      </c>
      <c r="N10" s="16">
        <f>(($D$1:$D$87 + $K$1:$K$87) / ($C$1:$C$87 + $K$1:$K$87))</f>
      </c>
      <c r="O10" s="16">
        <f>(($D$1:$D$76 + $K$1:$K$76) / ($C$1:$C$76 + $K$1:$K$105)) + ((($E$1:$E$117) + (2 * $F$1:$F$117) + (3 * $G$1:$G$117) + (4 * $H$1:$H$117)) / $C$1:$C$76)</f>
      </c>
      <c r="P10" s="17">
        <v>1</v>
      </c>
      <c r="Q10" s="17">
        <v>1</v>
      </c>
      <c r="R10" s="18">
        <f>$Q$1:$Q$87/$P$1:$P$87</f>
      </c>
      <c r="S10" s="14"/>
      <c r="T10" s="14"/>
      <c r="U10" s="14"/>
      <c r="V10" s="14"/>
      <c r="W10" s="14"/>
      <c r="X10" s="14"/>
    </row>
    <row x14ac:dyDescent="0.25" r="11" customHeight="1" ht="14.25">
      <c r="A11" s="19" t="s">
        <v>42</v>
      </c>
      <c r="B11" s="20">
        <f>$D$1:$D$87/$C$1:$C$87</f>
      </c>
      <c r="C11" s="21">
        <v>2</v>
      </c>
      <c r="D11" s="21">
        <v>2</v>
      </c>
      <c r="E11" s="21">
        <v>2</v>
      </c>
      <c r="F11" s="21">
        <v>0</v>
      </c>
      <c r="G11" s="21">
        <v>0</v>
      </c>
      <c r="H11" s="21">
        <v>0</v>
      </c>
      <c r="I11" s="21">
        <v>2</v>
      </c>
      <c r="J11" s="21">
        <v>0</v>
      </c>
      <c r="K11" s="21">
        <v>0</v>
      </c>
      <c r="L11" s="21">
        <v>0</v>
      </c>
      <c r="M11" s="20">
        <f>(($E11:$E14 + 2 * $F11:$F14 + 3 * $G11:$G14 + 4 * $H11:$H14) / $C11:$C14)</f>
      </c>
      <c r="N11" s="20">
        <f>(($D$1:$D$87 + $K$1:$K$87) / ($C$1:$C$87 + $K$1:$K$87))</f>
      </c>
      <c r="O11" s="20">
        <f>(($D$1:$D$76 + $K$1:$K$76) / ($C$1:$C$76 + $K$1:$K$105)) + ((($E$1:$E$117) + (2 * $F$1:$F$117) + (3 * $G$1:$G$117) + (4 * $H$1:$H$117)) / $C$1:$C$76)</f>
      </c>
      <c r="P11" s="21">
        <v>2</v>
      </c>
      <c r="Q11" s="21">
        <v>2</v>
      </c>
      <c r="R11" s="22">
        <f>$Q$1:$Q$87/$P$1:$P$87</f>
      </c>
      <c r="S11" s="14"/>
      <c r="T11" s="14"/>
      <c r="U11" s="14"/>
      <c r="V11" s="14"/>
      <c r="W11" s="14"/>
      <c r="X11" s="14"/>
    </row>
    <row x14ac:dyDescent="0.25" r="12" customHeight="1" ht="14.25">
      <c r="A12" s="15" t="s">
        <v>20</v>
      </c>
      <c r="B12" s="16">
        <f>$D$1:$D$87/$C$1:$C$87</f>
      </c>
      <c r="C12" s="17">
        <v>2</v>
      </c>
      <c r="D12" s="17">
        <v>1</v>
      </c>
      <c r="E12" s="17">
        <v>1</v>
      </c>
      <c r="F12" s="17">
        <v>0</v>
      </c>
      <c r="G12" s="17">
        <v>0</v>
      </c>
      <c r="H12" s="17">
        <v>0</v>
      </c>
      <c r="I12" s="17">
        <v>0</v>
      </c>
      <c r="J12" s="17">
        <v>1</v>
      </c>
      <c r="K12" s="17">
        <v>0</v>
      </c>
      <c r="L12" s="17">
        <v>0</v>
      </c>
      <c r="M12" s="16">
        <f>(($E12:$E20 + 2 * $F12:$F20 + 3 * $G12:$G20 + 4 * $H12:$H20) / $C12:$C20)</f>
      </c>
      <c r="N12" s="16">
        <f>(($D$1:$D$87 + $K$1:$K$87) / ($C$1:$C$87 + $K$1:$K$87))</f>
      </c>
      <c r="O12" s="16">
        <f>(($D$1:$D$76 + $K$1:$K$76) / ($C$1:$C$76 + $K$1:$K$105)) + ((($E$1:$E$117) + (2 * $F$1:$F$117) + (3 * $G$1:$G$117) + (4 * $H$1:$H$117)) / $C$1:$C$76)</f>
      </c>
      <c r="P12" s="17">
        <v>1</v>
      </c>
      <c r="Q12" s="17">
        <v>1</v>
      </c>
      <c r="R12" s="18">
        <f>$Q$1:$Q$87/$P$1:$P$87</f>
      </c>
      <c r="S12" s="14"/>
      <c r="T12" s="14"/>
      <c r="U12" s="14"/>
      <c r="V12" s="14"/>
      <c r="W12" s="14"/>
      <c r="X12" s="14"/>
    </row>
    <row x14ac:dyDescent="0.25" r="13" customHeight="1" ht="14.25">
      <c r="A13" s="19" t="s">
        <v>54</v>
      </c>
      <c r="B13" s="20">
        <f>$D$1:$D$87/$C$1:$C$87</f>
      </c>
      <c r="C13" s="21">
        <v>2</v>
      </c>
      <c r="D13" s="21">
        <v>1</v>
      </c>
      <c r="E13" s="21">
        <v>1</v>
      </c>
      <c r="F13" s="21">
        <v>0</v>
      </c>
      <c r="G13" s="21">
        <v>0</v>
      </c>
      <c r="H13" s="21">
        <v>0</v>
      </c>
      <c r="I13" s="21">
        <v>0</v>
      </c>
      <c r="J13" s="21">
        <v>1</v>
      </c>
      <c r="K13" s="21">
        <v>0</v>
      </c>
      <c r="L13" s="21">
        <v>0</v>
      </c>
      <c r="M13" s="20">
        <f>(($E13:$E20 + 2 * $F13:$F20 + 3 * $G13:$G20 + 4 * $H13:$H20) / $C13:$C20)</f>
      </c>
      <c r="N13" s="20">
        <f>(($D$1:$D$87 + $K$1:$K$87) / ($C$1:$C$87 + $K$1:$K$87))</f>
      </c>
      <c r="O13" s="20">
        <f>(($D$1:$D$76 + $K$1:$K$76) / ($C$1:$C$76 + $K$1:$K$105)) + ((($E$1:$E$117) + (2 * $F$1:$F$117) + (3 * $G$1:$G$117) + (4 * $H$1:$H$117)) / $C$1:$C$76)</f>
      </c>
      <c r="P13" s="21">
        <v>2</v>
      </c>
      <c r="Q13" s="21">
        <v>1</v>
      </c>
      <c r="R13" s="22">
        <f>$Q$1:$Q$87/$P$1:$P$87</f>
      </c>
      <c r="S13" s="14"/>
      <c r="T13" s="14"/>
      <c r="U13" s="14"/>
      <c r="V13" s="14"/>
      <c r="W13" s="14"/>
      <c r="X13" s="14"/>
    </row>
    <row x14ac:dyDescent="0.25" r="14" customHeight="1" ht="14.25">
      <c r="A14" s="15" t="s">
        <v>51</v>
      </c>
      <c r="B14" s="16">
        <f>$D$1:$D$87/$C$1:$C$87</f>
      </c>
      <c r="C14" s="17">
        <v>2</v>
      </c>
      <c r="D14" s="17">
        <v>2</v>
      </c>
      <c r="E14" s="17">
        <v>0</v>
      </c>
      <c r="F14" s="17">
        <v>0</v>
      </c>
      <c r="G14" s="17">
        <v>1</v>
      </c>
      <c r="H14" s="17">
        <v>1</v>
      </c>
      <c r="I14" s="17">
        <v>3</v>
      </c>
      <c r="J14" s="17">
        <v>1</v>
      </c>
      <c r="K14" s="17">
        <v>0</v>
      </c>
      <c r="L14" s="17">
        <v>0</v>
      </c>
      <c r="M14" s="16">
        <f>(($E14 + 2 * $F14 + 3 * $G14 + 4 * $H14) / $C14)</f>
      </c>
      <c r="N14" s="16">
        <f>(($D$1:$D$87 + $K$1:$K$87) / ($C$1:$C$87 + $K$1:$K$87))</f>
      </c>
      <c r="O14" s="16">
        <f>(($D$14:$D$76 + $K$14:$K$76) / ($C$14:$C$76 + $K$1:$K$105)) + ((($E14:$E105) + (2 * $F14:$F105) + (3 * $G14:$G105) + (4 * $H14:$H105)) / $C$14:$C$76)</f>
      </c>
      <c r="P14" s="17">
        <v>1</v>
      </c>
      <c r="Q14" s="17">
        <v>1</v>
      </c>
      <c r="R14" s="18">
        <f>$Q$1:$Q$87/$P$1:$P$87</f>
      </c>
      <c r="S14" s="14"/>
      <c r="T14" s="14"/>
      <c r="U14" s="14"/>
      <c r="V14" s="14"/>
      <c r="W14" s="14"/>
      <c r="X14" s="14"/>
    </row>
    <row x14ac:dyDescent="0.25" r="15" customHeight="1" ht="14.25">
      <c r="A15" s="19" t="s">
        <v>29</v>
      </c>
      <c r="B15" s="20">
        <f>$D$1:$D$87/$C$1:$C$87</f>
      </c>
      <c r="C15" s="21">
        <v>2</v>
      </c>
      <c r="D15" s="21">
        <v>1</v>
      </c>
      <c r="E15" s="21">
        <v>1</v>
      </c>
      <c r="F15" s="21">
        <v>0</v>
      </c>
      <c r="G15" s="21">
        <v>0</v>
      </c>
      <c r="H15" s="21">
        <v>0</v>
      </c>
      <c r="I15" s="21">
        <v>1</v>
      </c>
      <c r="J15" s="21">
        <v>1</v>
      </c>
      <c r="K15" s="21">
        <v>0</v>
      </c>
      <c r="L15" s="21">
        <v>0</v>
      </c>
      <c r="M15" s="20">
        <f>(($E15:$E18 + 2 * $F15:$F18 + 3 * $G15:$G18 + 4 * $H15:$H18) / $C15:$C18)</f>
      </c>
      <c r="N15" s="20">
        <f>(($D$1:$D$87 + $K$1:$K$87) / ($C$1:$C$87 + $K$1:$K$87))</f>
      </c>
      <c r="O15" s="20">
        <f>(($D$14:$D$76 + $K$14:$K$76) / ($C$14:$C$76 + $K$1:$K$105)) + ((($E15:$E118) + (2 * $F15:$F118) + (3 * $G15:$G118) + (4 * $H15:$H118)) / $C$14:$C$76)</f>
      </c>
      <c r="P15" s="21">
        <v>1</v>
      </c>
      <c r="Q15" s="21">
        <v>1</v>
      </c>
      <c r="R15" s="22">
        <f>$Q$1:$Q$87/$P$1:$P$87</f>
      </c>
      <c r="S15" s="14"/>
      <c r="T15" s="14"/>
      <c r="U15" s="14"/>
      <c r="V15" s="14"/>
      <c r="W15" s="14"/>
      <c r="X15" s="14"/>
    </row>
    <row x14ac:dyDescent="0.25" r="16" customHeight="1" ht="14.25">
      <c r="A16" s="47" t="s">
        <v>23</v>
      </c>
      <c r="B16" s="48">
        <f>$D$1:$D$87/$C$1:$C$87</f>
      </c>
      <c r="C16" s="49">
        <v>1</v>
      </c>
      <c r="D16" s="49">
        <v>0</v>
      </c>
      <c r="E16" s="49">
        <v>0</v>
      </c>
      <c r="F16" s="49">
        <v>0</v>
      </c>
      <c r="G16" s="49">
        <v>0</v>
      </c>
      <c r="H16" s="49">
        <v>0</v>
      </c>
      <c r="I16" s="49">
        <v>0</v>
      </c>
      <c r="J16" s="49">
        <v>0</v>
      </c>
      <c r="K16" s="49">
        <v>0</v>
      </c>
      <c r="L16" s="49">
        <v>0</v>
      </c>
      <c r="M16" s="48">
        <f>(($E16:$E18 + 2 * $F16:$F18 + 3 * $G16:$G18 + 4 * $H16:$H18) / $C16:$C18)</f>
      </c>
      <c r="N16" s="48">
        <f>(($D$1:$D$87 + $K$1:$K$87) / ($C$1:$C$87 + $K$1:$K$87))</f>
      </c>
      <c r="O16" s="48">
        <f>(($D$14:$D$76 + $K$14:$K$76) / ($C$14:$C$76 + $K$1:$K$105)) + ((($E16:$E119) + (2 * $F16:$F119) + (3 * $G16:$G119) + (4 * $H16:$H119)) / $C$14:$C$76)</f>
      </c>
      <c r="P16" s="49">
        <v>0</v>
      </c>
      <c r="Q16" s="49">
        <v>0</v>
      </c>
      <c r="R16" s="50"/>
      <c r="S16" s="14"/>
      <c r="T16" s="14"/>
      <c r="U16" s="14"/>
      <c r="V16" s="14"/>
      <c r="W16" s="14"/>
      <c r="X16" s="14"/>
    </row>
    <row x14ac:dyDescent="0.25" r="17" customHeight="1" ht="14.25">
      <c r="A17" s="4"/>
      <c r="B17" s="29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29"/>
      <c r="N17" s="14"/>
      <c r="O17" s="14"/>
      <c r="P17" s="28"/>
      <c r="Q17" s="28"/>
      <c r="R17" s="14"/>
      <c r="S17" s="14"/>
      <c r="T17" s="14"/>
      <c r="U17" s="14"/>
      <c r="V17" s="14"/>
      <c r="W17" s="14"/>
      <c r="X17" s="14"/>
    </row>
    <row x14ac:dyDescent="0.25" r="18" customHeight="1" ht="14.25">
      <c r="A18" s="4"/>
      <c r="B18" s="29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29"/>
      <c r="N18" s="14"/>
      <c r="O18" s="14"/>
      <c r="P18" s="28"/>
      <c r="Q18" s="28"/>
      <c r="R18" s="14"/>
      <c r="S18" s="14"/>
      <c r="T18" s="14"/>
      <c r="U18" s="14"/>
      <c r="V18" s="14"/>
      <c r="W18" s="14"/>
      <c r="X18" s="14"/>
    </row>
    <row x14ac:dyDescent="0.25" r="19" customHeight="1" ht="14.25">
      <c r="A19" s="14"/>
      <c r="B19" s="14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14"/>
      <c r="N19" s="14"/>
      <c r="O19" s="14"/>
      <c r="P19" s="28"/>
      <c r="Q19" s="28"/>
      <c r="R19" s="14"/>
      <c r="S19" s="14"/>
      <c r="T19" s="14"/>
      <c r="U19" s="14"/>
      <c r="V19" s="14"/>
      <c r="W19" s="14"/>
      <c r="X19" s="14"/>
    </row>
    <row x14ac:dyDescent="0.25" r="20" customHeight="1" ht="14.25">
      <c r="A20" s="14"/>
      <c r="B20" s="14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14"/>
      <c r="N20" s="14"/>
      <c r="O20" s="14"/>
      <c r="P20" s="28"/>
      <c r="Q20" s="28"/>
      <c r="R20" s="14"/>
      <c r="S20" s="14"/>
      <c r="T20" s="14"/>
      <c r="U20" s="14"/>
      <c r="V20" s="14"/>
      <c r="W20" s="14"/>
      <c r="X20" s="14"/>
    </row>
    <row x14ac:dyDescent="0.25" r="21" customHeight="1" ht="14.25">
      <c r="A21" s="14"/>
      <c r="B21" s="14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14"/>
      <c r="N21" s="14"/>
      <c r="O21" s="14"/>
      <c r="P21" s="32"/>
      <c r="Q21" s="32"/>
      <c r="R21" s="4"/>
      <c r="S21" s="14"/>
      <c r="T21" s="14"/>
      <c r="U21" s="14"/>
      <c r="V21" s="14"/>
      <c r="W21" s="14"/>
      <c r="X21" s="14"/>
    </row>
    <row x14ac:dyDescent="0.25" r="22" customHeight="1" ht="14.25">
      <c r="A22" s="14"/>
      <c r="B22" s="14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14"/>
      <c r="N22" s="14"/>
      <c r="O22" s="14"/>
      <c r="P22" s="32"/>
      <c r="Q22" s="32"/>
      <c r="R22" s="4"/>
      <c r="S22" s="14"/>
      <c r="T22" s="14"/>
      <c r="U22" s="14"/>
      <c r="V22" s="14"/>
      <c r="W22" s="14"/>
      <c r="X22" s="14"/>
    </row>
    <row x14ac:dyDescent="0.25" r="23" customHeight="1" ht="14.25">
      <c r="A23" s="14"/>
      <c r="B23" s="14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4"/>
      <c r="N23" s="14"/>
      <c r="O23" s="14"/>
      <c r="P23" s="32"/>
      <c r="Q23" s="32"/>
      <c r="R23" s="4"/>
      <c r="S23" s="14"/>
      <c r="T23" s="14"/>
      <c r="U23" s="14"/>
      <c r="V23" s="14"/>
      <c r="W23" s="14"/>
      <c r="X23" s="14"/>
    </row>
    <row x14ac:dyDescent="0.25" r="24" customHeight="1" ht="14.25">
      <c r="A24" s="14"/>
      <c r="B24" s="14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14"/>
      <c r="N24" s="14"/>
      <c r="O24" s="14"/>
      <c r="P24" s="32"/>
      <c r="Q24" s="32"/>
      <c r="R24" s="4"/>
      <c r="S24" s="14"/>
      <c r="T24" s="14"/>
      <c r="U24" s="14"/>
      <c r="V24" s="14"/>
      <c r="W24" s="14"/>
      <c r="X24" s="14"/>
    </row>
    <row x14ac:dyDescent="0.25" r="25" customHeight="1" ht="14.25">
      <c r="A25" s="14"/>
      <c r="B25" s="14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4"/>
      <c r="N25" s="14"/>
      <c r="O25" s="14"/>
      <c r="P25" s="32"/>
      <c r="Q25" s="32"/>
      <c r="R25" s="4"/>
      <c r="S25" s="14"/>
      <c r="T25" s="14"/>
      <c r="U25" s="14"/>
      <c r="V25" s="14"/>
      <c r="W25" s="14"/>
      <c r="X25" s="14"/>
    </row>
    <row x14ac:dyDescent="0.25" r="26" customHeight="1" ht="14.25">
      <c r="A26" s="14"/>
      <c r="B26" s="14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14"/>
      <c r="N26" s="14"/>
      <c r="O26" s="14"/>
      <c r="P26" s="32"/>
      <c r="Q26" s="32"/>
      <c r="R26" s="4"/>
      <c r="S26" s="4"/>
      <c r="T26" s="4"/>
      <c r="U26" s="4"/>
      <c r="V26" s="4"/>
      <c r="W26" s="4"/>
      <c r="X26" s="4"/>
    </row>
    <row x14ac:dyDescent="0.25" r="27" customHeight="1" ht="14.25">
      <c r="A27" s="14"/>
      <c r="B27" s="14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14"/>
      <c r="N27" s="14"/>
      <c r="O27" s="14"/>
      <c r="P27" s="32"/>
      <c r="Q27" s="32"/>
      <c r="R27" s="4"/>
      <c r="S27" s="4"/>
      <c r="T27" s="4"/>
      <c r="U27" s="4"/>
      <c r="V27" s="4"/>
      <c r="W27" s="4"/>
      <c r="X27" s="4"/>
    </row>
    <row x14ac:dyDescent="0.25" r="28" customHeight="1" ht="14.25">
      <c r="A28" s="14"/>
      <c r="B28" s="14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4"/>
      <c r="N28" s="14"/>
      <c r="O28" s="14"/>
      <c r="P28" s="32"/>
      <c r="Q28" s="32"/>
      <c r="R28" s="4"/>
      <c r="S28" s="4"/>
      <c r="T28" s="4"/>
      <c r="U28" s="4"/>
      <c r="V28" s="4"/>
      <c r="W28" s="4"/>
      <c r="X28" s="4"/>
    </row>
    <row x14ac:dyDescent="0.25" r="29" customHeight="1" ht="14.25">
      <c r="A29" s="14"/>
      <c r="B29" s="14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4"/>
      <c r="N29" s="14"/>
      <c r="O29" s="14"/>
      <c r="P29" s="32"/>
      <c r="Q29" s="32"/>
      <c r="R29" s="4"/>
      <c r="S29" s="4"/>
      <c r="T29" s="4"/>
      <c r="U29" s="4"/>
      <c r="V29" s="4"/>
      <c r="W29" s="4"/>
      <c r="X29" s="4"/>
    </row>
    <row x14ac:dyDescent="0.25" r="30" customHeight="1" ht="14.25">
      <c r="A30" s="14"/>
      <c r="B30" s="14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4"/>
      <c r="N30" s="14"/>
      <c r="O30" s="14"/>
      <c r="P30" s="32"/>
      <c r="Q30" s="32"/>
      <c r="R30" s="4"/>
      <c r="S30" s="4"/>
      <c r="T30" s="4"/>
      <c r="U30" s="4"/>
      <c r="V30" s="4"/>
      <c r="W30" s="4"/>
      <c r="X30" s="4"/>
    </row>
    <row x14ac:dyDescent="0.25" r="31" customHeight="1" ht="14.25">
      <c r="A31" s="14"/>
      <c r="B31" s="14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14"/>
      <c r="N31" s="14"/>
      <c r="O31" s="14"/>
      <c r="P31" s="32"/>
      <c r="Q31" s="32"/>
      <c r="R31" s="4"/>
      <c r="S31" s="4"/>
      <c r="T31" s="4"/>
      <c r="U31" s="4"/>
      <c r="V31" s="4"/>
      <c r="W31" s="4"/>
      <c r="X31" s="4"/>
    </row>
    <row x14ac:dyDescent="0.25" r="32" customHeight="1" ht="14.25">
      <c r="A32" s="14"/>
      <c r="B32" s="14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14"/>
      <c r="N32" s="14"/>
      <c r="O32" s="14"/>
      <c r="P32" s="32"/>
      <c r="Q32" s="32"/>
      <c r="R32" s="4"/>
      <c r="S32" s="4"/>
      <c r="T32" s="4"/>
      <c r="U32" s="4"/>
      <c r="V32" s="4"/>
      <c r="W32" s="4"/>
      <c r="X32" s="4"/>
    </row>
    <row x14ac:dyDescent="0.25" r="33" customHeight="1" ht="14.25">
      <c r="A33" s="14"/>
      <c r="B33" s="14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14"/>
      <c r="N33" s="14"/>
      <c r="O33" s="14"/>
      <c r="P33" s="32"/>
      <c r="Q33" s="32"/>
      <c r="R33" s="4"/>
      <c r="S33" s="4"/>
      <c r="T33" s="4"/>
      <c r="U33" s="4"/>
      <c r="V33" s="4"/>
      <c r="W33" s="4"/>
      <c r="X33" s="4"/>
    </row>
    <row x14ac:dyDescent="0.25" r="34" customHeight="1" ht="14.25">
      <c r="A34" s="14"/>
      <c r="B34" s="14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14"/>
      <c r="N34" s="14"/>
      <c r="O34" s="14"/>
      <c r="P34" s="32"/>
      <c r="Q34" s="32"/>
      <c r="R34" s="4"/>
      <c r="S34" s="4"/>
      <c r="T34" s="4"/>
      <c r="U34" s="4"/>
      <c r="V34" s="4"/>
      <c r="W34" s="4"/>
      <c r="X34" s="4"/>
    </row>
    <row x14ac:dyDescent="0.25" r="35" customHeight="1" ht="14.25">
      <c r="A35" s="14"/>
      <c r="B35" s="14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14"/>
      <c r="N35" s="14"/>
      <c r="O35" s="14"/>
      <c r="P35" s="32"/>
      <c r="Q35" s="32"/>
      <c r="R35" s="4"/>
      <c r="S35" s="4"/>
      <c r="T35" s="4"/>
      <c r="U35" s="4"/>
      <c r="V35" s="4"/>
      <c r="W35" s="4"/>
      <c r="X35" s="4"/>
    </row>
    <row x14ac:dyDescent="0.25" r="36" customHeight="1" ht="14.25">
      <c r="A36" s="14"/>
      <c r="B36" s="14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14"/>
      <c r="N36" s="14"/>
      <c r="O36" s="14"/>
      <c r="P36" s="32"/>
      <c r="Q36" s="32"/>
      <c r="R36" s="4"/>
      <c r="S36" s="4"/>
      <c r="T36" s="4"/>
      <c r="U36" s="4"/>
      <c r="V36" s="4"/>
      <c r="W36" s="4"/>
      <c r="X36" s="4"/>
    </row>
    <row x14ac:dyDescent="0.25" r="37" customHeight="1" ht="14.25">
      <c r="A37" s="14"/>
      <c r="B37" s="14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14"/>
      <c r="N37" s="14"/>
      <c r="O37" s="14"/>
      <c r="P37" s="32"/>
      <c r="Q37" s="32"/>
      <c r="R37" s="4"/>
      <c r="S37" s="4"/>
      <c r="T37" s="4"/>
      <c r="U37" s="4"/>
      <c r="V37" s="4"/>
      <c r="W37" s="4"/>
      <c r="X37" s="4"/>
    </row>
    <row x14ac:dyDescent="0.25" r="38" customHeight="1" ht="14.25">
      <c r="A38" s="14"/>
      <c r="B38" s="14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14"/>
      <c r="N38" s="14"/>
      <c r="O38" s="14"/>
      <c r="P38" s="32"/>
      <c r="Q38" s="32"/>
      <c r="R38" s="4"/>
      <c r="S38" s="4"/>
      <c r="T38" s="4"/>
      <c r="U38" s="4"/>
      <c r="V38" s="4"/>
      <c r="W38" s="4"/>
      <c r="X38" s="4"/>
    </row>
    <row x14ac:dyDescent="0.25" r="39" customHeight="1" ht="14.25">
      <c r="A39" s="14"/>
      <c r="B39" s="14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14"/>
      <c r="N39" s="14"/>
      <c r="O39" s="14"/>
      <c r="P39" s="32"/>
      <c r="Q39" s="32"/>
      <c r="R39" s="4"/>
      <c r="S39" s="4"/>
      <c r="T39" s="4"/>
      <c r="U39" s="4"/>
      <c r="V39" s="4"/>
      <c r="W39" s="4"/>
      <c r="X39" s="4"/>
    </row>
    <row x14ac:dyDescent="0.25" r="40" customHeight="1" ht="14.25">
      <c r="A40" s="14"/>
      <c r="B40" s="14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14"/>
      <c r="N40" s="14"/>
      <c r="O40" s="14"/>
      <c r="P40" s="32"/>
      <c r="Q40" s="32"/>
      <c r="R40" s="4"/>
      <c r="S40" s="4"/>
      <c r="T40" s="4"/>
      <c r="U40" s="4"/>
      <c r="V40" s="4"/>
      <c r="W40" s="4"/>
      <c r="X40" s="4"/>
    </row>
    <row x14ac:dyDescent="0.25" r="41" customHeight="1" ht="14.25">
      <c r="A41" s="14"/>
      <c r="B41" s="14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14"/>
      <c r="N41" s="14"/>
      <c r="O41" s="14"/>
      <c r="P41" s="32"/>
      <c r="Q41" s="32"/>
      <c r="R41" s="4"/>
      <c r="S41" s="4"/>
      <c r="T41" s="4"/>
      <c r="U41" s="4"/>
      <c r="V41" s="4"/>
      <c r="W41" s="4"/>
      <c r="X41" s="4"/>
    </row>
    <row x14ac:dyDescent="0.25" r="42" customHeight="1" ht="14.25">
      <c r="A42" s="14"/>
      <c r="B42" s="14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14"/>
      <c r="N42" s="14"/>
      <c r="O42" s="14"/>
      <c r="P42" s="32"/>
      <c r="Q42" s="32"/>
      <c r="R42" s="4"/>
      <c r="S42" s="4"/>
      <c r="T42" s="4"/>
      <c r="U42" s="4"/>
      <c r="V42" s="4"/>
      <c r="W42" s="4"/>
      <c r="X42" s="4"/>
    </row>
    <row x14ac:dyDescent="0.25" r="43" customHeight="1" ht="14.25">
      <c r="A43" s="14"/>
      <c r="B43" s="1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14"/>
      <c r="N43" s="14"/>
      <c r="O43" s="14"/>
      <c r="P43" s="32"/>
      <c r="Q43" s="32"/>
      <c r="R43" s="4"/>
      <c r="S43" s="4"/>
      <c r="T43" s="4"/>
      <c r="U43" s="4"/>
      <c r="V43" s="4"/>
      <c r="W43" s="4"/>
      <c r="X43" s="4"/>
    </row>
    <row x14ac:dyDescent="0.25" r="44" customHeight="1" ht="14.25">
      <c r="A44" s="14"/>
      <c r="B44" s="14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14"/>
      <c r="N44" s="14"/>
      <c r="O44" s="14"/>
      <c r="P44" s="32"/>
      <c r="Q44" s="32"/>
      <c r="R44" s="4"/>
      <c r="S44" s="4"/>
      <c r="T44" s="4"/>
      <c r="U44" s="4"/>
      <c r="V44" s="4"/>
      <c r="W44" s="4"/>
      <c r="X44" s="4"/>
    </row>
    <row x14ac:dyDescent="0.25" r="45" customHeight="1" ht="14.25">
      <c r="A45" s="14"/>
      <c r="B45" s="14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14"/>
      <c r="N45" s="14"/>
      <c r="O45" s="14"/>
      <c r="P45" s="32"/>
      <c r="Q45" s="32"/>
      <c r="R45" s="4"/>
      <c r="S45" s="4"/>
      <c r="T45" s="4"/>
      <c r="U45" s="4"/>
      <c r="V45" s="4"/>
      <c r="W45" s="4"/>
      <c r="X45" s="4"/>
    </row>
    <row x14ac:dyDescent="0.25" r="46" customHeight="1" ht="14.25">
      <c r="A46" s="14"/>
      <c r="B46" s="14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14"/>
      <c r="N46" s="14"/>
      <c r="O46" s="14"/>
      <c r="P46" s="32"/>
      <c r="Q46" s="32"/>
      <c r="R46" s="4"/>
      <c r="S46" s="4"/>
      <c r="T46" s="4"/>
      <c r="U46" s="4"/>
      <c r="V46" s="4"/>
      <c r="W46" s="4"/>
      <c r="X46" s="4"/>
    </row>
    <row x14ac:dyDescent="0.25" r="47" customHeight="1" ht="14.25">
      <c r="A47" s="14"/>
      <c r="B47" s="14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14"/>
      <c r="N47" s="14"/>
      <c r="O47" s="14"/>
      <c r="P47" s="32"/>
      <c r="Q47" s="32"/>
      <c r="R47" s="4"/>
      <c r="S47" s="4"/>
      <c r="T47" s="4"/>
      <c r="U47" s="4"/>
      <c r="V47" s="4"/>
      <c r="W47" s="4"/>
      <c r="X47" s="4"/>
    </row>
    <row x14ac:dyDescent="0.25" r="48" customHeight="1" ht="14.25">
      <c r="A48" s="14"/>
      <c r="B48" s="14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14"/>
      <c r="N48" s="14"/>
      <c r="O48" s="14"/>
      <c r="P48" s="32"/>
      <c r="Q48" s="32"/>
      <c r="R48" s="4"/>
      <c r="S48" s="4"/>
      <c r="T48" s="4"/>
      <c r="U48" s="4"/>
      <c r="V48" s="4"/>
      <c r="W48" s="4"/>
      <c r="X48" s="4"/>
    </row>
    <row x14ac:dyDescent="0.25" r="49" customHeight="1" ht="14.25">
      <c r="A49" s="14"/>
      <c r="B49" s="14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14"/>
      <c r="N49" s="14"/>
      <c r="O49" s="14"/>
      <c r="P49" s="32"/>
      <c r="Q49" s="32"/>
      <c r="R49" s="4"/>
      <c r="S49" s="4"/>
      <c r="T49" s="4"/>
      <c r="U49" s="4"/>
      <c r="V49" s="4"/>
      <c r="W49" s="4"/>
      <c r="X49" s="4"/>
    </row>
    <row x14ac:dyDescent="0.25" r="50" customHeight="1" ht="12.75">
      <c r="A50" s="4"/>
      <c r="B50" s="29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29"/>
      <c r="N50" s="29"/>
      <c r="O50" s="29"/>
      <c r="P50" s="32"/>
      <c r="Q50" s="32"/>
      <c r="R50" s="4"/>
      <c r="S50" s="4"/>
      <c r="T50" s="4"/>
      <c r="U50" s="4"/>
      <c r="V50" s="4"/>
      <c r="W50" s="4"/>
      <c r="X50" s="4"/>
    </row>
    <row x14ac:dyDescent="0.25" r="51" customHeight="1" ht="12.75">
      <c r="A51" s="4"/>
      <c r="B51" s="29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29"/>
      <c r="N51" s="29"/>
      <c r="O51" s="29"/>
      <c r="P51" s="32"/>
      <c r="Q51" s="32"/>
      <c r="R51" s="4"/>
      <c r="S51" s="4"/>
      <c r="T51" s="4"/>
      <c r="U51" s="4"/>
      <c r="V51" s="4"/>
      <c r="W51" s="4"/>
      <c r="X51" s="4"/>
    </row>
    <row x14ac:dyDescent="0.25" r="52" customHeight="1" ht="12.75">
      <c r="A52" s="4"/>
      <c r="B52" s="29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29"/>
      <c r="N52" s="29"/>
      <c r="O52" s="29"/>
      <c r="P52" s="32"/>
      <c r="Q52" s="32"/>
      <c r="R52" s="4"/>
      <c r="S52" s="4"/>
      <c r="T52" s="4"/>
      <c r="U52" s="4"/>
      <c r="V52" s="4"/>
      <c r="W52" s="4"/>
      <c r="X52" s="4"/>
    </row>
    <row x14ac:dyDescent="0.25" r="53" customHeight="1" ht="12.75">
      <c r="A53" s="4"/>
      <c r="B53" s="29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29"/>
      <c r="N53" s="29"/>
      <c r="O53" s="29"/>
      <c r="P53" s="32"/>
      <c r="Q53" s="32"/>
      <c r="R53" s="4"/>
      <c r="S53" s="4"/>
      <c r="T53" s="4"/>
      <c r="U53" s="4"/>
      <c r="V53" s="4"/>
      <c r="W53" s="4"/>
      <c r="X53" s="4"/>
    </row>
    <row x14ac:dyDescent="0.25" r="54" customHeight="1" ht="12.75">
      <c r="A54" s="4"/>
      <c r="B54" s="29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29"/>
      <c r="N54" s="29"/>
      <c r="O54" s="29"/>
      <c r="P54" s="32"/>
      <c r="Q54" s="32"/>
      <c r="R54" s="4"/>
      <c r="S54" s="4"/>
      <c r="T54" s="4"/>
      <c r="U54" s="4"/>
      <c r="V54" s="4"/>
      <c r="W54" s="4"/>
      <c r="X54" s="4"/>
    </row>
    <row x14ac:dyDescent="0.25" r="55" customHeight="1" ht="12.75">
      <c r="A55" s="4"/>
      <c r="B55" s="29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29"/>
      <c r="N55" s="29"/>
      <c r="O55" s="29"/>
      <c r="P55" s="32"/>
      <c r="Q55" s="32"/>
      <c r="R55" s="4"/>
      <c r="S55" s="4"/>
      <c r="T55" s="4"/>
      <c r="U55" s="4"/>
      <c r="V55" s="4"/>
      <c r="W55" s="4"/>
      <c r="X55" s="4"/>
    </row>
    <row x14ac:dyDescent="0.25" r="56" customHeight="1" ht="12.75">
      <c r="A56" s="4"/>
      <c r="B56" s="29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29"/>
      <c r="N56" s="29"/>
      <c r="O56" s="29"/>
      <c r="P56" s="32"/>
      <c r="Q56" s="32"/>
      <c r="R56" s="4"/>
      <c r="S56" s="4"/>
      <c r="T56" s="4"/>
      <c r="U56" s="4"/>
      <c r="V56" s="4"/>
      <c r="W56" s="4"/>
      <c r="X56" s="4"/>
    </row>
    <row x14ac:dyDescent="0.25" r="57" customHeight="1" ht="12.75">
      <c r="A57" s="4"/>
      <c r="B57" s="29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29"/>
      <c r="N57" s="29"/>
      <c r="O57" s="29"/>
      <c r="P57" s="32"/>
      <c r="Q57" s="32"/>
      <c r="R57" s="4"/>
      <c r="S57" s="4"/>
      <c r="T57" s="4"/>
      <c r="U57" s="4"/>
      <c r="V57" s="4"/>
      <c r="W57" s="4"/>
      <c r="X57" s="4"/>
    </row>
    <row x14ac:dyDescent="0.25" r="58" customHeight="1" ht="12.75">
      <c r="A58" s="4"/>
      <c r="B58" s="29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29"/>
      <c r="N58" s="29"/>
      <c r="O58" s="29"/>
      <c r="P58" s="32"/>
      <c r="Q58" s="32"/>
      <c r="R58" s="4"/>
      <c r="S58" s="4"/>
      <c r="T58" s="4"/>
      <c r="U58" s="4"/>
      <c r="V58" s="4"/>
      <c r="W58" s="4"/>
      <c r="X58" s="4"/>
    </row>
    <row x14ac:dyDescent="0.25" r="59" customHeight="1" ht="12.75">
      <c r="A59" s="4"/>
      <c r="B59" s="29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29"/>
      <c r="N59" s="29"/>
      <c r="O59" s="29"/>
      <c r="P59" s="32"/>
      <c r="Q59" s="32"/>
      <c r="R59" s="4"/>
      <c r="S59" s="4"/>
      <c r="T59" s="4"/>
      <c r="U59" s="4"/>
      <c r="V59" s="4"/>
      <c r="W59" s="4"/>
      <c r="X59" s="4"/>
    </row>
    <row x14ac:dyDescent="0.25" r="60" customHeight="1" ht="12.75">
      <c r="A60" s="4"/>
      <c r="B60" s="29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29"/>
      <c r="N60" s="29"/>
      <c r="O60" s="29"/>
      <c r="P60" s="32"/>
      <c r="Q60" s="32"/>
      <c r="R60" s="4"/>
      <c r="S60" s="4"/>
      <c r="T60" s="4"/>
      <c r="U60" s="4"/>
      <c r="V60" s="4"/>
      <c r="W60" s="4"/>
      <c r="X60" s="4"/>
    </row>
    <row x14ac:dyDescent="0.25" r="61" customHeight="1" ht="12.75">
      <c r="A61" s="4"/>
      <c r="B61" s="29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29"/>
      <c r="N61" s="29"/>
      <c r="O61" s="29"/>
      <c r="P61" s="32"/>
      <c r="Q61" s="32"/>
      <c r="R61" s="4"/>
      <c r="S61" s="4"/>
      <c r="T61" s="4"/>
      <c r="U61" s="4"/>
      <c r="V61" s="4"/>
      <c r="W61" s="4"/>
      <c r="X61" s="4"/>
    </row>
    <row x14ac:dyDescent="0.25" r="62" customHeight="1" ht="12.75">
      <c r="A62" s="4"/>
      <c r="B62" s="29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29"/>
      <c r="N62" s="29"/>
      <c r="O62" s="29"/>
      <c r="P62" s="32"/>
      <c r="Q62" s="32"/>
      <c r="R62" s="4"/>
      <c r="S62" s="4"/>
      <c r="T62" s="4"/>
      <c r="U62" s="4"/>
      <c r="V62" s="4"/>
      <c r="W62" s="4"/>
      <c r="X62" s="4"/>
    </row>
    <row x14ac:dyDescent="0.25" r="63" customHeight="1" ht="12.75">
      <c r="A63" s="4"/>
      <c r="B63" s="29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29"/>
      <c r="N63" s="29"/>
      <c r="O63" s="29"/>
      <c r="P63" s="32"/>
      <c r="Q63" s="32"/>
      <c r="R63" s="4"/>
      <c r="S63" s="4"/>
      <c r="T63" s="4"/>
      <c r="U63" s="4"/>
      <c r="V63" s="4"/>
      <c r="W63" s="4"/>
      <c r="X63" s="4"/>
    </row>
    <row x14ac:dyDescent="0.25" r="64" customHeight="1" ht="12.75">
      <c r="A64" s="4"/>
      <c r="B64" s="29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29"/>
      <c r="N64" s="29"/>
      <c r="O64" s="29"/>
      <c r="P64" s="32"/>
      <c r="Q64" s="32"/>
      <c r="R64" s="4"/>
      <c r="S64" s="4"/>
      <c r="T64" s="4"/>
      <c r="U64" s="4"/>
      <c r="V64" s="4"/>
      <c r="W64" s="4"/>
      <c r="X64" s="4"/>
    </row>
    <row x14ac:dyDescent="0.25" r="65" customHeight="1" ht="12.75">
      <c r="A65" s="4"/>
      <c r="B65" s="29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29"/>
      <c r="N65" s="29"/>
      <c r="O65" s="29"/>
      <c r="P65" s="32"/>
      <c r="Q65" s="32"/>
      <c r="R65" s="4"/>
      <c r="S65" s="4"/>
      <c r="T65" s="4"/>
      <c r="U65" s="4"/>
      <c r="V65" s="4"/>
      <c r="W65" s="4"/>
      <c r="X65" s="4"/>
    </row>
    <row x14ac:dyDescent="0.25" r="66" customHeight="1" ht="12.75">
      <c r="A66" s="4"/>
      <c r="B66" s="29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29"/>
      <c r="N66" s="29"/>
      <c r="O66" s="29"/>
      <c r="P66" s="32"/>
      <c r="Q66" s="32"/>
      <c r="R66" s="4"/>
      <c r="S66" s="4"/>
      <c r="T66" s="4"/>
      <c r="U66" s="4"/>
      <c r="V66" s="4"/>
      <c r="W66" s="4"/>
      <c r="X66" s="4"/>
    </row>
    <row x14ac:dyDescent="0.25" r="67" customHeight="1" ht="12.75">
      <c r="A67" s="4"/>
      <c r="B67" s="29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29"/>
      <c r="N67" s="29"/>
      <c r="O67" s="29"/>
      <c r="P67" s="32"/>
      <c r="Q67" s="32"/>
      <c r="R67" s="4"/>
      <c r="S67" s="4"/>
      <c r="T67" s="4"/>
      <c r="U67" s="4"/>
      <c r="V67" s="4"/>
      <c r="W67" s="4"/>
      <c r="X67" s="4"/>
    </row>
    <row x14ac:dyDescent="0.25" r="68" customHeight="1" ht="12.75">
      <c r="A68" s="4"/>
      <c r="B68" s="29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29"/>
      <c r="N68" s="29"/>
      <c r="O68" s="29"/>
      <c r="P68" s="32"/>
      <c r="Q68" s="32"/>
      <c r="R68" s="4"/>
      <c r="S68" s="4"/>
      <c r="T68" s="4"/>
      <c r="U68" s="4"/>
      <c r="V68" s="4"/>
      <c r="W68" s="4"/>
      <c r="X68" s="4"/>
    </row>
    <row x14ac:dyDescent="0.25" r="69" customHeight="1" ht="12.75">
      <c r="A69" s="4"/>
      <c r="B69" s="29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29"/>
      <c r="N69" s="29"/>
      <c r="O69" s="29"/>
      <c r="P69" s="32"/>
      <c r="Q69" s="32"/>
      <c r="R69" s="4"/>
      <c r="S69" s="4"/>
      <c r="T69" s="4"/>
      <c r="U69" s="4"/>
      <c r="V69" s="4"/>
      <c r="W69" s="4"/>
      <c r="X69" s="4"/>
    </row>
    <row x14ac:dyDescent="0.25" r="70" customHeight="1" ht="12.75">
      <c r="A70" s="4"/>
      <c r="B70" s="29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29"/>
      <c r="N70" s="29"/>
      <c r="O70" s="29"/>
      <c r="P70" s="32"/>
      <c r="Q70" s="32"/>
      <c r="R70" s="4"/>
      <c r="S70" s="4"/>
      <c r="T70" s="4"/>
      <c r="U70" s="4"/>
      <c r="V70" s="4"/>
      <c r="W70" s="4"/>
      <c r="X70" s="4"/>
    </row>
    <row x14ac:dyDescent="0.25" r="71" customHeight="1" ht="12.75">
      <c r="A71" s="4"/>
      <c r="B71" s="29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29"/>
      <c r="N71" s="29"/>
      <c r="O71" s="29"/>
      <c r="P71" s="32"/>
      <c r="Q71" s="32"/>
      <c r="R71" s="4"/>
      <c r="S71" s="4"/>
      <c r="T71" s="4"/>
      <c r="U71" s="4"/>
      <c r="V71" s="4"/>
      <c r="W71" s="4"/>
      <c r="X71" s="4"/>
    </row>
    <row x14ac:dyDescent="0.25" r="72" customHeight="1" ht="12.75">
      <c r="A72" s="4"/>
      <c r="B72" s="29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29"/>
      <c r="N72" s="29"/>
      <c r="O72" s="29"/>
      <c r="P72" s="32"/>
      <c r="Q72" s="32"/>
      <c r="R72" s="4"/>
      <c r="S72" s="4"/>
      <c r="T72" s="4"/>
      <c r="U72" s="4"/>
      <c r="V72" s="4"/>
      <c r="W72" s="4"/>
      <c r="X72" s="4"/>
    </row>
    <row x14ac:dyDescent="0.25" r="73" customHeight="1" ht="12.75">
      <c r="A73" s="4"/>
      <c r="B73" s="29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29"/>
      <c r="N73" s="29"/>
      <c r="O73" s="29"/>
      <c r="P73" s="32"/>
      <c r="Q73" s="32"/>
      <c r="R73" s="4"/>
      <c r="S73" s="4"/>
      <c r="T73" s="4"/>
      <c r="U73" s="4"/>
      <c r="V73" s="4"/>
      <c r="W73" s="4"/>
      <c r="X73" s="4"/>
    </row>
    <row x14ac:dyDescent="0.25" r="74" customHeight="1" ht="12.75">
      <c r="A74" s="4"/>
      <c r="B74" s="29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29"/>
      <c r="N74" s="29"/>
      <c r="O74" s="29"/>
      <c r="P74" s="32"/>
      <c r="Q74" s="32"/>
      <c r="R74" s="4"/>
      <c r="S74" s="4"/>
      <c r="T74" s="4"/>
      <c r="U74" s="4"/>
      <c r="V74" s="4"/>
      <c r="W74" s="4"/>
      <c r="X74" s="4"/>
    </row>
    <row x14ac:dyDescent="0.25" r="75" customHeight="1" ht="12.75">
      <c r="A75" s="4"/>
      <c r="B75" s="29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29"/>
      <c r="N75" s="29"/>
      <c r="O75" s="29"/>
      <c r="P75" s="32"/>
      <c r="Q75" s="32"/>
      <c r="R75" s="4"/>
      <c r="S75" s="4"/>
      <c r="T75" s="4"/>
      <c r="U75" s="4"/>
      <c r="V75" s="4"/>
      <c r="W75" s="4"/>
      <c r="X75" s="4"/>
    </row>
    <row x14ac:dyDescent="0.25" r="76" customHeight="1" ht="12.75">
      <c r="A76" s="4"/>
      <c r="B76" s="29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29"/>
      <c r="N76" s="29"/>
      <c r="O76" s="29"/>
      <c r="P76" s="32"/>
      <c r="Q76" s="32"/>
      <c r="R76" s="4"/>
      <c r="S76" s="4"/>
      <c r="T76" s="4"/>
      <c r="U76" s="4"/>
      <c r="V76" s="4"/>
      <c r="W76" s="4"/>
      <c r="X76" s="4"/>
    </row>
    <row x14ac:dyDescent="0.25" r="77" customHeight="1" ht="12.75">
      <c r="A77" s="4"/>
      <c r="B77" s="29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29"/>
      <c r="N77" s="29"/>
      <c r="O77" s="29"/>
      <c r="P77" s="32"/>
      <c r="Q77" s="32"/>
      <c r="R77" s="4"/>
      <c r="S77" s="4"/>
      <c r="T77" s="4"/>
      <c r="U77" s="4"/>
      <c r="V77" s="4"/>
      <c r="W77" s="4"/>
      <c r="X77" s="4"/>
    </row>
    <row x14ac:dyDescent="0.25" r="78" customHeight="1" ht="12.75">
      <c r="A78" s="4"/>
      <c r="B78" s="29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29"/>
      <c r="N78" s="29"/>
      <c r="O78" s="29"/>
      <c r="P78" s="32"/>
      <c r="Q78" s="32"/>
      <c r="R78" s="4"/>
      <c r="S78" s="4"/>
      <c r="T78" s="4"/>
      <c r="U78" s="4"/>
      <c r="V78" s="4"/>
      <c r="W78" s="4"/>
      <c r="X78" s="4"/>
    </row>
    <row x14ac:dyDescent="0.25" r="79" customHeight="1" ht="12.75">
      <c r="A79" s="4"/>
      <c r="B79" s="29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29"/>
      <c r="N79" s="29"/>
      <c r="O79" s="29"/>
      <c r="P79" s="32"/>
      <c r="Q79" s="32"/>
      <c r="R79" s="4"/>
      <c r="S79" s="4"/>
      <c r="T79" s="4"/>
      <c r="U79" s="4"/>
      <c r="V79" s="4"/>
      <c r="W79" s="4"/>
      <c r="X79" s="4"/>
    </row>
    <row x14ac:dyDescent="0.25" r="80" customHeight="1" ht="12.75">
      <c r="A80" s="4"/>
      <c r="B80" s="29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29"/>
      <c r="N80" s="29"/>
      <c r="O80" s="29"/>
      <c r="P80" s="32"/>
      <c r="Q80" s="32"/>
      <c r="R80" s="4"/>
      <c r="S80" s="4"/>
      <c r="T80" s="4"/>
      <c r="U80" s="4"/>
      <c r="V80" s="4"/>
      <c r="W80" s="4"/>
      <c r="X80" s="4"/>
    </row>
    <row x14ac:dyDescent="0.25" r="81" customHeight="1" ht="12.75">
      <c r="A81" s="4"/>
      <c r="B81" s="29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29"/>
      <c r="N81" s="29"/>
      <c r="O81" s="29"/>
      <c r="P81" s="32"/>
      <c r="Q81" s="32"/>
      <c r="R81" s="4"/>
      <c r="S81" s="4"/>
      <c r="T81" s="4"/>
      <c r="U81" s="4"/>
      <c r="V81" s="4"/>
      <c r="W81" s="4"/>
      <c r="X81" s="4"/>
    </row>
    <row x14ac:dyDescent="0.25" r="82" customHeight="1" ht="12.75">
      <c r="A82" s="4"/>
      <c r="B82" s="29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29"/>
      <c r="N82" s="29"/>
      <c r="O82" s="29"/>
      <c r="P82" s="32"/>
      <c r="Q82" s="32"/>
      <c r="R82" s="4"/>
      <c r="S82" s="4"/>
      <c r="T82" s="4"/>
      <c r="U82" s="4"/>
      <c r="V82" s="4"/>
      <c r="W82" s="4"/>
      <c r="X82" s="4"/>
    </row>
    <row x14ac:dyDescent="0.25" r="83" customHeight="1" ht="12.75">
      <c r="A83" s="4"/>
      <c r="B83" s="29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29"/>
      <c r="N83" s="29"/>
      <c r="O83" s="29"/>
      <c r="P83" s="32"/>
      <c r="Q83" s="32"/>
      <c r="R83" s="4"/>
      <c r="S83" s="4"/>
      <c r="T83" s="4"/>
      <c r="U83" s="4"/>
      <c r="V83" s="4"/>
      <c r="W83" s="4"/>
      <c r="X83" s="4"/>
    </row>
    <row x14ac:dyDescent="0.25" r="84" customHeight="1" ht="12.75">
      <c r="A84" s="4"/>
      <c r="B84" s="29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29"/>
      <c r="N84" s="29"/>
      <c r="O84" s="29"/>
      <c r="P84" s="32"/>
      <c r="Q84" s="32"/>
      <c r="R84" s="4"/>
      <c r="S84" s="4"/>
      <c r="T84" s="4"/>
      <c r="U84" s="4"/>
      <c r="V84" s="4"/>
      <c r="W84" s="4"/>
      <c r="X84" s="4"/>
    </row>
    <row x14ac:dyDescent="0.25" r="85" customHeight="1" ht="12.75">
      <c r="A85" s="4"/>
      <c r="B85" s="29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29"/>
      <c r="N85" s="29"/>
      <c r="O85" s="29"/>
      <c r="P85" s="32"/>
      <c r="Q85" s="32"/>
      <c r="R85" s="4"/>
      <c r="S85" s="4"/>
      <c r="T85" s="4"/>
      <c r="U85" s="4"/>
      <c r="V85" s="4"/>
      <c r="W85" s="4"/>
      <c r="X85" s="4"/>
    </row>
    <row x14ac:dyDescent="0.25" r="86" customHeight="1" ht="12.75">
      <c r="A86" s="4"/>
      <c r="B86" s="29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29"/>
      <c r="N86" s="29"/>
      <c r="O86" s="29"/>
      <c r="P86" s="32"/>
      <c r="Q86" s="32"/>
      <c r="R86" s="4"/>
      <c r="S86" s="4"/>
      <c r="T86" s="4"/>
      <c r="U86" s="4"/>
      <c r="V86" s="4"/>
      <c r="W86" s="4"/>
      <c r="X86" s="4"/>
    </row>
    <row x14ac:dyDescent="0.25" r="87" customHeight="1" ht="12.75">
      <c r="A87" s="4"/>
      <c r="B87" s="29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29"/>
      <c r="N87" s="29"/>
      <c r="O87" s="29"/>
      <c r="P87" s="32"/>
      <c r="Q87" s="32"/>
      <c r="R87" s="4"/>
      <c r="S87" s="4"/>
      <c r="T87" s="4"/>
      <c r="U87" s="4"/>
      <c r="V87" s="4"/>
      <c r="W87" s="4"/>
      <c r="X87" s="4"/>
    </row>
    <row x14ac:dyDescent="0.25" r="88" customHeight="1" ht="12.75">
      <c r="A88" s="4"/>
      <c r="B88" s="29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29"/>
      <c r="N88" s="29"/>
      <c r="O88" s="29"/>
      <c r="P88" s="32"/>
      <c r="Q88" s="32"/>
      <c r="R88" s="4"/>
      <c r="S88" s="4"/>
      <c r="T88" s="4"/>
      <c r="U88" s="4"/>
      <c r="V88" s="4"/>
      <c r="W88" s="4"/>
      <c r="X88" s="4"/>
    </row>
    <row x14ac:dyDescent="0.25" r="89" customHeight="1" ht="12.75">
      <c r="A89" s="4"/>
      <c r="B89" s="29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29"/>
      <c r="N89" s="29"/>
      <c r="O89" s="29"/>
      <c r="P89" s="32"/>
      <c r="Q89" s="32"/>
      <c r="R89" s="4"/>
      <c r="S89" s="4"/>
      <c r="T89" s="4"/>
      <c r="U89" s="4"/>
      <c r="V89" s="4"/>
      <c r="W89" s="4"/>
      <c r="X89" s="4"/>
    </row>
    <row x14ac:dyDescent="0.25" r="90" customHeight="1" ht="12.75">
      <c r="A90" s="4"/>
      <c r="B90" s="29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29"/>
      <c r="N90" s="29"/>
      <c r="O90" s="29"/>
      <c r="P90" s="32"/>
      <c r="Q90" s="32"/>
      <c r="R90" s="4"/>
      <c r="S90" s="4"/>
      <c r="T90" s="4"/>
      <c r="U90" s="4"/>
      <c r="V90" s="4"/>
      <c r="W90" s="4"/>
      <c r="X90" s="4"/>
    </row>
    <row x14ac:dyDescent="0.25" r="91" customHeight="1" ht="12.75">
      <c r="A91" s="4"/>
      <c r="B91" s="29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29"/>
      <c r="N91" s="29"/>
      <c r="O91" s="29"/>
      <c r="P91" s="32"/>
      <c r="Q91" s="32"/>
      <c r="R91" s="4"/>
      <c r="S91" s="4"/>
      <c r="T91" s="4"/>
      <c r="U91" s="4"/>
      <c r="V91" s="4"/>
      <c r="W91" s="4"/>
      <c r="X91" s="4"/>
    </row>
    <row x14ac:dyDescent="0.25" r="92" customHeight="1" ht="12.75">
      <c r="A92" s="4"/>
      <c r="B92" s="29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29"/>
      <c r="N92" s="29"/>
      <c r="O92" s="29"/>
      <c r="P92" s="32"/>
      <c r="Q92" s="32"/>
      <c r="R92" s="4"/>
      <c r="S92" s="4"/>
      <c r="T92" s="4"/>
      <c r="U92" s="4"/>
      <c r="V92" s="4"/>
      <c r="W92" s="4"/>
      <c r="X92" s="4"/>
    </row>
    <row x14ac:dyDescent="0.25" r="93" customHeight="1" ht="12.75">
      <c r="A93" s="4"/>
      <c r="B93" s="29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29"/>
      <c r="N93" s="29"/>
      <c r="O93" s="29"/>
      <c r="P93" s="32"/>
      <c r="Q93" s="32"/>
      <c r="R93" s="4"/>
      <c r="S93" s="4"/>
      <c r="T93" s="4"/>
      <c r="U93" s="4"/>
      <c r="V93" s="4"/>
      <c r="W93" s="4"/>
      <c r="X93" s="4"/>
    </row>
    <row x14ac:dyDescent="0.25" r="94" customHeight="1" ht="12.75">
      <c r="A94" s="4"/>
      <c r="B94" s="29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29"/>
      <c r="N94" s="29"/>
      <c r="O94" s="29"/>
      <c r="P94" s="32"/>
      <c r="Q94" s="32"/>
      <c r="R94" s="4"/>
      <c r="S94" s="4"/>
      <c r="T94" s="4"/>
      <c r="U94" s="4"/>
      <c r="V94" s="4"/>
      <c r="W94" s="4"/>
      <c r="X94" s="4"/>
    </row>
    <row x14ac:dyDescent="0.25" r="95" customHeight="1" ht="12.75">
      <c r="A95" s="4"/>
      <c r="B95" s="29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29"/>
      <c r="N95" s="29"/>
      <c r="O95" s="29"/>
      <c r="P95" s="32"/>
      <c r="Q95" s="32"/>
      <c r="R95" s="4"/>
      <c r="S95" s="4"/>
      <c r="T95" s="4"/>
      <c r="U95" s="4"/>
      <c r="V95" s="4"/>
      <c r="W95" s="4"/>
      <c r="X95" s="4"/>
    </row>
    <row x14ac:dyDescent="0.25" r="96" customHeight="1" ht="12.75">
      <c r="A96" s="4"/>
      <c r="B96" s="29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29"/>
      <c r="N96" s="29"/>
      <c r="O96" s="29"/>
      <c r="P96" s="32"/>
      <c r="Q96" s="32"/>
      <c r="R96" s="4"/>
      <c r="S96" s="4"/>
      <c r="T96" s="4"/>
      <c r="U96" s="4"/>
      <c r="V96" s="4"/>
      <c r="W96" s="4"/>
      <c r="X96" s="4"/>
    </row>
    <row x14ac:dyDescent="0.25" r="97" customHeight="1" ht="12.75">
      <c r="A97" s="4"/>
      <c r="B97" s="29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29"/>
      <c r="N97" s="29"/>
      <c r="O97" s="29"/>
      <c r="P97" s="32"/>
      <c r="Q97" s="32"/>
      <c r="R97" s="4"/>
      <c r="S97" s="4"/>
      <c r="T97" s="4"/>
      <c r="U97" s="4"/>
      <c r="V97" s="4"/>
      <c r="W97" s="4"/>
      <c r="X97" s="4"/>
    </row>
    <row x14ac:dyDescent="0.25" r="98" customHeight="1" ht="12.75">
      <c r="A98" s="4"/>
      <c r="B98" s="29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29"/>
      <c r="N98" s="29"/>
      <c r="O98" s="29"/>
      <c r="P98" s="32"/>
      <c r="Q98" s="32"/>
      <c r="R98" s="4"/>
      <c r="S98" s="4"/>
      <c r="T98" s="4"/>
      <c r="U98" s="4"/>
      <c r="V98" s="4"/>
      <c r="W98" s="4"/>
      <c r="X98" s="4"/>
    </row>
    <row x14ac:dyDescent="0.25" r="99" customHeight="1" ht="12.75">
      <c r="A99" s="4"/>
      <c r="B99" s="29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29"/>
      <c r="N99" s="29"/>
      <c r="O99" s="29"/>
      <c r="P99" s="32"/>
      <c r="Q99" s="32"/>
      <c r="R99" s="4"/>
      <c r="S99" s="4"/>
      <c r="T99" s="4"/>
      <c r="U99" s="4"/>
      <c r="V99" s="4"/>
      <c r="W99" s="4"/>
      <c r="X99" s="4"/>
    </row>
    <row x14ac:dyDescent="0.25" r="100" customHeight="1" ht="12.75">
      <c r="A100" s="4"/>
      <c r="B100" s="29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29"/>
      <c r="N100" s="29"/>
      <c r="O100" s="29"/>
      <c r="P100" s="32"/>
      <c r="Q100" s="32"/>
      <c r="R100" s="4"/>
      <c r="S100" s="4"/>
      <c r="T100" s="4"/>
      <c r="U100" s="4"/>
      <c r="V100" s="4"/>
      <c r="W100" s="4"/>
      <c r="X100" s="4"/>
    </row>
    <row x14ac:dyDescent="0.25" r="101" customHeight="1" ht="12.75">
      <c r="A101" s="4"/>
      <c r="B101" s="29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29"/>
      <c r="N101" s="29"/>
      <c r="O101" s="29"/>
      <c r="P101" s="32"/>
      <c r="Q101" s="32"/>
      <c r="R101" s="4"/>
      <c r="S101" s="4"/>
      <c r="T101" s="4"/>
      <c r="U101" s="4"/>
      <c r="V101" s="4"/>
      <c r="W101" s="4"/>
      <c r="X101" s="4"/>
    </row>
    <row x14ac:dyDescent="0.25" r="102" customHeight="1" ht="12.75">
      <c r="A102" s="4"/>
      <c r="B102" s="29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29"/>
      <c r="N102" s="29"/>
      <c r="O102" s="29"/>
      <c r="P102" s="32"/>
      <c r="Q102" s="32"/>
      <c r="R102" s="4"/>
      <c r="S102" s="4"/>
      <c r="T102" s="4"/>
      <c r="U102" s="4"/>
      <c r="V102" s="4"/>
      <c r="W102" s="4"/>
      <c r="X102" s="4"/>
    </row>
    <row x14ac:dyDescent="0.25" r="103" customHeight="1" ht="12.75">
      <c r="A103" s="4"/>
      <c r="B103" s="29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29"/>
      <c r="N103" s="29"/>
      <c r="O103" s="29"/>
      <c r="P103" s="32"/>
      <c r="Q103" s="32"/>
      <c r="R103" s="4"/>
      <c r="S103" s="4"/>
      <c r="T103" s="4"/>
      <c r="U103" s="4"/>
      <c r="V103" s="4"/>
      <c r="W103" s="4"/>
      <c r="X103" s="4"/>
    </row>
    <row x14ac:dyDescent="0.25" r="104" customHeight="1" ht="12.75">
      <c r="A104" s="4"/>
      <c r="B104" s="29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29"/>
      <c r="N104" s="29"/>
      <c r="O104" s="29"/>
      <c r="P104" s="32"/>
      <c r="Q104" s="32"/>
      <c r="R104" s="4"/>
      <c r="S104" s="4"/>
      <c r="T104" s="4"/>
      <c r="U104" s="4"/>
      <c r="V104" s="4"/>
      <c r="W104" s="4"/>
      <c r="X104" s="4"/>
    </row>
    <row x14ac:dyDescent="0.25" r="105" customHeight="1" ht="12.75">
      <c r="A105" s="4"/>
      <c r="B105" s="29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29"/>
      <c r="N105" s="29"/>
      <c r="O105" s="29"/>
      <c r="P105" s="32"/>
      <c r="Q105" s="32"/>
      <c r="R105" s="4"/>
      <c r="S105" s="4"/>
      <c r="T105" s="4"/>
      <c r="U105" s="4"/>
      <c r="V105" s="4"/>
      <c r="W105" s="4"/>
      <c r="X105" s="4"/>
    </row>
    <row x14ac:dyDescent="0.25" r="106" customHeight="1" ht="12.75">
      <c r="A106" s="4"/>
      <c r="B106" s="29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29"/>
      <c r="N106" s="29"/>
      <c r="O106" s="29"/>
      <c r="P106" s="32"/>
      <c r="Q106" s="32"/>
      <c r="R106" s="4"/>
      <c r="S106" s="4"/>
      <c r="T106" s="4"/>
      <c r="U106" s="4"/>
      <c r="V106" s="4"/>
      <c r="W106" s="4"/>
      <c r="X106" s="4"/>
    </row>
    <row x14ac:dyDescent="0.25" r="107" customHeight="1" ht="12.75">
      <c r="A107" s="4"/>
      <c r="B107" s="29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29"/>
      <c r="N107" s="29"/>
      <c r="O107" s="29"/>
      <c r="P107" s="32"/>
      <c r="Q107" s="32"/>
      <c r="R107" s="4"/>
      <c r="S107" s="4"/>
      <c r="T107" s="4"/>
      <c r="U107" s="4"/>
      <c r="V107" s="4"/>
      <c r="W107" s="4"/>
      <c r="X107" s="4"/>
    </row>
    <row x14ac:dyDescent="0.25" r="108" customHeight="1" ht="12.75">
      <c r="A108" s="4"/>
      <c r="B108" s="29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29"/>
      <c r="N108" s="29"/>
      <c r="O108" s="29"/>
      <c r="P108" s="32"/>
      <c r="Q108" s="32"/>
      <c r="R108" s="4"/>
      <c r="S108" s="4"/>
      <c r="T108" s="4"/>
      <c r="U108" s="4"/>
      <c r="V108" s="4"/>
      <c r="W108" s="4"/>
      <c r="X108" s="4"/>
    </row>
    <row x14ac:dyDescent="0.25" r="109" customHeight="1" ht="12.75">
      <c r="A109" s="4"/>
      <c r="B109" s="29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29"/>
      <c r="N109" s="29"/>
      <c r="O109" s="29"/>
      <c r="P109" s="32"/>
      <c r="Q109" s="32"/>
      <c r="R109" s="4"/>
      <c r="S109" s="4"/>
      <c r="T109" s="4"/>
      <c r="U109" s="4"/>
      <c r="V109" s="4"/>
      <c r="W109" s="4"/>
      <c r="X109" s="4"/>
    </row>
    <row x14ac:dyDescent="0.25" r="110" customHeight="1" ht="12.75">
      <c r="A110" s="4"/>
      <c r="B110" s="29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29"/>
      <c r="N110" s="29"/>
      <c r="O110" s="29"/>
      <c r="P110" s="32"/>
      <c r="Q110" s="32"/>
      <c r="R110" s="4"/>
      <c r="S110" s="4"/>
      <c r="T110" s="4"/>
      <c r="U110" s="4"/>
      <c r="V110" s="4"/>
      <c r="W110" s="4"/>
      <c r="X110" s="4"/>
    </row>
    <row x14ac:dyDescent="0.25" r="111" customHeight="1" ht="12.75">
      <c r="A111" s="4"/>
      <c r="B111" s="29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29"/>
      <c r="N111" s="29"/>
      <c r="O111" s="29"/>
      <c r="P111" s="32"/>
      <c r="Q111" s="32"/>
      <c r="R111" s="4"/>
      <c r="S111" s="4"/>
      <c r="T111" s="4"/>
      <c r="U111" s="4"/>
      <c r="V111" s="4"/>
      <c r="W111" s="4"/>
      <c r="X111" s="4"/>
    </row>
    <row x14ac:dyDescent="0.25" r="112" customHeight="1" ht="12.75">
      <c r="A112" s="4"/>
      <c r="B112" s="29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29"/>
      <c r="N112" s="29"/>
      <c r="O112" s="29"/>
      <c r="P112" s="32"/>
      <c r="Q112" s="32"/>
      <c r="R112" s="4"/>
      <c r="S112" s="4"/>
      <c r="T112" s="4"/>
      <c r="U112" s="4"/>
      <c r="V112" s="4"/>
      <c r="W112" s="4"/>
      <c r="X112" s="4"/>
    </row>
    <row x14ac:dyDescent="0.25" r="113" customHeight="1" ht="12.75">
      <c r="A113" s="4"/>
      <c r="B113" s="29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29"/>
      <c r="N113" s="29"/>
      <c r="O113" s="29"/>
      <c r="P113" s="32"/>
      <c r="Q113" s="32"/>
      <c r="R113" s="4"/>
      <c r="S113" s="4"/>
      <c r="T113" s="4"/>
      <c r="U113" s="4"/>
      <c r="V113" s="4"/>
      <c r="W113" s="4"/>
      <c r="X113" s="4"/>
    </row>
    <row x14ac:dyDescent="0.25" r="114" customHeight="1" ht="12.75">
      <c r="A114" s="4"/>
      <c r="B114" s="29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29"/>
      <c r="N114" s="29"/>
      <c r="O114" s="29"/>
      <c r="P114" s="32"/>
      <c r="Q114" s="32"/>
      <c r="R114" s="4"/>
      <c r="S114" s="4"/>
      <c r="T114" s="4"/>
      <c r="U114" s="4"/>
      <c r="V114" s="4"/>
      <c r="W114" s="4"/>
      <c r="X114" s="4"/>
    </row>
    <row x14ac:dyDescent="0.25" r="115" customHeight="1" ht="12.75">
      <c r="A115" s="4"/>
      <c r="B115" s="29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29"/>
      <c r="N115" s="29"/>
      <c r="O115" s="29"/>
      <c r="P115" s="32"/>
      <c r="Q115" s="32"/>
      <c r="R115" s="4"/>
      <c r="S115" s="4"/>
      <c r="T115" s="4"/>
      <c r="U115" s="4"/>
      <c r="V115" s="4"/>
      <c r="W115" s="4"/>
      <c r="X115" s="4"/>
    </row>
    <row x14ac:dyDescent="0.25" r="116" customHeight="1" ht="12.75">
      <c r="A116" s="4"/>
      <c r="B116" s="29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29"/>
      <c r="N116" s="29"/>
      <c r="O116" s="29"/>
      <c r="P116" s="32"/>
      <c r="Q116" s="32"/>
      <c r="R116" s="4"/>
      <c r="S116" s="4"/>
      <c r="T116" s="4"/>
      <c r="U116" s="4"/>
      <c r="V116" s="4"/>
      <c r="W116" s="4"/>
      <c r="X116" s="4"/>
    </row>
    <row x14ac:dyDescent="0.25" r="117" customHeight="1" ht="12.75">
      <c r="A117" s="4"/>
      <c r="B117" s="29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29"/>
      <c r="N117" s="29"/>
      <c r="O117" s="29"/>
      <c r="P117" s="32"/>
      <c r="Q117" s="32"/>
      <c r="R117" s="4"/>
      <c r="S117" s="4"/>
      <c r="T117" s="4"/>
      <c r="U117" s="4"/>
      <c r="V117" s="4"/>
      <c r="W117" s="4"/>
      <c r="X117" s="4"/>
    </row>
    <row x14ac:dyDescent="0.25" r="118" customHeight="1" ht="12.75">
      <c r="A118" s="4"/>
      <c r="B118" s="29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29"/>
      <c r="N118" s="29"/>
      <c r="O118" s="29"/>
      <c r="P118" s="32"/>
      <c r="Q118" s="32"/>
      <c r="R118" s="4"/>
      <c r="S118" s="4"/>
      <c r="T118" s="4"/>
      <c r="U118" s="4"/>
      <c r="V118" s="4"/>
      <c r="W118" s="4"/>
      <c r="X118" s="4"/>
    </row>
    <row x14ac:dyDescent="0.25" r="119" customHeight="1" ht="12.75">
      <c r="A119" s="4"/>
      <c r="B119" s="29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29"/>
      <c r="N119" s="29"/>
      <c r="O119" s="29"/>
      <c r="P119" s="32"/>
      <c r="Q119" s="32"/>
      <c r="R119" s="4"/>
      <c r="S119" s="4"/>
      <c r="T119" s="4"/>
      <c r="U119" s="4"/>
      <c r="V119" s="4"/>
      <c r="W119" s="4"/>
      <c r="X119" s="4"/>
    </row>
    <row x14ac:dyDescent="0.25" r="120" customHeight="1" ht="12.75">
      <c r="A120" s="4"/>
      <c r="B120" s="29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29"/>
      <c r="N120" s="29"/>
      <c r="O120" s="29"/>
      <c r="P120" s="32"/>
      <c r="Q120" s="32"/>
      <c r="R120" s="4"/>
      <c r="S120" s="4"/>
      <c r="T120" s="4"/>
      <c r="U120" s="4"/>
      <c r="V120" s="4"/>
      <c r="W120" s="4"/>
      <c r="X120" s="4"/>
    </row>
    <row x14ac:dyDescent="0.25" r="121" customHeight="1" ht="12.75">
      <c r="A121" s="4"/>
      <c r="B121" s="29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29"/>
      <c r="N121" s="29"/>
      <c r="O121" s="29"/>
      <c r="P121" s="32"/>
      <c r="Q121" s="32"/>
      <c r="R121" s="4"/>
      <c r="S121" s="4"/>
      <c r="T121" s="4"/>
      <c r="U121" s="4"/>
      <c r="V121" s="4"/>
      <c r="W121" s="4"/>
      <c r="X121" s="4"/>
    </row>
    <row x14ac:dyDescent="0.25" r="122" customHeight="1" ht="12.75">
      <c r="A122" s="4"/>
      <c r="B122" s="29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29"/>
      <c r="N122" s="29"/>
      <c r="O122" s="29"/>
      <c r="P122" s="32"/>
      <c r="Q122" s="32"/>
      <c r="R122" s="4"/>
      <c r="S122" s="4"/>
      <c r="T122" s="4"/>
      <c r="U122" s="4"/>
      <c r="V122" s="4"/>
      <c r="W122" s="4"/>
      <c r="X122" s="4"/>
    </row>
    <row x14ac:dyDescent="0.25" r="123" customHeight="1" ht="12.75">
      <c r="A123" s="4"/>
      <c r="B123" s="29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29"/>
      <c r="N123" s="29"/>
      <c r="O123" s="29"/>
      <c r="P123" s="32"/>
      <c r="Q123" s="32"/>
      <c r="R123" s="4"/>
      <c r="S123" s="4"/>
      <c r="T123" s="4"/>
      <c r="U123" s="4"/>
      <c r="V123" s="4"/>
      <c r="W123" s="4"/>
      <c r="X123" s="4"/>
    </row>
    <row x14ac:dyDescent="0.25" r="124" customHeight="1" ht="12.75">
      <c r="A124" s="4"/>
      <c r="B124" s="29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29"/>
      <c r="N124" s="29"/>
      <c r="O124" s="29"/>
      <c r="P124" s="32"/>
      <c r="Q124" s="32"/>
      <c r="R124" s="4"/>
      <c r="S124" s="4"/>
      <c r="T124" s="4"/>
      <c r="U124" s="4"/>
      <c r="V124" s="4"/>
      <c r="W124" s="4"/>
      <c r="X124" s="4"/>
    </row>
    <row x14ac:dyDescent="0.25" r="125" customHeight="1" ht="12.75">
      <c r="A125" s="4"/>
      <c r="B125" s="29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29"/>
      <c r="N125" s="29"/>
      <c r="O125" s="29"/>
      <c r="P125" s="32"/>
      <c r="Q125" s="32"/>
      <c r="R125" s="4"/>
      <c r="S125" s="4"/>
      <c r="T125" s="4"/>
      <c r="U125" s="4"/>
      <c r="V125" s="4"/>
      <c r="W125" s="4"/>
      <c r="X125" s="4"/>
    </row>
    <row x14ac:dyDescent="0.25" r="126" customHeight="1" ht="12.75">
      <c r="A126" s="4"/>
      <c r="B126" s="29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29"/>
      <c r="N126" s="29"/>
      <c r="O126" s="29"/>
      <c r="P126" s="32"/>
      <c r="Q126" s="32"/>
      <c r="R126" s="4"/>
      <c r="S126" s="4"/>
      <c r="T126" s="4"/>
      <c r="U126" s="4"/>
      <c r="V126" s="4"/>
      <c r="W126" s="4"/>
      <c r="X126" s="4"/>
    </row>
    <row x14ac:dyDescent="0.25" r="127" customHeight="1" ht="12.75">
      <c r="A127" s="4"/>
      <c r="B127" s="29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29"/>
      <c r="N127" s="29"/>
      <c r="O127" s="29"/>
      <c r="P127" s="32"/>
      <c r="Q127" s="32"/>
      <c r="R127" s="4"/>
      <c r="S127" s="4"/>
      <c r="T127" s="4"/>
      <c r="U127" s="4"/>
      <c r="V127" s="4"/>
      <c r="W127" s="4"/>
      <c r="X127" s="4"/>
    </row>
    <row x14ac:dyDescent="0.25" r="128" customHeight="1" ht="12.75">
      <c r="A128" s="4"/>
      <c r="B128" s="29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29"/>
      <c r="N128" s="29"/>
      <c r="O128" s="29"/>
      <c r="P128" s="32"/>
      <c r="Q128" s="32"/>
      <c r="R128" s="4"/>
      <c r="S128" s="4"/>
      <c r="T128" s="4"/>
      <c r="U128" s="4"/>
      <c r="V128" s="4"/>
      <c r="W128" s="4"/>
      <c r="X128" s="4"/>
    </row>
    <row x14ac:dyDescent="0.25" r="129" customHeight="1" ht="12.75">
      <c r="A129" s="4"/>
      <c r="B129" s="29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29"/>
      <c r="N129" s="29"/>
      <c r="O129" s="29"/>
      <c r="P129" s="32"/>
      <c r="Q129" s="32"/>
      <c r="R129" s="4"/>
      <c r="S129" s="4"/>
      <c r="T129" s="4"/>
      <c r="U129" s="4"/>
      <c r="V129" s="4"/>
      <c r="W129" s="4"/>
      <c r="X129" s="4"/>
    </row>
    <row x14ac:dyDescent="0.25" r="130" customHeight="1" ht="12.75">
      <c r="A130" s="4"/>
      <c r="B130" s="29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29"/>
      <c r="N130" s="29"/>
      <c r="O130" s="29"/>
      <c r="P130" s="32"/>
      <c r="Q130" s="32"/>
      <c r="R130" s="4"/>
      <c r="S130" s="4"/>
      <c r="T130" s="4"/>
      <c r="U130" s="4"/>
      <c r="V130" s="4"/>
      <c r="W130" s="4"/>
      <c r="X130" s="4"/>
    </row>
    <row x14ac:dyDescent="0.25" r="131" customHeight="1" ht="12.75">
      <c r="A131" s="4"/>
      <c r="B131" s="29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29"/>
      <c r="N131" s="29"/>
      <c r="O131" s="29"/>
      <c r="P131" s="32"/>
      <c r="Q131" s="32"/>
      <c r="R131" s="4"/>
      <c r="S131" s="4"/>
      <c r="T131" s="4"/>
      <c r="U131" s="4"/>
      <c r="V131" s="4"/>
      <c r="W131" s="4"/>
      <c r="X131" s="4"/>
    </row>
    <row x14ac:dyDescent="0.25" r="132" customHeight="1" ht="12.75">
      <c r="A132" s="4"/>
      <c r="B132" s="29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29"/>
      <c r="N132" s="29"/>
      <c r="O132" s="29"/>
      <c r="P132" s="32"/>
      <c r="Q132" s="32"/>
      <c r="R132" s="4"/>
      <c r="S132" s="4"/>
      <c r="T132" s="4"/>
      <c r="U132" s="4"/>
      <c r="V132" s="4"/>
      <c r="W132" s="4"/>
      <c r="X132" s="4"/>
    </row>
    <row x14ac:dyDescent="0.25" r="133" customHeight="1" ht="12.75">
      <c r="A133" s="4"/>
      <c r="B133" s="29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29"/>
      <c r="N133" s="29"/>
      <c r="O133" s="29"/>
      <c r="P133" s="32"/>
      <c r="Q133" s="32"/>
      <c r="R133" s="4"/>
      <c r="S133" s="4"/>
      <c r="T133" s="4"/>
      <c r="U133" s="4"/>
      <c r="V133" s="4"/>
      <c r="W133" s="4"/>
      <c r="X133" s="4"/>
    </row>
    <row x14ac:dyDescent="0.25" r="134" customHeight="1" ht="12.75">
      <c r="A134" s="4"/>
      <c r="B134" s="29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29"/>
      <c r="N134" s="29"/>
      <c r="O134" s="29"/>
      <c r="P134" s="32"/>
      <c r="Q134" s="32"/>
      <c r="R134" s="4"/>
      <c r="S134" s="4"/>
      <c r="T134" s="4"/>
      <c r="U134" s="4"/>
      <c r="V134" s="4"/>
      <c r="W134" s="4"/>
      <c r="X134" s="4"/>
    </row>
    <row x14ac:dyDescent="0.25" r="135" customHeight="1" ht="12.75">
      <c r="A135" s="4"/>
      <c r="B135" s="29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29"/>
      <c r="N135" s="29"/>
      <c r="O135" s="29"/>
      <c r="P135" s="32"/>
      <c r="Q135" s="32"/>
      <c r="R135" s="4"/>
      <c r="S135" s="4"/>
      <c r="T135" s="4"/>
      <c r="U135" s="4"/>
      <c r="V135" s="4"/>
      <c r="W135" s="4"/>
      <c r="X135" s="4"/>
    </row>
    <row x14ac:dyDescent="0.25" r="136" customHeight="1" ht="12.75">
      <c r="A136" s="4"/>
      <c r="B136" s="29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29"/>
      <c r="N136" s="29"/>
      <c r="O136" s="29"/>
      <c r="P136" s="32"/>
      <c r="Q136" s="32"/>
      <c r="R136" s="4"/>
      <c r="S136" s="4"/>
      <c r="T136" s="4"/>
      <c r="U136" s="4"/>
      <c r="V136" s="4"/>
      <c r="W136" s="4"/>
      <c r="X136" s="4"/>
    </row>
    <row x14ac:dyDescent="0.25" r="137" customHeight="1" ht="12.75">
      <c r="A137" s="4"/>
      <c r="B137" s="29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29"/>
      <c r="N137" s="29"/>
      <c r="O137" s="29"/>
      <c r="P137" s="32"/>
      <c r="Q137" s="32"/>
      <c r="R137" s="4"/>
      <c r="S137" s="4"/>
      <c r="T137" s="4"/>
      <c r="U137" s="4"/>
      <c r="V137" s="4"/>
      <c r="W137" s="4"/>
      <c r="X137" s="4"/>
    </row>
    <row x14ac:dyDescent="0.25" r="138" customHeight="1" ht="12.75">
      <c r="A138" s="4"/>
      <c r="B138" s="29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29"/>
      <c r="N138" s="29"/>
      <c r="O138" s="29"/>
      <c r="P138" s="32"/>
      <c r="Q138" s="32"/>
      <c r="R138" s="4"/>
      <c r="S138" s="4"/>
      <c r="T138" s="4"/>
      <c r="U138" s="4"/>
      <c r="V138" s="4"/>
      <c r="W138" s="4"/>
      <c r="X138" s="4"/>
    </row>
    <row x14ac:dyDescent="0.25" r="139" customHeight="1" ht="12.75">
      <c r="A139" s="4"/>
      <c r="B139" s="29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29"/>
      <c r="N139" s="29"/>
      <c r="O139" s="29"/>
      <c r="P139" s="32"/>
      <c r="Q139" s="32"/>
      <c r="R139" s="4"/>
      <c r="S139" s="4"/>
      <c r="T139" s="4"/>
      <c r="U139" s="4"/>
      <c r="V139" s="4"/>
      <c r="W139" s="4"/>
      <c r="X139" s="4"/>
    </row>
    <row x14ac:dyDescent="0.25" r="140" customHeight="1" ht="12.75">
      <c r="A140" s="4"/>
      <c r="B140" s="29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29"/>
      <c r="N140" s="29"/>
      <c r="O140" s="29"/>
      <c r="P140" s="32"/>
      <c r="Q140" s="32"/>
      <c r="R140" s="4"/>
      <c r="S140" s="4"/>
      <c r="T140" s="4"/>
      <c r="U140" s="4"/>
      <c r="V140" s="4"/>
      <c r="W140" s="4"/>
      <c r="X140" s="4"/>
    </row>
    <row x14ac:dyDescent="0.25" r="141" customHeight="1" ht="12.75">
      <c r="A141" s="4"/>
      <c r="B141" s="29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29"/>
      <c r="N141" s="29"/>
      <c r="O141" s="29"/>
      <c r="P141" s="32"/>
      <c r="Q141" s="32"/>
      <c r="R141" s="4"/>
      <c r="S141" s="4"/>
      <c r="T141" s="4"/>
      <c r="U141" s="4"/>
      <c r="V141" s="4"/>
      <c r="W141" s="4"/>
      <c r="X141" s="4"/>
    </row>
    <row x14ac:dyDescent="0.25" r="142" customHeight="1" ht="12.75">
      <c r="A142" s="4"/>
      <c r="B142" s="29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29"/>
      <c r="N142" s="29"/>
      <c r="O142" s="29"/>
      <c r="P142" s="32"/>
      <c r="Q142" s="32"/>
      <c r="R142" s="4"/>
      <c r="S142" s="4"/>
      <c r="T142" s="4"/>
      <c r="U142" s="4"/>
      <c r="V142" s="4"/>
      <c r="W142" s="4"/>
      <c r="X142" s="4"/>
    </row>
    <row x14ac:dyDescent="0.25" r="143" customHeight="1" ht="12.75">
      <c r="A143" s="4"/>
      <c r="B143" s="29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29"/>
      <c r="N143" s="29"/>
      <c r="O143" s="29"/>
      <c r="P143" s="32"/>
      <c r="Q143" s="32"/>
      <c r="R143" s="4"/>
      <c r="S143" s="4"/>
      <c r="T143" s="4"/>
      <c r="U143" s="4"/>
      <c r="V143" s="4"/>
      <c r="W143" s="4"/>
      <c r="X143" s="4"/>
    </row>
    <row x14ac:dyDescent="0.25" r="144" customHeight="1" ht="12.75">
      <c r="A144" s="4"/>
      <c r="B144" s="29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29"/>
      <c r="N144" s="29"/>
      <c r="O144" s="29"/>
      <c r="P144" s="32"/>
      <c r="Q144" s="32"/>
      <c r="R144" s="4"/>
      <c r="S144" s="4"/>
      <c r="T144" s="4"/>
      <c r="U144" s="4"/>
      <c r="V144" s="4"/>
      <c r="W144" s="4"/>
      <c r="X144" s="4"/>
    </row>
    <row x14ac:dyDescent="0.25" r="145" customHeight="1" ht="12.75">
      <c r="A145" s="4"/>
      <c r="B145" s="29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29"/>
      <c r="N145" s="29"/>
      <c r="O145" s="29"/>
      <c r="P145" s="32"/>
      <c r="Q145" s="32"/>
      <c r="R145" s="4"/>
      <c r="S145" s="4"/>
      <c r="T145" s="4"/>
      <c r="U145" s="4"/>
      <c r="V145" s="4"/>
      <c r="W145" s="4"/>
      <c r="X145" s="4"/>
    </row>
    <row x14ac:dyDescent="0.25" r="146" customHeight="1" ht="12.75">
      <c r="A146" s="4"/>
      <c r="B146" s="29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29"/>
      <c r="N146" s="29"/>
      <c r="O146" s="29"/>
      <c r="P146" s="32"/>
      <c r="Q146" s="32"/>
      <c r="R146" s="4"/>
      <c r="S146" s="4"/>
      <c r="T146" s="4"/>
      <c r="U146" s="4"/>
      <c r="V146" s="4"/>
      <c r="W146" s="4"/>
      <c r="X146" s="4"/>
    </row>
    <row x14ac:dyDescent="0.25" r="147" customHeight="1" ht="12.75">
      <c r="A147" s="4"/>
      <c r="B147" s="29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29"/>
      <c r="N147" s="29"/>
      <c r="O147" s="29"/>
      <c r="P147" s="32"/>
      <c r="Q147" s="32"/>
      <c r="R147" s="4"/>
      <c r="S147" s="4"/>
      <c r="T147" s="4"/>
      <c r="U147" s="4"/>
      <c r="V147" s="4"/>
      <c r="W147" s="4"/>
      <c r="X147" s="4"/>
    </row>
    <row x14ac:dyDescent="0.25" r="148" customHeight="1" ht="12.75">
      <c r="A148" s="4"/>
      <c r="B148" s="29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29"/>
      <c r="N148" s="29"/>
      <c r="O148" s="29"/>
      <c r="P148" s="32"/>
      <c r="Q148" s="32"/>
      <c r="R148" s="4"/>
      <c r="S148" s="4"/>
      <c r="T148" s="4"/>
      <c r="U148" s="4"/>
      <c r="V148" s="4"/>
      <c r="W148" s="4"/>
      <c r="X148" s="4"/>
    </row>
    <row x14ac:dyDescent="0.25" r="149" customHeight="1" ht="12.75">
      <c r="A149" s="4"/>
      <c r="B149" s="29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29"/>
      <c r="N149" s="29"/>
      <c r="O149" s="29"/>
      <c r="P149" s="32"/>
      <c r="Q149" s="32"/>
      <c r="R149" s="4"/>
      <c r="S149" s="4"/>
      <c r="T149" s="4"/>
      <c r="U149" s="4"/>
      <c r="V149" s="4"/>
      <c r="W149" s="4"/>
      <c r="X149" s="4"/>
    </row>
    <row x14ac:dyDescent="0.25" r="150" customHeight="1" ht="12.75">
      <c r="A150" s="4"/>
      <c r="B150" s="29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29"/>
      <c r="N150" s="29"/>
      <c r="O150" s="29"/>
      <c r="P150" s="32"/>
      <c r="Q150" s="32"/>
      <c r="R150" s="4"/>
      <c r="S150" s="4"/>
      <c r="T150" s="4"/>
      <c r="U150" s="4"/>
      <c r="V150" s="4"/>
      <c r="W150" s="4"/>
      <c r="X150" s="4"/>
    </row>
    <row x14ac:dyDescent="0.25" r="151" customHeight="1" ht="12.75">
      <c r="A151" s="4"/>
      <c r="B151" s="29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29"/>
      <c r="N151" s="29"/>
      <c r="O151" s="29"/>
      <c r="P151" s="32"/>
      <c r="Q151" s="32"/>
      <c r="R151" s="4"/>
      <c r="S151" s="4"/>
      <c r="T151" s="4"/>
      <c r="U151" s="4"/>
      <c r="V151" s="4"/>
      <c r="W151" s="4"/>
      <c r="X151" s="4"/>
    </row>
    <row x14ac:dyDescent="0.25" r="152" customHeight="1" ht="12.75">
      <c r="A152" s="4"/>
      <c r="B152" s="29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29"/>
      <c r="N152" s="29"/>
      <c r="O152" s="29"/>
      <c r="P152" s="32"/>
      <c r="Q152" s="32"/>
      <c r="R152" s="4"/>
      <c r="S152" s="4"/>
      <c r="T152" s="4"/>
      <c r="U152" s="4"/>
      <c r="V152" s="4"/>
      <c r="W152" s="4"/>
      <c r="X152" s="4"/>
    </row>
    <row x14ac:dyDescent="0.25" r="153" customHeight="1" ht="12.75">
      <c r="A153" s="4"/>
      <c r="B153" s="29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29"/>
      <c r="N153" s="29"/>
      <c r="O153" s="29"/>
      <c r="P153" s="32"/>
      <c r="Q153" s="32"/>
      <c r="R153" s="4"/>
      <c r="S153" s="4"/>
      <c r="T153" s="4"/>
      <c r="U153" s="4"/>
      <c r="V153" s="4"/>
      <c r="W153" s="4"/>
      <c r="X153" s="4"/>
    </row>
    <row x14ac:dyDescent="0.25" r="154" customHeight="1" ht="12.75">
      <c r="A154" s="4"/>
      <c r="B154" s="29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29"/>
      <c r="N154" s="29"/>
      <c r="O154" s="29"/>
      <c r="P154" s="32"/>
      <c r="Q154" s="32"/>
      <c r="R154" s="4"/>
      <c r="S154" s="4"/>
      <c r="T154" s="4"/>
      <c r="U154" s="4"/>
      <c r="V154" s="4"/>
      <c r="W154" s="4"/>
      <c r="X154" s="4"/>
    </row>
    <row x14ac:dyDescent="0.25" r="155" customHeight="1" ht="12.75">
      <c r="A155" s="4"/>
      <c r="B155" s="29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29"/>
      <c r="N155" s="29"/>
      <c r="O155" s="29"/>
      <c r="P155" s="32"/>
      <c r="Q155" s="32"/>
      <c r="R155" s="4"/>
      <c r="S155" s="4"/>
      <c r="T155" s="4"/>
      <c r="U155" s="4"/>
      <c r="V155" s="4"/>
      <c r="W155" s="4"/>
      <c r="X155" s="4"/>
    </row>
    <row x14ac:dyDescent="0.25" r="156" customHeight="1" ht="12.75">
      <c r="A156" s="4"/>
      <c r="B156" s="29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29"/>
      <c r="N156" s="29"/>
      <c r="O156" s="29"/>
      <c r="P156" s="32"/>
      <c r="Q156" s="32"/>
      <c r="R156" s="4"/>
      <c r="S156" s="4"/>
      <c r="T156" s="4"/>
      <c r="U156" s="4"/>
      <c r="V156" s="4"/>
      <c r="W156" s="4"/>
      <c r="X156" s="4"/>
    </row>
    <row x14ac:dyDescent="0.25" r="157" customHeight="1" ht="12.75">
      <c r="A157" s="4"/>
      <c r="B157" s="29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29"/>
      <c r="N157" s="29"/>
      <c r="O157" s="29"/>
      <c r="P157" s="32"/>
      <c r="Q157" s="32"/>
      <c r="R157" s="4"/>
      <c r="S157" s="4"/>
      <c r="T157" s="4"/>
      <c r="U157" s="4"/>
      <c r="V157" s="4"/>
      <c r="W157" s="4"/>
      <c r="X157" s="4"/>
    </row>
    <row x14ac:dyDescent="0.25" r="158" customHeight="1" ht="12.75">
      <c r="A158" s="4"/>
      <c r="B158" s="29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29"/>
      <c r="N158" s="29"/>
      <c r="O158" s="29"/>
      <c r="P158" s="32"/>
      <c r="Q158" s="32"/>
      <c r="R158" s="4"/>
      <c r="S158" s="4"/>
      <c r="T158" s="4"/>
      <c r="U158" s="4"/>
      <c r="V158" s="4"/>
      <c r="W158" s="4"/>
      <c r="X158" s="4"/>
    </row>
    <row x14ac:dyDescent="0.25" r="159" customHeight="1" ht="12.75">
      <c r="A159" s="4"/>
      <c r="B159" s="29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29"/>
      <c r="N159" s="29"/>
      <c r="O159" s="29"/>
      <c r="P159" s="32"/>
      <c r="Q159" s="32"/>
      <c r="R159" s="4"/>
      <c r="S159" s="4"/>
      <c r="T159" s="4"/>
      <c r="U159" s="4"/>
      <c r="V159" s="4"/>
      <c r="W159" s="4"/>
      <c r="X159" s="4"/>
    </row>
    <row x14ac:dyDescent="0.25" r="160" customHeight="1" ht="12.75">
      <c r="A160" s="4"/>
      <c r="B160" s="29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29"/>
      <c r="N160" s="29"/>
      <c r="O160" s="29"/>
      <c r="P160" s="32"/>
      <c r="Q160" s="32"/>
      <c r="R160" s="4"/>
      <c r="S160" s="4"/>
      <c r="T160" s="4"/>
      <c r="U160" s="4"/>
      <c r="V160" s="4"/>
      <c r="W160" s="4"/>
      <c r="X160" s="4"/>
    </row>
    <row x14ac:dyDescent="0.25" r="161" customHeight="1" ht="12.75">
      <c r="A161" s="4"/>
      <c r="B161" s="29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29"/>
      <c r="N161" s="29"/>
      <c r="O161" s="29"/>
      <c r="P161" s="32"/>
      <c r="Q161" s="32"/>
      <c r="R161" s="4"/>
      <c r="S161" s="4"/>
      <c r="T161" s="4"/>
      <c r="U161" s="4"/>
      <c r="V161" s="4"/>
      <c r="W161" s="4"/>
      <c r="X161" s="4"/>
    </row>
    <row x14ac:dyDescent="0.25" r="162" customHeight="1" ht="12.75">
      <c r="A162" s="4"/>
      <c r="B162" s="29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29"/>
      <c r="N162" s="29"/>
      <c r="O162" s="29"/>
      <c r="P162" s="32"/>
      <c r="Q162" s="32"/>
      <c r="R162" s="4"/>
      <c r="S162" s="4"/>
      <c r="T162" s="4"/>
      <c r="U162" s="4"/>
      <c r="V162" s="4"/>
      <c r="W162" s="4"/>
      <c r="X162" s="4"/>
    </row>
    <row x14ac:dyDescent="0.25" r="163" customHeight="1" ht="12.75">
      <c r="A163" s="4"/>
      <c r="B163" s="29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29"/>
      <c r="N163" s="29"/>
      <c r="O163" s="29"/>
      <c r="P163" s="32"/>
      <c r="Q163" s="32"/>
      <c r="R163" s="4"/>
      <c r="S163" s="4"/>
      <c r="T163" s="4"/>
      <c r="U163" s="4"/>
      <c r="V163" s="4"/>
      <c r="W163" s="4"/>
      <c r="X163" s="4"/>
    </row>
    <row x14ac:dyDescent="0.25" r="164" customHeight="1" ht="12.75">
      <c r="A164" s="4"/>
      <c r="B164" s="29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29"/>
      <c r="N164" s="29"/>
      <c r="O164" s="29"/>
      <c r="P164" s="32"/>
      <c r="Q164" s="32"/>
      <c r="R164" s="4"/>
      <c r="S164" s="4"/>
      <c r="T164" s="4"/>
      <c r="U164" s="4"/>
      <c r="V164" s="4"/>
      <c r="W164" s="4"/>
      <c r="X164" s="4"/>
    </row>
    <row x14ac:dyDescent="0.25" r="165" customHeight="1" ht="12.75">
      <c r="A165" s="4"/>
      <c r="B165" s="29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29"/>
      <c r="N165" s="29"/>
      <c r="O165" s="29"/>
      <c r="P165" s="32"/>
      <c r="Q165" s="32"/>
      <c r="R165" s="4"/>
      <c r="S165" s="4"/>
      <c r="T165" s="4"/>
      <c r="U165" s="4"/>
      <c r="V165" s="4"/>
      <c r="W165" s="4"/>
      <c r="X165" s="4"/>
    </row>
    <row x14ac:dyDescent="0.25" r="166" customHeight="1" ht="12.75">
      <c r="A166" s="4"/>
      <c r="B166" s="29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29"/>
      <c r="N166" s="29"/>
      <c r="O166" s="29"/>
      <c r="P166" s="32"/>
      <c r="Q166" s="32"/>
      <c r="R166" s="4"/>
      <c r="S166" s="4"/>
      <c r="T166" s="4"/>
      <c r="U166" s="4"/>
      <c r="V166" s="4"/>
      <c r="W166" s="4"/>
      <c r="X166" s="4"/>
    </row>
    <row x14ac:dyDescent="0.25" r="167" customHeight="1" ht="12.75">
      <c r="A167" s="4"/>
      <c r="B167" s="29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29"/>
      <c r="N167" s="29"/>
      <c r="O167" s="29"/>
      <c r="P167" s="32"/>
      <c r="Q167" s="32"/>
      <c r="R167" s="4"/>
      <c r="S167" s="4"/>
      <c r="T167" s="4"/>
      <c r="U167" s="4"/>
      <c r="V167" s="4"/>
      <c r="W167" s="4"/>
      <c r="X167" s="4"/>
    </row>
    <row x14ac:dyDescent="0.25" r="168" customHeight="1" ht="12.75">
      <c r="A168" s="4"/>
      <c r="B168" s="29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29"/>
      <c r="N168" s="29"/>
      <c r="O168" s="29"/>
      <c r="P168" s="32"/>
      <c r="Q168" s="32"/>
      <c r="R168" s="4"/>
      <c r="S168" s="4"/>
      <c r="T168" s="4"/>
      <c r="U168" s="4"/>
      <c r="V168" s="4"/>
      <c r="W168" s="4"/>
      <c r="X168" s="4"/>
    </row>
    <row x14ac:dyDescent="0.25" r="169" customHeight="1" ht="12.75">
      <c r="A169" s="4"/>
      <c r="B169" s="29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29"/>
      <c r="N169" s="29"/>
      <c r="O169" s="29"/>
      <c r="P169" s="32"/>
      <c r="Q169" s="32"/>
      <c r="R169" s="4"/>
      <c r="S169" s="4"/>
      <c r="T169" s="4"/>
      <c r="U169" s="4"/>
      <c r="V169" s="4"/>
      <c r="W169" s="4"/>
      <c r="X169" s="4"/>
    </row>
    <row x14ac:dyDescent="0.25" r="170" customHeight="1" ht="12.75">
      <c r="A170" s="4"/>
      <c r="B170" s="29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29"/>
      <c r="N170" s="29"/>
      <c r="O170" s="29"/>
      <c r="P170" s="32"/>
      <c r="Q170" s="32"/>
      <c r="R170" s="4"/>
      <c r="S170" s="4"/>
      <c r="T170" s="4"/>
      <c r="U170" s="4"/>
      <c r="V170" s="4"/>
      <c r="W170" s="4"/>
      <c r="X170" s="4"/>
    </row>
    <row x14ac:dyDescent="0.25" r="171" customHeight="1" ht="12.75">
      <c r="A171" s="4"/>
      <c r="B171" s="29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29"/>
      <c r="N171" s="29"/>
      <c r="O171" s="29"/>
      <c r="P171" s="32"/>
      <c r="Q171" s="32"/>
      <c r="R171" s="4"/>
      <c r="S171" s="4"/>
      <c r="T171" s="4"/>
      <c r="U171" s="4"/>
      <c r="V171" s="4"/>
      <c r="W171" s="4"/>
      <c r="X171" s="4"/>
    </row>
    <row x14ac:dyDescent="0.25" r="172" customHeight="1" ht="12.75">
      <c r="A172" s="4"/>
      <c r="B172" s="29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29"/>
      <c r="N172" s="29"/>
      <c r="O172" s="29"/>
      <c r="P172" s="32"/>
      <c r="Q172" s="32"/>
      <c r="R172" s="4"/>
      <c r="S172" s="4"/>
      <c r="T172" s="4"/>
      <c r="U172" s="4"/>
      <c r="V172" s="4"/>
      <c r="W172" s="4"/>
      <c r="X172" s="4"/>
    </row>
    <row x14ac:dyDescent="0.25" r="173" customHeight="1" ht="12.75">
      <c r="A173" s="4"/>
      <c r="B173" s="29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29"/>
      <c r="N173" s="29"/>
      <c r="O173" s="29"/>
      <c r="P173" s="32"/>
      <c r="Q173" s="32"/>
      <c r="R173" s="4"/>
      <c r="S173" s="4"/>
      <c r="T173" s="4"/>
      <c r="U173" s="4"/>
      <c r="V173" s="4"/>
      <c r="W173" s="4"/>
      <c r="X173" s="4"/>
    </row>
    <row x14ac:dyDescent="0.25" r="174" customHeight="1" ht="12.75">
      <c r="A174" s="4"/>
      <c r="B174" s="29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29"/>
      <c r="N174" s="29"/>
      <c r="O174" s="29"/>
      <c r="P174" s="32"/>
      <c r="Q174" s="32"/>
      <c r="R174" s="4"/>
      <c r="S174" s="4"/>
      <c r="T174" s="4"/>
      <c r="U174" s="4"/>
      <c r="V174" s="4"/>
      <c r="W174" s="4"/>
      <c r="X174" s="4"/>
    </row>
    <row x14ac:dyDescent="0.25" r="175" customHeight="1" ht="12.75">
      <c r="A175" s="4"/>
      <c r="B175" s="29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29"/>
      <c r="N175" s="29"/>
      <c r="O175" s="29"/>
      <c r="P175" s="32"/>
      <c r="Q175" s="32"/>
      <c r="R175" s="4"/>
      <c r="S175" s="4"/>
      <c r="T175" s="4"/>
      <c r="U175" s="4"/>
      <c r="V175" s="4"/>
      <c r="W175" s="4"/>
      <c r="X175" s="4"/>
    </row>
    <row x14ac:dyDescent="0.25" r="176" customHeight="1" ht="12.75">
      <c r="A176" s="4"/>
      <c r="B176" s="29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29"/>
      <c r="N176" s="29"/>
      <c r="O176" s="29"/>
      <c r="P176" s="32"/>
      <c r="Q176" s="32"/>
      <c r="R176" s="4"/>
      <c r="S176" s="4"/>
      <c r="T176" s="4"/>
      <c r="U176" s="4"/>
      <c r="V176" s="4"/>
      <c r="W176" s="4"/>
      <c r="X176" s="4"/>
    </row>
    <row x14ac:dyDescent="0.25" r="177" customHeight="1" ht="12.75">
      <c r="A177" s="4"/>
      <c r="B177" s="29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29"/>
      <c r="N177" s="29"/>
      <c r="O177" s="29"/>
      <c r="P177" s="32"/>
      <c r="Q177" s="32"/>
      <c r="R177" s="4"/>
      <c r="S177" s="4"/>
      <c r="T177" s="4"/>
      <c r="U177" s="4"/>
      <c r="V177" s="4"/>
      <c r="W177" s="4"/>
      <c r="X177" s="4"/>
    </row>
    <row x14ac:dyDescent="0.25" r="178" customHeight="1" ht="12.75">
      <c r="A178" s="4"/>
      <c r="B178" s="29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29"/>
      <c r="N178" s="29"/>
      <c r="O178" s="29"/>
      <c r="P178" s="32"/>
      <c r="Q178" s="32"/>
      <c r="R178" s="4"/>
      <c r="S178" s="4"/>
      <c r="T178" s="4"/>
      <c r="U178" s="4"/>
      <c r="V178" s="4"/>
      <c r="W178" s="4"/>
      <c r="X178" s="4"/>
    </row>
    <row x14ac:dyDescent="0.25" r="179" customHeight="1" ht="12.75">
      <c r="A179" s="4"/>
      <c r="B179" s="29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29"/>
      <c r="N179" s="29"/>
      <c r="O179" s="29"/>
      <c r="P179" s="32"/>
      <c r="Q179" s="32"/>
      <c r="R179" s="4"/>
      <c r="S179" s="4"/>
      <c r="T179" s="4"/>
      <c r="U179" s="4"/>
      <c r="V179" s="4"/>
      <c r="W179" s="4"/>
      <c r="X179" s="4"/>
    </row>
    <row x14ac:dyDescent="0.25" r="180" customHeight="1" ht="12.75">
      <c r="A180" s="4"/>
      <c r="B180" s="29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29"/>
      <c r="N180" s="29"/>
      <c r="O180" s="29"/>
      <c r="P180" s="32"/>
      <c r="Q180" s="32"/>
      <c r="R180" s="4"/>
      <c r="S180" s="4"/>
      <c r="T180" s="4"/>
      <c r="U180" s="4"/>
      <c r="V180" s="4"/>
      <c r="W180" s="4"/>
      <c r="X180" s="4"/>
    </row>
    <row x14ac:dyDescent="0.25" r="181" customHeight="1" ht="12.75">
      <c r="A181" s="4"/>
      <c r="B181" s="29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29"/>
      <c r="N181" s="29"/>
      <c r="O181" s="29"/>
      <c r="P181" s="32"/>
      <c r="Q181" s="32"/>
      <c r="R181" s="4"/>
      <c r="S181" s="4"/>
      <c r="T181" s="4"/>
      <c r="U181" s="4"/>
      <c r="V181" s="4"/>
      <c r="W181" s="4"/>
      <c r="X181" s="4"/>
    </row>
    <row x14ac:dyDescent="0.25" r="182" customHeight="1" ht="12.75">
      <c r="A182" s="4"/>
      <c r="B182" s="29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29"/>
      <c r="N182" s="29"/>
      <c r="O182" s="29"/>
      <c r="P182" s="32"/>
      <c r="Q182" s="32"/>
      <c r="R182" s="4"/>
      <c r="S182" s="4"/>
      <c r="T182" s="4"/>
      <c r="U182" s="4"/>
      <c r="V182" s="4"/>
      <c r="W182" s="4"/>
      <c r="X182" s="4"/>
    </row>
    <row x14ac:dyDescent="0.25" r="183" customHeight="1" ht="12.75">
      <c r="A183" s="4"/>
      <c r="B183" s="29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29"/>
      <c r="N183" s="29"/>
      <c r="O183" s="29"/>
      <c r="P183" s="32"/>
      <c r="Q183" s="32"/>
      <c r="R183" s="4"/>
      <c r="S183" s="4"/>
      <c r="T183" s="4"/>
      <c r="U183" s="4"/>
      <c r="V183" s="4"/>
      <c r="W183" s="4"/>
      <c r="X183" s="4"/>
    </row>
    <row x14ac:dyDescent="0.25" r="184" customHeight="1" ht="12.75">
      <c r="A184" s="4"/>
      <c r="B184" s="29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29"/>
      <c r="N184" s="29"/>
      <c r="O184" s="29"/>
      <c r="P184" s="32"/>
      <c r="Q184" s="32"/>
      <c r="R184" s="4"/>
      <c r="S184" s="4"/>
      <c r="T184" s="4"/>
      <c r="U184" s="4"/>
      <c r="V184" s="4"/>
      <c r="W184" s="4"/>
      <c r="X184" s="4"/>
    </row>
    <row x14ac:dyDescent="0.25" r="185" customHeight="1" ht="12.75">
      <c r="A185" s="4"/>
      <c r="B185" s="29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29"/>
      <c r="N185" s="29"/>
      <c r="O185" s="29"/>
      <c r="P185" s="32"/>
      <c r="Q185" s="32"/>
      <c r="R185" s="4"/>
      <c r="S185" s="4"/>
      <c r="T185" s="4"/>
      <c r="U185" s="4"/>
      <c r="V185" s="4"/>
      <c r="W185" s="4"/>
      <c r="X185" s="4"/>
    </row>
    <row x14ac:dyDescent="0.25" r="186" customHeight="1" ht="12.75">
      <c r="A186" s="4"/>
      <c r="B186" s="29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29"/>
      <c r="N186" s="29"/>
      <c r="O186" s="29"/>
      <c r="P186" s="32"/>
      <c r="Q186" s="32"/>
      <c r="R186" s="4"/>
      <c r="S186" s="4"/>
      <c r="T186" s="4"/>
      <c r="U186" s="4"/>
      <c r="V186" s="4"/>
      <c r="W186" s="4"/>
      <c r="X186" s="4"/>
    </row>
    <row x14ac:dyDescent="0.25" r="187" customHeight="1" ht="12.75">
      <c r="A187" s="4"/>
      <c r="B187" s="29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29"/>
      <c r="N187" s="29"/>
      <c r="O187" s="29"/>
      <c r="P187" s="32"/>
      <c r="Q187" s="32"/>
      <c r="R187" s="4"/>
      <c r="S187" s="4"/>
      <c r="T187" s="4"/>
      <c r="U187" s="4"/>
      <c r="V187" s="4"/>
      <c r="W187" s="4"/>
      <c r="X187" s="4"/>
    </row>
    <row x14ac:dyDescent="0.25" r="188" customHeight="1" ht="12.75">
      <c r="A188" s="4"/>
      <c r="B188" s="29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29"/>
      <c r="N188" s="29"/>
      <c r="O188" s="29"/>
      <c r="P188" s="32"/>
      <c r="Q188" s="32"/>
      <c r="R188" s="4"/>
      <c r="S188" s="4"/>
      <c r="T188" s="4"/>
      <c r="U188" s="4"/>
      <c r="V188" s="4"/>
      <c r="W188" s="4"/>
      <c r="X188" s="4"/>
    </row>
    <row x14ac:dyDescent="0.25" r="189" customHeight="1" ht="12.75">
      <c r="A189" s="4"/>
      <c r="B189" s="29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29"/>
      <c r="N189" s="29"/>
      <c r="O189" s="29"/>
      <c r="P189" s="32"/>
      <c r="Q189" s="32"/>
      <c r="R189" s="4"/>
      <c r="S189" s="4"/>
      <c r="T189" s="4"/>
      <c r="U189" s="4"/>
      <c r="V189" s="4"/>
      <c r="W189" s="4"/>
      <c r="X189" s="4"/>
    </row>
    <row x14ac:dyDescent="0.25" r="190" customHeight="1" ht="12.75">
      <c r="A190" s="4"/>
      <c r="B190" s="29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29"/>
      <c r="N190" s="29"/>
      <c r="O190" s="29"/>
      <c r="P190" s="32"/>
      <c r="Q190" s="32"/>
      <c r="R190" s="4"/>
      <c r="S190" s="4"/>
      <c r="T190" s="4"/>
      <c r="U190" s="4"/>
      <c r="V190" s="4"/>
      <c r="W190" s="4"/>
      <c r="X190" s="4"/>
    </row>
    <row x14ac:dyDescent="0.25" r="191" customHeight="1" ht="12.75">
      <c r="A191" s="4"/>
      <c r="B191" s="29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29"/>
      <c r="N191" s="29"/>
      <c r="O191" s="29"/>
      <c r="P191" s="32"/>
      <c r="Q191" s="32"/>
      <c r="R191" s="4"/>
      <c r="S191" s="4"/>
      <c r="T191" s="4"/>
      <c r="U191" s="4"/>
      <c r="V191" s="4"/>
      <c r="W191" s="4"/>
      <c r="X191" s="4"/>
    </row>
    <row x14ac:dyDescent="0.25" r="192" customHeight="1" ht="12.75">
      <c r="A192" s="4"/>
      <c r="B192" s="29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29"/>
      <c r="N192" s="29"/>
      <c r="O192" s="29"/>
      <c r="P192" s="32"/>
      <c r="Q192" s="32"/>
      <c r="R192" s="4"/>
      <c r="S192" s="4"/>
      <c r="T192" s="4"/>
      <c r="U192" s="4"/>
      <c r="V192" s="4"/>
      <c r="W192" s="4"/>
      <c r="X192" s="4"/>
    </row>
    <row x14ac:dyDescent="0.25" r="193" customHeight="1" ht="12.75">
      <c r="A193" s="4"/>
      <c r="B193" s="29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29"/>
      <c r="N193" s="29"/>
      <c r="O193" s="29"/>
      <c r="P193" s="32"/>
      <c r="Q193" s="32"/>
      <c r="R193" s="4"/>
      <c r="S193" s="4"/>
      <c r="T193" s="4"/>
      <c r="U193" s="4"/>
      <c r="V193" s="4"/>
      <c r="W193" s="4"/>
      <c r="X193" s="4"/>
    </row>
    <row x14ac:dyDescent="0.25" r="194" customHeight="1" ht="12.75">
      <c r="A194" s="4"/>
      <c r="B194" s="29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29"/>
      <c r="N194" s="29"/>
      <c r="O194" s="29"/>
      <c r="P194" s="32"/>
      <c r="Q194" s="32"/>
      <c r="R194" s="4"/>
      <c r="S194" s="4"/>
      <c r="T194" s="4"/>
      <c r="U194" s="4"/>
      <c r="V194" s="4"/>
      <c r="W194" s="4"/>
      <c r="X194" s="4"/>
    </row>
    <row x14ac:dyDescent="0.25" r="195" customHeight="1" ht="12.75">
      <c r="A195" s="4"/>
      <c r="B195" s="29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29"/>
      <c r="N195" s="29"/>
      <c r="O195" s="29"/>
      <c r="P195" s="32"/>
      <c r="Q195" s="32"/>
      <c r="R195" s="4"/>
      <c r="S195" s="4"/>
      <c r="T195" s="4"/>
      <c r="U195" s="4"/>
      <c r="V195" s="4"/>
      <c r="W195" s="4"/>
      <c r="X195" s="4"/>
    </row>
    <row x14ac:dyDescent="0.25" r="196" customHeight="1" ht="12.75">
      <c r="A196" s="4"/>
      <c r="B196" s="29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29"/>
      <c r="N196" s="29"/>
      <c r="O196" s="29"/>
      <c r="P196" s="32"/>
      <c r="Q196" s="32"/>
      <c r="R196" s="4"/>
      <c r="S196" s="4"/>
      <c r="T196" s="4"/>
      <c r="U196" s="4"/>
      <c r="V196" s="4"/>
      <c r="W196" s="4"/>
      <c r="X196" s="4"/>
    </row>
    <row x14ac:dyDescent="0.25" r="197" customHeight="1" ht="12.75">
      <c r="A197" s="4"/>
      <c r="B197" s="29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29"/>
      <c r="N197" s="29"/>
      <c r="O197" s="29"/>
      <c r="P197" s="32"/>
      <c r="Q197" s="32"/>
      <c r="R197" s="4"/>
      <c r="S197" s="4"/>
      <c r="T197" s="4"/>
      <c r="U197" s="4"/>
      <c r="V197" s="4"/>
      <c r="W197" s="4"/>
      <c r="X197" s="4"/>
    </row>
    <row x14ac:dyDescent="0.25" r="198" customHeight="1" ht="12.75">
      <c r="A198" s="4"/>
      <c r="B198" s="29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29"/>
      <c r="N198" s="29"/>
      <c r="O198" s="29"/>
      <c r="P198" s="32"/>
      <c r="Q198" s="32"/>
      <c r="R198" s="4"/>
      <c r="S198" s="4"/>
      <c r="T198" s="4"/>
      <c r="U198" s="4"/>
      <c r="V198" s="4"/>
      <c r="W198" s="4"/>
      <c r="X198" s="4"/>
    </row>
    <row x14ac:dyDescent="0.25" r="199" customHeight="1" ht="12.75">
      <c r="A199" s="4"/>
      <c r="B199" s="29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29"/>
      <c r="N199" s="29"/>
      <c r="O199" s="29"/>
      <c r="P199" s="32"/>
      <c r="Q199" s="32"/>
      <c r="R199" s="4"/>
      <c r="S199" s="4"/>
      <c r="T199" s="4"/>
      <c r="U199" s="4"/>
      <c r="V199" s="4"/>
      <c r="W199" s="4"/>
      <c r="X199" s="4"/>
    </row>
    <row x14ac:dyDescent="0.25" r="200" customHeight="1" ht="12.75">
      <c r="A200" s="4"/>
      <c r="B200" s="29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29"/>
      <c r="N200" s="29"/>
      <c r="O200" s="29"/>
      <c r="P200" s="32"/>
      <c r="Q200" s="32"/>
      <c r="R200" s="4"/>
      <c r="S200" s="4"/>
      <c r="T200" s="4"/>
      <c r="U200" s="4"/>
      <c r="V200" s="4"/>
      <c r="W200" s="4"/>
      <c r="X200" s="4"/>
    </row>
    <row x14ac:dyDescent="0.25" r="201" customHeight="1" ht="12.75">
      <c r="A201" s="4"/>
      <c r="B201" s="29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29"/>
      <c r="N201" s="29"/>
      <c r="O201" s="29"/>
      <c r="P201" s="32"/>
      <c r="Q201" s="32"/>
      <c r="R201" s="4"/>
      <c r="S201" s="4"/>
      <c r="T201" s="4"/>
      <c r="U201" s="4"/>
      <c r="V201" s="4"/>
      <c r="W201" s="4"/>
      <c r="X201" s="4"/>
    </row>
    <row x14ac:dyDescent="0.25" r="202" customHeight="1" ht="12.75">
      <c r="A202" s="4"/>
      <c r="B202" s="29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29"/>
      <c r="N202" s="29"/>
      <c r="O202" s="29"/>
      <c r="P202" s="32"/>
      <c r="Q202" s="32"/>
      <c r="R202" s="4"/>
      <c r="S202" s="4"/>
      <c r="T202" s="4"/>
      <c r="U202" s="4"/>
      <c r="V202" s="4"/>
      <c r="W202" s="4"/>
      <c r="X202" s="4"/>
    </row>
    <row x14ac:dyDescent="0.25" r="203" customHeight="1" ht="12.75">
      <c r="A203" s="4"/>
      <c r="B203" s="29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29"/>
      <c r="N203" s="29"/>
      <c r="O203" s="29"/>
      <c r="P203" s="32"/>
      <c r="Q203" s="32"/>
      <c r="R203" s="4"/>
      <c r="S203" s="4"/>
      <c r="T203" s="4"/>
      <c r="U203" s="4"/>
      <c r="V203" s="4"/>
      <c r="W203" s="4"/>
      <c r="X203" s="4"/>
    </row>
    <row x14ac:dyDescent="0.25" r="204" customHeight="1" ht="12.75">
      <c r="A204" s="4"/>
      <c r="B204" s="29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29"/>
      <c r="N204" s="29"/>
      <c r="O204" s="29"/>
      <c r="P204" s="32"/>
      <c r="Q204" s="32"/>
      <c r="R204" s="4"/>
      <c r="S204" s="4"/>
      <c r="T204" s="4"/>
      <c r="U204" s="4"/>
      <c r="V204" s="4"/>
      <c r="W204" s="4"/>
      <c r="X204" s="4"/>
    </row>
    <row x14ac:dyDescent="0.25" r="205" customHeight="1" ht="12.75">
      <c r="A205" s="4"/>
      <c r="B205" s="29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29"/>
      <c r="N205" s="29"/>
      <c r="O205" s="29"/>
      <c r="P205" s="32"/>
      <c r="Q205" s="32"/>
      <c r="R205" s="4"/>
      <c r="S205" s="4"/>
      <c r="T205" s="4"/>
      <c r="U205" s="4"/>
      <c r="V205" s="4"/>
      <c r="W205" s="4"/>
      <c r="X205" s="4"/>
    </row>
    <row x14ac:dyDescent="0.25" r="206" customHeight="1" ht="12.75">
      <c r="A206" s="4"/>
      <c r="B206" s="29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29"/>
      <c r="N206" s="29"/>
      <c r="O206" s="29"/>
      <c r="P206" s="32"/>
      <c r="Q206" s="32"/>
      <c r="R206" s="4"/>
      <c r="S206" s="4"/>
      <c r="T206" s="4"/>
      <c r="U206" s="4"/>
      <c r="V206" s="4"/>
      <c r="W206" s="4"/>
      <c r="X206" s="4"/>
    </row>
    <row x14ac:dyDescent="0.25" r="207" customHeight="1" ht="12.75">
      <c r="A207" s="4"/>
      <c r="B207" s="29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29"/>
      <c r="N207" s="29"/>
      <c r="O207" s="29"/>
      <c r="P207" s="32"/>
      <c r="Q207" s="32"/>
      <c r="R207" s="4"/>
      <c r="S207" s="4"/>
      <c r="T207" s="4"/>
      <c r="U207" s="4"/>
      <c r="V207" s="4"/>
      <c r="W207" s="4"/>
      <c r="X207" s="4"/>
    </row>
    <row x14ac:dyDescent="0.25" r="208" customHeight="1" ht="12.75">
      <c r="A208" s="4"/>
      <c r="B208" s="29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29"/>
      <c r="N208" s="29"/>
      <c r="O208" s="29"/>
      <c r="P208" s="32"/>
      <c r="Q208" s="32"/>
      <c r="R208" s="4"/>
      <c r="S208" s="4"/>
      <c r="T208" s="4"/>
      <c r="U208" s="4"/>
      <c r="V208" s="4"/>
      <c r="W208" s="4"/>
      <c r="X208" s="4"/>
    </row>
    <row x14ac:dyDescent="0.25" r="209" customHeight="1" ht="12.75">
      <c r="A209" s="4"/>
      <c r="B209" s="29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29"/>
      <c r="N209" s="29"/>
      <c r="O209" s="29"/>
      <c r="P209" s="32"/>
      <c r="Q209" s="32"/>
      <c r="R209" s="4"/>
      <c r="S209" s="4"/>
      <c r="T209" s="4"/>
      <c r="U209" s="4"/>
      <c r="V209" s="4"/>
      <c r="W209" s="4"/>
      <c r="X209" s="4"/>
    </row>
    <row x14ac:dyDescent="0.25" r="210" customHeight="1" ht="12.75">
      <c r="A210" s="4"/>
      <c r="B210" s="29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29"/>
      <c r="N210" s="29"/>
      <c r="O210" s="29"/>
      <c r="P210" s="32"/>
      <c r="Q210" s="32"/>
      <c r="R210" s="4"/>
      <c r="S210" s="4"/>
      <c r="T210" s="4"/>
      <c r="U210" s="4"/>
      <c r="V210" s="4"/>
      <c r="W210" s="4"/>
      <c r="X210" s="4"/>
    </row>
    <row x14ac:dyDescent="0.25" r="211" customHeight="1" ht="12.75">
      <c r="A211" s="4"/>
      <c r="B211" s="29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29"/>
      <c r="N211" s="29"/>
      <c r="O211" s="29"/>
      <c r="P211" s="32"/>
      <c r="Q211" s="32"/>
      <c r="R211" s="4"/>
      <c r="S211" s="4"/>
      <c r="T211" s="4"/>
      <c r="U211" s="4"/>
      <c r="V211" s="4"/>
      <c r="W211" s="4"/>
      <c r="X211" s="4"/>
    </row>
    <row x14ac:dyDescent="0.25" r="212" customHeight="1" ht="12.75">
      <c r="A212" s="4"/>
      <c r="B212" s="29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29"/>
      <c r="N212" s="29"/>
      <c r="O212" s="29"/>
      <c r="P212" s="32"/>
      <c r="Q212" s="32"/>
      <c r="R212" s="4"/>
      <c r="S212" s="4"/>
      <c r="T212" s="4"/>
      <c r="U212" s="4"/>
      <c r="V212" s="4"/>
      <c r="W212" s="4"/>
      <c r="X212" s="4"/>
    </row>
    <row x14ac:dyDescent="0.25" r="213" customHeight="1" ht="12.75">
      <c r="A213" s="4"/>
      <c r="B213" s="29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29"/>
      <c r="N213" s="29"/>
      <c r="O213" s="29"/>
      <c r="P213" s="32"/>
      <c r="Q213" s="32"/>
      <c r="R213" s="4"/>
      <c r="S213" s="4"/>
      <c r="T213" s="4"/>
      <c r="U213" s="4"/>
      <c r="V213" s="4"/>
      <c r="W213" s="4"/>
      <c r="X213" s="4"/>
    </row>
    <row x14ac:dyDescent="0.25" r="214" customHeight="1" ht="12.75">
      <c r="A214" s="4"/>
      <c r="B214" s="29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29"/>
      <c r="N214" s="29"/>
      <c r="O214" s="29"/>
      <c r="P214" s="32"/>
      <c r="Q214" s="32"/>
      <c r="R214" s="4"/>
      <c r="S214" s="4"/>
      <c r="T214" s="4"/>
      <c r="U214" s="4"/>
      <c r="V214" s="4"/>
      <c r="W214" s="4"/>
      <c r="X214" s="4"/>
    </row>
    <row x14ac:dyDescent="0.25" r="215" customHeight="1" ht="12.75">
      <c r="A215" s="4"/>
      <c r="B215" s="29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29"/>
      <c r="N215" s="29"/>
      <c r="O215" s="29"/>
      <c r="P215" s="32"/>
      <c r="Q215" s="32"/>
      <c r="R215" s="4"/>
      <c r="S215" s="4"/>
      <c r="T215" s="4"/>
      <c r="U215" s="4"/>
      <c r="V215" s="4"/>
      <c r="W215" s="4"/>
      <c r="X215" s="4"/>
    </row>
    <row x14ac:dyDescent="0.25" r="216" customHeight="1" ht="12.75">
      <c r="A216" s="4"/>
      <c r="B216" s="29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29"/>
      <c r="N216" s="29"/>
      <c r="O216" s="29"/>
      <c r="P216" s="32"/>
      <c r="Q216" s="32"/>
      <c r="R216" s="4"/>
      <c r="S216" s="4"/>
      <c r="T216" s="4"/>
      <c r="U216" s="4"/>
      <c r="V216" s="4"/>
      <c r="W216" s="4"/>
      <c r="X216" s="4"/>
    </row>
    <row x14ac:dyDescent="0.25" r="217" customHeight="1" ht="12.75">
      <c r="A217" s="4"/>
      <c r="B217" s="29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29"/>
      <c r="N217" s="29"/>
      <c r="O217" s="29"/>
      <c r="P217" s="32"/>
      <c r="Q217" s="32"/>
      <c r="R217" s="4"/>
      <c r="S217" s="4"/>
      <c r="T217" s="4"/>
      <c r="U217" s="4"/>
      <c r="V217" s="4"/>
      <c r="W217" s="4"/>
      <c r="X217" s="4"/>
    </row>
    <row x14ac:dyDescent="0.25" r="218" customHeight="1" ht="12.75">
      <c r="A218" s="4"/>
      <c r="B218" s="29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29"/>
      <c r="N218" s="29"/>
      <c r="O218" s="29"/>
      <c r="P218" s="32"/>
      <c r="Q218" s="32"/>
      <c r="R218" s="4"/>
      <c r="S218" s="4"/>
      <c r="T218" s="4"/>
      <c r="U218" s="4"/>
      <c r="V218" s="4"/>
      <c r="W218" s="4"/>
      <c r="X218" s="4"/>
    </row>
    <row x14ac:dyDescent="0.25" r="219" customHeight="1" ht="12.75">
      <c r="A219" s="4"/>
      <c r="B219" s="29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29"/>
      <c r="N219" s="29"/>
      <c r="O219" s="29"/>
      <c r="P219" s="32"/>
      <c r="Q219" s="32"/>
      <c r="R219" s="4"/>
      <c r="S219" s="4"/>
      <c r="T219" s="4"/>
      <c r="U219" s="4"/>
      <c r="V219" s="4"/>
      <c r="W219" s="4"/>
      <c r="X219" s="4"/>
    </row>
    <row x14ac:dyDescent="0.25" r="220" customHeight="1" ht="12.75">
      <c r="A220" s="4"/>
      <c r="B220" s="29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29"/>
      <c r="N220" s="29"/>
      <c r="O220" s="29"/>
      <c r="P220" s="32"/>
      <c r="Q220" s="32"/>
      <c r="R220" s="4"/>
      <c r="S220" s="4"/>
      <c r="T220" s="4"/>
      <c r="U220" s="4"/>
      <c r="V220" s="4"/>
      <c r="W220" s="4"/>
      <c r="X220" s="4"/>
    </row>
    <row x14ac:dyDescent="0.25" r="221" customHeight="1" ht="12.75">
      <c r="A221" s="4"/>
      <c r="B221" s="29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29"/>
      <c r="N221" s="29"/>
      <c r="O221" s="29"/>
      <c r="P221" s="32"/>
      <c r="Q221" s="32"/>
      <c r="R221" s="4"/>
      <c r="S221" s="4"/>
      <c r="T221" s="4"/>
      <c r="U221" s="4"/>
      <c r="V221" s="4"/>
      <c r="W221" s="4"/>
      <c r="X221" s="4"/>
    </row>
    <row x14ac:dyDescent="0.25" r="222" customHeight="1" ht="12.75">
      <c r="A222" s="4"/>
      <c r="B222" s="29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29"/>
      <c r="N222" s="29"/>
      <c r="O222" s="29"/>
      <c r="P222" s="32"/>
      <c r="Q222" s="32"/>
      <c r="R222" s="4"/>
      <c r="S222" s="4"/>
      <c r="T222" s="4"/>
      <c r="U222" s="4"/>
      <c r="V222" s="4"/>
      <c r="W222" s="4"/>
      <c r="X222" s="4"/>
    </row>
    <row x14ac:dyDescent="0.25" r="223" customHeight="1" ht="12.75">
      <c r="A223" s="4"/>
      <c r="B223" s="29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29"/>
      <c r="N223" s="29"/>
      <c r="O223" s="29"/>
      <c r="P223" s="32"/>
      <c r="Q223" s="32"/>
      <c r="R223" s="4"/>
      <c r="S223" s="4"/>
      <c r="T223" s="4"/>
      <c r="U223" s="4"/>
      <c r="V223" s="4"/>
      <c r="W223" s="4"/>
      <c r="X223" s="4"/>
    </row>
    <row x14ac:dyDescent="0.25" r="224" customHeight="1" ht="12.75">
      <c r="A224" s="4"/>
      <c r="B224" s="29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29"/>
      <c r="N224" s="29"/>
      <c r="O224" s="29"/>
      <c r="P224" s="32"/>
      <c r="Q224" s="32"/>
      <c r="R224" s="4"/>
      <c r="S224" s="4"/>
      <c r="T224" s="4"/>
      <c r="U224" s="4"/>
      <c r="V224" s="4"/>
      <c r="W224" s="4"/>
      <c r="X224" s="4"/>
    </row>
    <row x14ac:dyDescent="0.25" r="225" customHeight="1" ht="12.75">
      <c r="A225" s="4"/>
      <c r="B225" s="29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29"/>
      <c r="N225" s="29"/>
      <c r="O225" s="29"/>
      <c r="P225" s="32"/>
      <c r="Q225" s="32"/>
      <c r="R225" s="4"/>
      <c r="S225" s="4"/>
      <c r="T225" s="4"/>
      <c r="U225" s="4"/>
      <c r="V225" s="4"/>
      <c r="W225" s="4"/>
      <c r="X225" s="4"/>
    </row>
    <row x14ac:dyDescent="0.25" r="226" customHeight="1" ht="12.75">
      <c r="A226" s="4"/>
      <c r="B226" s="29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29"/>
      <c r="N226" s="29"/>
      <c r="O226" s="29"/>
      <c r="P226" s="32"/>
      <c r="Q226" s="32"/>
      <c r="R226" s="4"/>
      <c r="S226" s="4"/>
      <c r="T226" s="4"/>
      <c r="U226" s="4"/>
      <c r="V226" s="4"/>
      <c r="W226" s="4"/>
      <c r="X226" s="4"/>
    </row>
    <row x14ac:dyDescent="0.25" r="227" customHeight="1" ht="12.75">
      <c r="A227" s="4"/>
      <c r="B227" s="29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29"/>
      <c r="N227" s="29"/>
      <c r="O227" s="29"/>
      <c r="P227" s="32"/>
      <c r="Q227" s="32"/>
      <c r="R227" s="4"/>
      <c r="S227" s="4"/>
      <c r="T227" s="4"/>
      <c r="U227" s="4"/>
      <c r="V227" s="4"/>
      <c r="W227" s="4"/>
      <c r="X227" s="4"/>
    </row>
    <row x14ac:dyDescent="0.25" r="228" customHeight="1" ht="12.75">
      <c r="A228" s="4"/>
      <c r="B228" s="29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29"/>
      <c r="N228" s="29"/>
      <c r="O228" s="29"/>
      <c r="P228" s="32"/>
      <c r="Q228" s="32"/>
      <c r="R228" s="4"/>
      <c r="S228" s="4"/>
      <c r="T228" s="4"/>
      <c r="U228" s="4"/>
      <c r="V228" s="4"/>
      <c r="W228" s="4"/>
      <c r="X228" s="4"/>
    </row>
    <row x14ac:dyDescent="0.25" r="229" customHeight="1" ht="12.75">
      <c r="A229" s="4"/>
      <c r="B229" s="29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29"/>
      <c r="N229" s="29"/>
      <c r="O229" s="29"/>
      <c r="P229" s="32"/>
      <c r="Q229" s="32"/>
      <c r="R229" s="4"/>
      <c r="S229" s="4"/>
      <c r="T229" s="4"/>
      <c r="U229" s="4"/>
      <c r="V229" s="4"/>
      <c r="W229" s="4"/>
      <c r="X229" s="4"/>
    </row>
    <row x14ac:dyDescent="0.25" r="230" customHeight="1" ht="12.75">
      <c r="A230" s="4"/>
      <c r="B230" s="29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29"/>
      <c r="N230" s="29"/>
      <c r="O230" s="29"/>
      <c r="P230" s="32"/>
      <c r="Q230" s="32"/>
      <c r="R230" s="4"/>
      <c r="S230" s="4"/>
      <c r="T230" s="4"/>
      <c r="U230" s="4"/>
      <c r="V230" s="4"/>
      <c r="W230" s="4"/>
      <c r="X230" s="4"/>
    </row>
    <row x14ac:dyDescent="0.25" r="231" customHeight="1" ht="12.75">
      <c r="A231" s="4"/>
      <c r="B231" s="29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29"/>
      <c r="N231" s="29"/>
      <c r="O231" s="29"/>
      <c r="P231" s="32"/>
      <c r="Q231" s="32"/>
      <c r="R231" s="4"/>
      <c r="S231" s="4"/>
      <c r="T231" s="4"/>
      <c r="U231" s="4"/>
      <c r="V231" s="4"/>
      <c r="W231" s="4"/>
      <c r="X231" s="4"/>
    </row>
    <row x14ac:dyDescent="0.25" r="232" customHeight="1" ht="12.75">
      <c r="A232" s="4"/>
      <c r="B232" s="29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29"/>
      <c r="N232" s="29"/>
      <c r="O232" s="29"/>
      <c r="P232" s="32"/>
      <c r="Q232" s="32"/>
      <c r="R232" s="4"/>
      <c r="S232" s="4"/>
      <c r="T232" s="4"/>
      <c r="U232" s="4"/>
      <c r="V232" s="4"/>
      <c r="W232" s="4"/>
      <c r="X232" s="4"/>
    </row>
    <row x14ac:dyDescent="0.25" r="233" customHeight="1" ht="12.75">
      <c r="A233" s="4"/>
      <c r="B233" s="29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29"/>
      <c r="N233" s="29"/>
      <c r="O233" s="29"/>
      <c r="P233" s="32"/>
      <c r="Q233" s="32"/>
      <c r="R233" s="4"/>
      <c r="S233" s="4"/>
      <c r="T233" s="4"/>
      <c r="U233" s="4"/>
      <c r="V233" s="4"/>
      <c r="W233" s="4"/>
      <c r="X233" s="4"/>
    </row>
    <row x14ac:dyDescent="0.25" r="234" customHeight="1" ht="12.75">
      <c r="A234" s="4"/>
      <c r="B234" s="29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29"/>
      <c r="N234" s="29"/>
      <c r="O234" s="29"/>
      <c r="P234" s="32"/>
      <c r="Q234" s="32"/>
      <c r="R234" s="4"/>
      <c r="S234" s="4"/>
      <c r="T234" s="4"/>
      <c r="U234" s="4"/>
      <c r="V234" s="4"/>
      <c r="W234" s="4"/>
      <c r="X234" s="4"/>
    </row>
    <row x14ac:dyDescent="0.25" r="235" customHeight="1" ht="12.75">
      <c r="A235" s="4"/>
      <c r="B235" s="29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29"/>
      <c r="N235" s="29"/>
      <c r="O235" s="29"/>
      <c r="P235" s="32"/>
      <c r="Q235" s="32"/>
      <c r="R235" s="4"/>
      <c r="S235" s="4"/>
      <c r="T235" s="4"/>
      <c r="U235" s="4"/>
      <c r="V235" s="4"/>
      <c r="W235" s="4"/>
      <c r="X235" s="4"/>
    </row>
    <row x14ac:dyDescent="0.25" r="236" customHeight="1" ht="12.75">
      <c r="A236" s="4"/>
      <c r="B236" s="29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29"/>
      <c r="N236" s="29"/>
      <c r="O236" s="29"/>
      <c r="P236" s="32"/>
      <c r="Q236" s="32"/>
      <c r="R236" s="4"/>
      <c r="S236" s="4"/>
      <c r="T236" s="4"/>
      <c r="U236" s="4"/>
      <c r="V236" s="4"/>
      <c r="W236" s="4"/>
      <c r="X236" s="4"/>
    </row>
    <row x14ac:dyDescent="0.25" r="237" customHeight="1" ht="12.75">
      <c r="A237" s="4"/>
      <c r="B237" s="29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29"/>
      <c r="N237" s="29"/>
      <c r="O237" s="29"/>
      <c r="P237" s="32"/>
      <c r="Q237" s="32"/>
      <c r="R237" s="4"/>
      <c r="S237" s="4"/>
      <c r="T237" s="4"/>
      <c r="U237" s="4"/>
      <c r="V237" s="4"/>
      <c r="W237" s="4"/>
      <c r="X237" s="4"/>
    </row>
    <row x14ac:dyDescent="0.25" r="238" customHeight="1" ht="12.75">
      <c r="A238" s="4"/>
      <c r="B238" s="29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29"/>
      <c r="N238" s="29"/>
      <c r="O238" s="29"/>
      <c r="P238" s="32"/>
      <c r="Q238" s="32"/>
      <c r="R238" s="4"/>
      <c r="S238" s="4"/>
      <c r="T238" s="4"/>
      <c r="U238" s="4"/>
      <c r="V238" s="4"/>
      <c r="W238" s="4"/>
      <c r="X238" s="4"/>
    </row>
    <row x14ac:dyDescent="0.25" r="239" customHeight="1" ht="12.75">
      <c r="A239" s="4"/>
      <c r="B239" s="29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29"/>
      <c r="N239" s="29"/>
      <c r="O239" s="29"/>
      <c r="P239" s="32"/>
      <c r="Q239" s="32"/>
      <c r="R239" s="4"/>
      <c r="S239" s="4"/>
      <c r="T239" s="4"/>
      <c r="U239" s="4"/>
      <c r="V239" s="4"/>
      <c r="W239" s="4"/>
      <c r="X239" s="4"/>
    </row>
    <row x14ac:dyDescent="0.25" r="240" customHeight="1" ht="12.75">
      <c r="A240" s="4"/>
      <c r="B240" s="29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29"/>
      <c r="N240" s="29"/>
      <c r="O240" s="29"/>
      <c r="P240" s="32"/>
      <c r="Q240" s="32"/>
      <c r="R240" s="4"/>
      <c r="S240" s="4"/>
      <c r="T240" s="4"/>
      <c r="U240" s="4"/>
      <c r="V240" s="4"/>
      <c r="W240" s="4"/>
      <c r="X240" s="4"/>
    </row>
    <row x14ac:dyDescent="0.25" r="241" customHeight="1" ht="12.75">
      <c r="A241" s="4"/>
      <c r="B241" s="29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29"/>
      <c r="N241" s="29"/>
      <c r="O241" s="29"/>
      <c r="P241" s="32"/>
      <c r="Q241" s="32"/>
      <c r="R241" s="4"/>
      <c r="S241" s="4"/>
      <c r="T241" s="4"/>
      <c r="U241" s="4"/>
      <c r="V241" s="4"/>
      <c r="W241" s="4"/>
      <c r="X241" s="4"/>
    </row>
    <row x14ac:dyDescent="0.25" r="242" customHeight="1" ht="12.75">
      <c r="A242" s="4"/>
      <c r="B242" s="29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29"/>
      <c r="N242" s="29"/>
      <c r="O242" s="29"/>
      <c r="P242" s="32"/>
      <c r="Q242" s="32"/>
      <c r="R242" s="4"/>
      <c r="S242" s="4"/>
      <c r="T242" s="4"/>
      <c r="U242" s="4"/>
      <c r="V242" s="4"/>
      <c r="W242" s="4"/>
      <c r="X242" s="4"/>
    </row>
    <row x14ac:dyDescent="0.25" r="243" customHeight="1" ht="12.75">
      <c r="A243" s="4"/>
      <c r="B243" s="29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29"/>
      <c r="N243" s="29"/>
      <c r="O243" s="29"/>
      <c r="P243" s="32"/>
      <c r="Q243" s="32"/>
      <c r="R243" s="4"/>
      <c r="S243" s="4"/>
      <c r="T243" s="4"/>
      <c r="U243" s="4"/>
      <c r="V243" s="4"/>
      <c r="W243" s="4"/>
      <c r="X243" s="4"/>
    </row>
    <row x14ac:dyDescent="0.25" r="244" customHeight="1" ht="12.75">
      <c r="A244" s="4"/>
      <c r="B244" s="29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29"/>
      <c r="N244" s="29"/>
      <c r="O244" s="29"/>
      <c r="P244" s="32"/>
      <c r="Q244" s="32"/>
      <c r="R244" s="4"/>
      <c r="S244" s="4"/>
      <c r="T244" s="4"/>
      <c r="U244" s="4"/>
      <c r="V244" s="4"/>
      <c r="W244" s="4"/>
      <c r="X244" s="4"/>
    </row>
    <row x14ac:dyDescent="0.25" r="245" customHeight="1" ht="12.75">
      <c r="A245" s="4"/>
      <c r="B245" s="29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29"/>
      <c r="N245" s="29"/>
      <c r="O245" s="29"/>
      <c r="P245" s="32"/>
      <c r="Q245" s="32"/>
      <c r="R245" s="4"/>
      <c r="S245" s="4"/>
      <c r="T245" s="4"/>
      <c r="U245" s="4"/>
      <c r="V245" s="4"/>
      <c r="W245" s="4"/>
      <c r="X245" s="4"/>
    </row>
    <row x14ac:dyDescent="0.25" r="246" customHeight="1" ht="12.75">
      <c r="A246" s="4"/>
      <c r="B246" s="29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29"/>
      <c r="N246" s="29"/>
      <c r="O246" s="29"/>
      <c r="P246" s="32"/>
      <c r="Q246" s="32"/>
      <c r="R246" s="4"/>
      <c r="S246" s="4"/>
      <c r="T246" s="4"/>
      <c r="U246" s="4"/>
      <c r="V246" s="4"/>
      <c r="W246" s="4"/>
      <c r="X246" s="4"/>
    </row>
    <row x14ac:dyDescent="0.25" r="247" customHeight="1" ht="12.75">
      <c r="A247" s="4"/>
      <c r="B247" s="29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29"/>
      <c r="N247" s="29"/>
      <c r="O247" s="29"/>
      <c r="P247" s="32"/>
      <c r="Q247" s="32"/>
      <c r="R247" s="4"/>
      <c r="S247" s="4"/>
      <c r="T247" s="4"/>
      <c r="U247" s="4"/>
      <c r="V247" s="4"/>
      <c r="W247" s="4"/>
      <c r="X247" s="4"/>
    </row>
    <row x14ac:dyDescent="0.25" r="248" customHeight="1" ht="12.75">
      <c r="A248" s="4"/>
      <c r="B248" s="29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29"/>
      <c r="N248" s="29"/>
      <c r="O248" s="29"/>
      <c r="P248" s="32"/>
      <c r="Q248" s="32"/>
      <c r="R248" s="4"/>
      <c r="S248" s="4"/>
      <c r="T248" s="4"/>
      <c r="U248" s="4"/>
      <c r="V248" s="4"/>
      <c r="W248" s="4"/>
      <c r="X248" s="4"/>
    </row>
    <row x14ac:dyDescent="0.25" r="249" customHeight="1" ht="12.75">
      <c r="A249" s="4"/>
      <c r="B249" s="29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29"/>
      <c r="N249" s="29"/>
      <c r="O249" s="29"/>
      <c r="P249" s="32"/>
      <c r="Q249" s="32"/>
      <c r="R249" s="4"/>
      <c r="S249" s="4"/>
      <c r="T249" s="4"/>
      <c r="U249" s="4"/>
      <c r="V249" s="4"/>
      <c r="W249" s="4"/>
      <c r="X249" s="4"/>
    </row>
    <row x14ac:dyDescent="0.25" r="250" customHeight="1" ht="12.75">
      <c r="A250" s="4"/>
      <c r="B250" s="29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29"/>
      <c r="N250" s="29"/>
      <c r="O250" s="29"/>
      <c r="P250" s="32"/>
      <c r="Q250" s="32"/>
      <c r="R250" s="4"/>
      <c r="S250" s="4"/>
      <c r="T250" s="4"/>
      <c r="U250" s="4"/>
      <c r="V250" s="4"/>
      <c r="W250" s="4"/>
      <c r="X250" s="4"/>
    </row>
    <row x14ac:dyDescent="0.25" r="251" customHeight="1" ht="12.75">
      <c r="A251" s="4"/>
      <c r="B251" s="29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29"/>
      <c r="N251" s="29"/>
      <c r="O251" s="29"/>
      <c r="P251" s="32"/>
      <c r="Q251" s="32"/>
      <c r="R251" s="4"/>
      <c r="S251" s="4"/>
      <c r="T251" s="4"/>
      <c r="U251" s="4"/>
      <c r="V251" s="4"/>
      <c r="W251" s="4"/>
      <c r="X251" s="4"/>
    </row>
    <row x14ac:dyDescent="0.25" r="252" customHeight="1" ht="12.75">
      <c r="A252" s="4"/>
      <c r="B252" s="29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29"/>
      <c r="N252" s="29"/>
      <c r="O252" s="29"/>
      <c r="P252" s="32"/>
      <c r="Q252" s="32"/>
      <c r="R252" s="4"/>
      <c r="S252" s="4"/>
      <c r="T252" s="4"/>
      <c r="U252" s="4"/>
      <c r="V252" s="4"/>
      <c r="W252" s="4"/>
      <c r="X252" s="4"/>
    </row>
    <row x14ac:dyDescent="0.25" r="253" customHeight="1" ht="12.75">
      <c r="A253" s="4"/>
      <c r="B253" s="29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29"/>
      <c r="N253" s="29"/>
      <c r="O253" s="29"/>
      <c r="P253" s="32"/>
      <c r="Q253" s="32"/>
      <c r="R253" s="4"/>
      <c r="S253" s="4"/>
      <c r="T253" s="4"/>
      <c r="U253" s="4"/>
      <c r="V253" s="4"/>
      <c r="W253" s="4"/>
      <c r="X253" s="4"/>
    </row>
    <row x14ac:dyDescent="0.25" r="254" customHeight="1" ht="12.75">
      <c r="A254" s="4"/>
      <c r="B254" s="29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29"/>
      <c r="N254" s="29"/>
      <c r="O254" s="29"/>
      <c r="P254" s="32"/>
      <c r="Q254" s="32"/>
      <c r="R254" s="4"/>
      <c r="S254" s="4"/>
      <c r="T254" s="4"/>
      <c r="U254" s="4"/>
      <c r="V254" s="4"/>
      <c r="W254" s="4"/>
      <c r="X254" s="4"/>
    </row>
    <row x14ac:dyDescent="0.25" r="255" customHeight="1" ht="12.75">
      <c r="A255" s="4"/>
      <c r="B255" s="29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29"/>
      <c r="N255" s="29"/>
      <c r="O255" s="29"/>
      <c r="P255" s="32"/>
      <c r="Q255" s="32"/>
      <c r="R255" s="4"/>
      <c r="S255" s="4"/>
      <c r="T255" s="4"/>
      <c r="U255" s="4"/>
      <c r="V255" s="4"/>
      <c r="W255" s="4"/>
      <c r="X255" s="4"/>
    </row>
    <row x14ac:dyDescent="0.25" r="256" customHeight="1" ht="12.75">
      <c r="A256" s="4"/>
      <c r="B256" s="29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29"/>
      <c r="N256" s="29"/>
      <c r="O256" s="29"/>
      <c r="P256" s="32"/>
      <c r="Q256" s="32"/>
      <c r="R256" s="4"/>
      <c r="S256" s="4"/>
      <c r="T256" s="4"/>
      <c r="U256" s="4"/>
      <c r="V256" s="4"/>
      <c r="W256" s="4"/>
      <c r="X256" s="4"/>
    </row>
    <row x14ac:dyDescent="0.25" r="257" customHeight="1" ht="12.75">
      <c r="A257" s="4"/>
      <c r="B257" s="29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29"/>
      <c r="N257" s="29"/>
      <c r="O257" s="29"/>
      <c r="P257" s="32"/>
      <c r="Q257" s="32"/>
      <c r="R257" s="4"/>
      <c r="S257" s="4"/>
      <c r="T257" s="4"/>
      <c r="U257" s="4"/>
      <c r="V257" s="4"/>
      <c r="W257" s="4"/>
      <c r="X257" s="4"/>
    </row>
    <row x14ac:dyDescent="0.25" r="258" customHeight="1" ht="12.75">
      <c r="A258" s="4"/>
      <c r="B258" s="29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29"/>
      <c r="N258" s="29"/>
      <c r="O258" s="29"/>
      <c r="P258" s="32"/>
      <c r="Q258" s="32"/>
      <c r="R258" s="4"/>
      <c r="S258" s="4"/>
      <c r="T258" s="4"/>
      <c r="U258" s="4"/>
      <c r="V258" s="4"/>
      <c r="W258" s="4"/>
      <c r="X258" s="4"/>
    </row>
    <row x14ac:dyDescent="0.25" r="259" customHeight="1" ht="12.75">
      <c r="A259" s="4"/>
      <c r="B259" s="29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29"/>
      <c r="N259" s="29"/>
      <c r="O259" s="29"/>
      <c r="P259" s="32"/>
      <c r="Q259" s="32"/>
      <c r="R259" s="4"/>
      <c r="S259" s="4"/>
      <c r="T259" s="4"/>
      <c r="U259" s="4"/>
      <c r="V259" s="4"/>
      <c r="W259" s="4"/>
      <c r="X259" s="4"/>
    </row>
    <row x14ac:dyDescent="0.25" r="260" customHeight="1" ht="12.75">
      <c r="A260" s="4"/>
      <c r="B260" s="29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29"/>
      <c r="N260" s="29"/>
      <c r="O260" s="29"/>
      <c r="P260" s="32"/>
      <c r="Q260" s="32"/>
      <c r="R260" s="4"/>
      <c r="S260" s="4"/>
      <c r="T260" s="4"/>
      <c r="U260" s="4"/>
      <c r="V260" s="4"/>
      <c r="W260" s="4"/>
      <c r="X260" s="4"/>
    </row>
    <row x14ac:dyDescent="0.25" r="261" customHeight="1" ht="12.75">
      <c r="A261" s="4"/>
      <c r="B261" s="29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29"/>
      <c r="N261" s="29"/>
      <c r="O261" s="29"/>
      <c r="P261" s="32"/>
      <c r="Q261" s="32"/>
      <c r="R261" s="4"/>
      <c r="S261" s="4"/>
      <c r="T261" s="4"/>
      <c r="U261" s="4"/>
      <c r="V261" s="4"/>
      <c r="W261" s="4"/>
      <c r="X261" s="4"/>
    </row>
    <row x14ac:dyDescent="0.25" r="262" customHeight="1" ht="12.75">
      <c r="A262" s="4"/>
      <c r="B262" s="29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29"/>
      <c r="N262" s="29"/>
      <c r="O262" s="29"/>
      <c r="P262" s="32"/>
      <c r="Q262" s="32"/>
      <c r="R262" s="4"/>
      <c r="S262" s="4"/>
      <c r="T262" s="4"/>
      <c r="U262" s="4"/>
      <c r="V262" s="4"/>
      <c r="W262" s="4"/>
      <c r="X262" s="4"/>
    </row>
    <row x14ac:dyDescent="0.25" r="263" customHeight="1" ht="12.75">
      <c r="A263" s="4"/>
      <c r="B263" s="29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29"/>
      <c r="N263" s="29"/>
      <c r="O263" s="29"/>
      <c r="P263" s="32"/>
      <c r="Q263" s="32"/>
      <c r="R263" s="4"/>
      <c r="S263" s="4"/>
      <c r="T263" s="4"/>
      <c r="U263" s="4"/>
      <c r="V263" s="4"/>
      <c r="W263" s="4"/>
      <c r="X263" s="4"/>
    </row>
    <row x14ac:dyDescent="0.25" r="264" customHeight="1" ht="12.75">
      <c r="A264" s="4"/>
      <c r="B264" s="29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29"/>
      <c r="N264" s="29"/>
      <c r="O264" s="29"/>
      <c r="P264" s="32"/>
      <c r="Q264" s="32"/>
      <c r="R264" s="4"/>
      <c r="S264" s="4"/>
      <c r="T264" s="4"/>
      <c r="U264" s="4"/>
      <c r="V264" s="4"/>
      <c r="W264" s="4"/>
      <c r="X264" s="4"/>
    </row>
    <row x14ac:dyDescent="0.25" r="265" customHeight="1" ht="12.75">
      <c r="A265" s="4"/>
      <c r="B265" s="29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29"/>
      <c r="N265" s="29"/>
      <c r="O265" s="29"/>
      <c r="P265" s="32"/>
      <c r="Q265" s="32"/>
      <c r="R265" s="4"/>
      <c r="S265" s="4"/>
      <c r="T265" s="4"/>
      <c r="U265" s="4"/>
      <c r="V265" s="4"/>
      <c r="W265" s="4"/>
      <c r="X265" s="4"/>
    </row>
    <row x14ac:dyDescent="0.25" r="266" customHeight="1" ht="12.75">
      <c r="A266" s="4"/>
      <c r="B266" s="29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29"/>
      <c r="N266" s="29"/>
      <c r="O266" s="29"/>
      <c r="P266" s="32"/>
      <c r="Q266" s="32"/>
      <c r="R266" s="4"/>
      <c r="S266" s="4"/>
      <c r="T266" s="4"/>
      <c r="U266" s="4"/>
      <c r="V266" s="4"/>
      <c r="W266" s="4"/>
      <c r="X266" s="4"/>
    </row>
    <row x14ac:dyDescent="0.25" r="267" customHeight="1" ht="12.75">
      <c r="A267" s="4"/>
      <c r="B267" s="29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29"/>
      <c r="N267" s="29"/>
      <c r="O267" s="29"/>
      <c r="P267" s="32"/>
      <c r="Q267" s="32"/>
      <c r="R267" s="4"/>
      <c r="S267" s="4"/>
      <c r="T267" s="4"/>
      <c r="U267" s="4"/>
      <c r="V267" s="4"/>
      <c r="W267" s="4"/>
      <c r="X267" s="4"/>
    </row>
    <row x14ac:dyDescent="0.25" r="268" customHeight="1" ht="12.75">
      <c r="A268" s="4"/>
      <c r="B268" s="29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29"/>
      <c r="N268" s="29"/>
      <c r="O268" s="29"/>
      <c r="P268" s="32"/>
      <c r="Q268" s="32"/>
      <c r="R268" s="4"/>
      <c r="S268" s="4"/>
      <c r="T268" s="4"/>
      <c r="U268" s="4"/>
      <c r="V268" s="4"/>
      <c r="W268" s="4"/>
      <c r="X268" s="4"/>
    </row>
    <row x14ac:dyDescent="0.25" r="269" customHeight="1" ht="12.75">
      <c r="A269" s="4"/>
      <c r="B269" s="29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29"/>
      <c r="N269" s="29"/>
      <c r="O269" s="29"/>
      <c r="P269" s="32"/>
      <c r="Q269" s="32"/>
      <c r="R269" s="4"/>
      <c r="S269" s="4"/>
      <c r="T269" s="4"/>
      <c r="U269" s="4"/>
      <c r="V269" s="4"/>
      <c r="W269" s="4"/>
      <c r="X269" s="4"/>
    </row>
    <row x14ac:dyDescent="0.25" r="270" customHeight="1" ht="12.75">
      <c r="A270" s="4"/>
      <c r="B270" s="29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29"/>
      <c r="N270" s="29"/>
      <c r="O270" s="29"/>
      <c r="P270" s="32"/>
      <c r="Q270" s="32"/>
      <c r="R270" s="4"/>
      <c r="S270" s="4"/>
      <c r="T270" s="4"/>
      <c r="U270" s="4"/>
      <c r="V270" s="4"/>
      <c r="W270" s="4"/>
      <c r="X270" s="4"/>
    </row>
    <row x14ac:dyDescent="0.25" r="271" customHeight="1" ht="12.75">
      <c r="A271" s="4"/>
      <c r="B271" s="29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29"/>
      <c r="N271" s="29"/>
      <c r="O271" s="29"/>
      <c r="P271" s="32"/>
      <c r="Q271" s="32"/>
      <c r="R271" s="4"/>
      <c r="S271" s="4"/>
      <c r="T271" s="4"/>
      <c r="U271" s="4"/>
      <c r="V271" s="4"/>
      <c r="W271" s="4"/>
      <c r="X271" s="4"/>
    </row>
    <row x14ac:dyDescent="0.25" r="272" customHeight="1" ht="12.75">
      <c r="A272" s="4"/>
      <c r="B272" s="29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29"/>
      <c r="N272" s="29"/>
      <c r="O272" s="29"/>
      <c r="P272" s="32"/>
      <c r="Q272" s="32"/>
      <c r="R272" s="4"/>
      <c r="S272" s="4"/>
      <c r="T272" s="4"/>
      <c r="U272" s="4"/>
      <c r="V272" s="4"/>
      <c r="W272" s="4"/>
      <c r="X272" s="4"/>
    </row>
    <row x14ac:dyDescent="0.25" r="273" customHeight="1" ht="12.75">
      <c r="A273" s="4"/>
      <c r="B273" s="29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29"/>
      <c r="N273" s="29"/>
      <c r="O273" s="29"/>
      <c r="P273" s="32"/>
      <c r="Q273" s="32"/>
      <c r="R273" s="4"/>
      <c r="S273" s="4"/>
      <c r="T273" s="4"/>
      <c r="U273" s="4"/>
      <c r="V273" s="4"/>
      <c r="W273" s="4"/>
      <c r="X273" s="4"/>
    </row>
    <row x14ac:dyDescent="0.25" r="274" customHeight="1" ht="12.75">
      <c r="A274" s="4"/>
      <c r="B274" s="29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29"/>
      <c r="N274" s="29"/>
      <c r="O274" s="29"/>
      <c r="P274" s="32"/>
      <c r="Q274" s="32"/>
      <c r="R274" s="4"/>
      <c r="S274" s="4"/>
      <c r="T274" s="4"/>
      <c r="U274" s="4"/>
      <c r="V274" s="4"/>
      <c r="W274" s="4"/>
      <c r="X274" s="4"/>
    </row>
    <row x14ac:dyDescent="0.25" r="275" customHeight="1" ht="12.75">
      <c r="A275" s="4"/>
      <c r="B275" s="29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29"/>
      <c r="N275" s="29"/>
      <c r="O275" s="29"/>
      <c r="P275" s="32"/>
      <c r="Q275" s="32"/>
      <c r="R275" s="4"/>
      <c r="S275" s="4"/>
      <c r="T275" s="4"/>
      <c r="U275" s="4"/>
      <c r="V275" s="4"/>
      <c r="W275" s="4"/>
      <c r="X275" s="4"/>
    </row>
    <row x14ac:dyDescent="0.25" r="276" customHeight="1" ht="12.75">
      <c r="A276" s="4"/>
      <c r="B276" s="29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29"/>
      <c r="N276" s="29"/>
      <c r="O276" s="29"/>
      <c r="P276" s="32"/>
      <c r="Q276" s="32"/>
      <c r="R276" s="4"/>
      <c r="S276" s="4"/>
      <c r="T276" s="4"/>
      <c r="U276" s="4"/>
      <c r="V276" s="4"/>
      <c r="W276" s="4"/>
      <c r="X276" s="4"/>
    </row>
    <row x14ac:dyDescent="0.25" r="277" customHeight="1" ht="12.75">
      <c r="A277" s="4"/>
      <c r="B277" s="29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29"/>
      <c r="N277" s="29"/>
      <c r="O277" s="29"/>
      <c r="P277" s="32"/>
      <c r="Q277" s="32"/>
      <c r="R277" s="4"/>
      <c r="S277" s="4"/>
      <c r="T277" s="4"/>
      <c r="U277" s="4"/>
      <c r="V277" s="4"/>
      <c r="W277" s="4"/>
      <c r="X277" s="4"/>
    </row>
    <row x14ac:dyDescent="0.25" r="278" customHeight="1" ht="12.75">
      <c r="A278" s="4"/>
      <c r="B278" s="29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29"/>
      <c r="N278" s="29"/>
      <c r="O278" s="29"/>
      <c r="P278" s="32"/>
      <c r="Q278" s="32"/>
      <c r="R278" s="4"/>
      <c r="S278" s="4"/>
      <c r="T278" s="4"/>
      <c r="U278" s="4"/>
      <c r="V278" s="4"/>
      <c r="W278" s="4"/>
      <c r="X278" s="4"/>
    </row>
    <row x14ac:dyDescent="0.25" r="279" customHeight="1" ht="12.75">
      <c r="A279" s="4"/>
      <c r="B279" s="29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29"/>
      <c r="N279" s="29"/>
      <c r="O279" s="29"/>
      <c r="P279" s="32"/>
      <c r="Q279" s="32"/>
      <c r="R279" s="4"/>
      <c r="S279" s="4"/>
      <c r="T279" s="4"/>
      <c r="U279" s="4"/>
      <c r="V279" s="4"/>
      <c r="W279" s="4"/>
      <c r="X279" s="4"/>
    </row>
    <row x14ac:dyDescent="0.25" r="280" customHeight="1" ht="12.75">
      <c r="A280" s="4"/>
      <c r="B280" s="29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29"/>
      <c r="N280" s="29"/>
      <c r="O280" s="29"/>
      <c r="P280" s="32"/>
      <c r="Q280" s="32"/>
      <c r="R280" s="4"/>
      <c r="S280" s="4"/>
      <c r="T280" s="4"/>
      <c r="U280" s="4"/>
      <c r="V280" s="4"/>
      <c r="W280" s="4"/>
      <c r="X280" s="4"/>
    </row>
    <row x14ac:dyDescent="0.25" r="281" customHeight="1" ht="12.75">
      <c r="A281" s="4"/>
      <c r="B281" s="29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29"/>
      <c r="N281" s="29"/>
      <c r="O281" s="29"/>
      <c r="P281" s="32"/>
      <c r="Q281" s="32"/>
      <c r="R281" s="4"/>
      <c r="S281" s="4"/>
      <c r="T281" s="4"/>
      <c r="U281" s="4"/>
      <c r="V281" s="4"/>
      <c r="W281" s="4"/>
      <c r="X281" s="4"/>
    </row>
    <row x14ac:dyDescent="0.25" r="282" customHeight="1" ht="12.75">
      <c r="A282" s="4"/>
      <c r="B282" s="29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29"/>
      <c r="N282" s="29"/>
      <c r="O282" s="29"/>
      <c r="P282" s="32"/>
      <c r="Q282" s="32"/>
      <c r="R282" s="4"/>
      <c r="S282" s="4"/>
      <c r="T282" s="4"/>
      <c r="U282" s="4"/>
      <c r="V282" s="4"/>
      <c r="W282" s="4"/>
      <c r="X282" s="4"/>
    </row>
    <row x14ac:dyDescent="0.25" r="283" customHeight="1" ht="12.75">
      <c r="A283" s="4"/>
      <c r="B283" s="29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29"/>
      <c r="N283" s="29"/>
      <c r="O283" s="29"/>
      <c r="P283" s="32"/>
      <c r="Q283" s="32"/>
      <c r="R283" s="4"/>
      <c r="S283" s="4"/>
      <c r="T283" s="4"/>
      <c r="U283" s="4"/>
      <c r="V283" s="4"/>
      <c r="W283" s="4"/>
      <c r="X283" s="4"/>
    </row>
    <row x14ac:dyDescent="0.25" r="284" customHeight="1" ht="12.75">
      <c r="A284" s="4"/>
      <c r="B284" s="29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29"/>
      <c r="N284" s="29"/>
      <c r="O284" s="29"/>
      <c r="P284" s="32"/>
      <c r="Q284" s="32"/>
      <c r="R284" s="4"/>
      <c r="S284" s="4"/>
      <c r="T284" s="4"/>
      <c r="U284" s="4"/>
      <c r="V284" s="4"/>
      <c r="W284" s="4"/>
      <c r="X284" s="4"/>
    </row>
    <row x14ac:dyDescent="0.25" r="285" customHeight="1" ht="12.75">
      <c r="A285" s="4"/>
      <c r="B285" s="29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29"/>
      <c r="N285" s="29"/>
      <c r="O285" s="29"/>
      <c r="P285" s="32"/>
      <c r="Q285" s="32"/>
      <c r="R285" s="4"/>
      <c r="S285" s="4"/>
      <c r="T285" s="4"/>
      <c r="U285" s="4"/>
      <c r="V285" s="4"/>
      <c r="W285" s="4"/>
      <c r="X285" s="4"/>
    </row>
    <row x14ac:dyDescent="0.25" r="286" customHeight="1" ht="12.75">
      <c r="A286" s="4"/>
      <c r="B286" s="29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29"/>
      <c r="N286" s="29"/>
      <c r="O286" s="29"/>
      <c r="P286" s="32"/>
      <c r="Q286" s="32"/>
      <c r="R286" s="4"/>
      <c r="S286" s="4"/>
      <c r="T286" s="4"/>
      <c r="U286" s="4"/>
      <c r="V286" s="4"/>
      <c r="W286" s="4"/>
      <c r="X286" s="4"/>
    </row>
    <row x14ac:dyDescent="0.25" r="287" customHeight="1" ht="12.75">
      <c r="A287" s="4"/>
      <c r="B287" s="29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29"/>
      <c r="N287" s="29"/>
      <c r="O287" s="29"/>
      <c r="P287" s="32"/>
      <c r="Q287" s="32"/>
      <c r="R287" s="4"/>
      <c r="S287" s="4"/>
      <c r="T287" s="4"/>
      <c r="U287" s="4"/>
      <c r="V287" s="4"/>
      <c r="W287" s="4"/>
      <c r="X287" s="4"/>
    </row>
    <row x14ac:dyDescent="0.25" r="288" customHeight="1" ht="12.75">
      <c r="A288" s="4"/>
      <c r="B288" s="29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29"/>
      <c r="N288" s="29"/>
      <c r="O288" s="29"/>
      <c r="P288" s="32"/>
      <c r="Q288" s="32"/>
      <c r="R288" s="4"/>
      <c r="S288" s="4"/>
      <c r="T288" s="4"/>
      <c r="U288" s="4"/>
      <c r="V288" s="4"/>
      <c r="W288" s="4"/>
      <c r="X288" s="4"/>
    </row>
    <row x14ac:dyDescent="0.25" r="289" customHeight="1" ht="12.75">
      <c r="A289" s="4"/>
      <c r="B289" s="29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29"/>
      <c r="N289" s="29"/>
      <c r="O289" s="29"/>
      <c r="P289" s="32"/>
      <c r="Q289" s="32"/>
      <c r="R289" s="4"/>
      <c r="S289" s="4"/>
      <c r="T289" s="4"/>
      <c r="U289" s="4"/>
      <c r="V289" s="4"/>
      <c r="W289" s="4"/>
      <c r="X289" s="4"/>
    </row>
    <row x14ac:dyDescent="0.25" r="290" customHeight="1" ht="12.75">
      <c r="A290" s="4"/>
      <c r="B290" s="29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29"/>
      <c r="N290" s="29"/>
      <c r="O290" s="29"/>
      <c r="P290" s="32"/>
      <c r="Q290" s="32"/>
      <c r="R290" s="4"/>
      <c r="S290" s="4"/>
      <c r="T290" s="4"/>
      <c r="U290" s="4"/>
      <c r="V290" s="4"/>
      <c r="W290" s="4"/>
      <c r="X290" s="4"/>
    </row>
    <row x14ac:dyDescent="0.25" r="291" customHeight="1" ht="12.75">
      <c r="A291" s="4"/>
      <c r="B291" s="29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29"/>
      <c r="N291" s="29"/>
      <c r="O291" s="29"/>
      <c r="P291" s="32"/>
      <c r="Q291" s="32"/>
      <c r="R291" s="4"/>
      <c r="S291" s="4"/>
      <c r="T291" s="4"/>
      <c r="U291" s="4"/>
      <c r="V291" s="4"/>
      <c r="W291" s="4"/>
      <c r="X291" s="4"/>
    </row>
    <row x14ac:dyDescent="0.25" r="292" customHeight="1" ht="12.75">
      <c r="A292" s="4"/>
      <c r="B292" s="29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29"/>
      <c r="N292" s="29"/>
      <c r="O292" s="29"/>
      <c r="P292" s="32"/>
      <c r="Q292" s="32"/>
      <c r="R292" s="4"/>
      <c r="S292" s="4"/>
      <c r="T292" s="4"/>
      <c r="U292" s="4"/>
      <c r="V292" s="4"/>
      <c r="W292" s="4"/>
      <c r="X292" s="4"/>
    </row>
    <row x14ac:dyDescent="0.25" r="293" customHeight="1" ht="12.75">
      <c r="A293" s="4"/>
      <c r="B293" s="29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29"/>
      <c r="N293" s="29"/>
      <c r="O293" s="29"/>
      <c r="P293" s="32"/>
      <c r="Q293" s="32"/>
      <c r="R293" s="4"/>
      <c r="S293" s="4"/>
      <c r="T293" s="4"/>
      <c r="U293" s="4"/>
      <c r="V293" s="4"/>
      <c r="W293" s="4"/>
      <c r="X293" s="4"/>
    </row>
    <row x14ac:dyDescent="0.25" r="294" customHeight="1" ht="12.75">
      <c r="A294" s="4"/>
      <c r="B294" s="29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29"/>
      <c r="N294" s="29"/>
      <c r="O294" s="29"/>
      <c r="P294" s="32"/>
      <c r="Q294" s="32"/>
      <c r="R294" s="4"/>
      <c r="S294" s="4"/>
      <c r="T294" s="4"/>
      <c r="U294" s="4"/>
      <c r="V294" s="4"/>
      <c r="W294" s="4"/>
      <c r="X294" s="4"/>
    </row>
    <row x14ac:dyDescent="0.25" r="295" customHeight="1" ht="12.75">
      <c r="A295" s="4"/>
      <c r="B295" s="29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29"/>
      <c r="N295" s="29"/>
      <c r="O295" s="29"/>
      <c r="P295" s="32"/>
      <c r="Q295" s="32"/>
      <c r="R295" s="4"/>
      <c r="S295" s="4"/>
      <c r="T295" s="4"/>
      <c r="U295" s="4"/>
      <c r="V295" s="4"/>
      <c r="W295" s="4"/>
      <c r="X295" s="4"/>
    </row>
    <row x14ac:dyDescent="0.25" r="296" customHeight="1" ht="12.75">
      <c r="A296" s="4"/>
      <c r="B296" s="29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29"/>
      <c r="N296" s="29"/>
      <c r="O296" s="29"/>
      <c r="P296" s="32"/>
      <c r="Q296" s="32"/>
      <c r="R296" s="4"/>
      <c r="S296" s="4"/>
      <c r="T296" s="4"/>
      <c r="U296" s="4"/>
      <c r="V296" s="4"/>
      <c r="W296" s="4"/>
      <c r="X296" s="4"/>
    </row>
    <row x14ac:dyDescent="0.25" r="297" customHeight="1" ht="12.75">
      <c r="A297" s="4"/>
      <c r="B297" s="29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29"/>
      <c r="N297" s="29"/>
      <c r="O297" s="29"/>
      <c r="P297" s="32"/>
      <c r="Q297" s="32"/>
      <c r="R297" s="4"/>
      <c r="S297" s="4"/>
      <c r="T297" s="4"/>
      <c r="U297" s="4"/>
      <c r="V297" s="4"/>
      <c r="W297" s="4"/>
      <c r="X297" s="4"/>
    </row>
    <row x14ac:dyDescent="0.25" r="298" customHeight="1" ht="12.75">
      <c r="A298" s="4"/>
      <c r="B298" s="29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29"/>
      <c r="N298" s="29"/>
      <c r="O298" s="29"/>
      <c r="P298" s="32"/>
      <c r="Q298" s="32"/>
      <c r="R298" s="4"/>
      <c r="S298" s="4"/>
      <c r="T298" s="4"/>
      <c r="U298" s="4"/>
      <c r="V298" s="4"/>
      <c r="W298" s="4"/>
      <c r="X298" s="4"/>
    </row>
    <row x14ac:dyDescent="0.25" r="299" customHeight="1" ht="12.75">
      <c r="A299" s="4"/>
      <c r="B299" s="29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29"/>
      <c r="N299" s="29"/>
      <c r="O299" s="29"/>
      <c r="P299" s="32"/>
      <c r="Q299" s="32"/>
      <c r="R299" s="4"/>
      <c r="S299" s="4"/>
      <c r="T299" s="4"/>
      <c r="U299" s="4"/>
      <c r="V299" s="4"/>
      <c r="W299" s="4"/>
      <c r="X299" s="4"/>
    </row>
    <row x14ac:dyDescent="0.25" r="300" customHeight="1" ht="12.75">
      <c r="A300" s="4"/>
      <c r="B300" s="29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29"/>
      <c r="N300" s="29"/>
      <c r="O300" s="29"/>
      <c r="P300" s="32"/>
      <c r="Q300" s="32"/>
      <c r="R300" s="4"/>
      <c r="S300" s="4"/>
      <c r="T300" s="4"/>
      <c r="U300" s="4"/>
      <c r="V300" s="4"/>
      <c r="W300" s="4"/>
      <c r="X300" s="4"/>
    </row>
    <row x14ac:dyDescent="0.25" r="301" customHeight="1" ht="12.75">
      <c r="A301" s="4"/>
      <c r="B301" s="29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29"/>
      <c r="N301" s="29"/>
      <c r="O301" s="29"/>
      <c r="P301" s="32"/>
      <c r="Q301" s="32"/>
      <c r="R301" s="4"/>
      <c r="S301" s="4"/>
      <c r="T301" s="4"/>
      <c r="U301" s="4"/>
      <c r="V301" s="4"/>
      <c r="W301" s="4"/>
      <c r="X301" s="4"/>
    </row>
    <row x14ac:dyDescent="0.25" r="302" customHeight="1" ht="12.75">
      <c r="A302" s="4"/>
      <c r="B302" s="29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29"/>
      <c r="N302" s="29"/>
      <c r="O302" s="29"/>
      <c r="P302" s="32"/>
      <c r="Q302" s="32"/>
      <c r="R302" s="4"/>
      <c r="S302" s="4"/>
      <c r="T302" s="4"/>
      <c r="U302" s="4"/>
      <c r="V302" s="4"/>
      <c r="W302" s="4"/>
      <c r="X302" s="4"/>
    </row>
    <row x14ac:dyDescent="0.25" r="303" customHeight="1" ht="12.75">
      <c r="A303" s="4"/>
      <c r="B303" s="29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29"/>
      <c r="N303" s="29"/>
      <c r="O303" s="29"/>
      <c r="P303" s="32"/>
      <c r="Q303" s="32"/>
      <c r="R303" s="4"/>
      <c r="S303" s="4"/>
      <c r="T303" s="4"/>
      <c r="U303" s="4"/>
      <c r="V303" s="4"/>
      <c r="W303" s="4"/>
      <c r="X303" s="4"/>
    </row>
    <row x14ac:dyDescent="0.25" r="304" customHeight="1" ht="12.75">
      <c r="A304" s="4"/>
      <c r="B304" s="29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29"/>
      <c r="N304" s="29"/>
      <c r="O304" s="29"/>
      <c r="P304" s="32"/>
      <c r="Q304" s="32"/>
      <c r="R304" s="4"/>
      <c r="S304" s="4"/>
      <c r="T304" s="4"/>
      <c r="U304" s="4"/>
      <c r="V304" s="4"/>
      <c r="W304" s="4"/>
      <c r="X304" s="4"/>
    </row>
    <row x14ac:dyDescent="0.25" r="305" customHeight="1" ht="12.75">
      <c r="A305" s="4"/>
      <c r="B305" s="29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29"/>
      <c r="N305" s="29"/>
      <c r="O305" s="29"/>
      <c r="P305" s="32"/>
      <c r="Q305" s="32"/>
      <c r="R305" s="4"/>
      <c r="S305" s="4"/>
      <c r="T305" s="4"/>
      <c r="U305" s="4"/>
      <c r="V305" s="4"/>
      <c r="W305" s="4"/>
      <c r="X305" s="4"/>
    </row>
    <row x14ac:dyDescent="0.25" r="306" customHeight="1" ht="12.75">
      <c r="A306" s="4"/>
      <c r="B306" s="29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29"/>
      <c r="N306" s="29"/>
      <c r="O306" s="29"/>
      <c r="P306" s="32"/>
      <c r="Q306" s="32"/>
      <c r="R306" s="4"/>
      <c r="S306" s="4"/>
      <c r="T306" s="4"/>
      <c r="U306" s="4"/>
      <c r="V306" s="4"/>
      <c r="W306" s="4"/>
      <c r="X306" s="4"/>
    </row>
    <row x14ac:dyDescent="0.25" r="307" customHeight="1" ht="12.75">
      <c r="A307" s="4"/>
      <c r="B307" s="29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29"/>
      <c r="N307" s="29"/>
      <c r="O307" s="29"/>
      <c r="P307" s="32"/>
      <c r="Q307" s="32"/>
      <c r="R307" s="4"/>
      <c r="S307" s="4"/>
      <c r="T307" s="4"/>
      <c r="U307" s="4"/>
      <c r="V307" s="4"/>
      <c r="W307" s="4"/>
      <c r="X307" s="4"/>
    </row>
    <row x14ac:dyDescent="0.25" r="308" customHeight="1" ht="12.75">
      <c r="A308" s="4"/>
      <c r="B308" s="29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29"/>
      <c r="N308" s="29"/>
      <c r="O308" s="29"/>
      <c r="P308" s="32"/>
      <c r="Q308" s="32"/>
      <c r="R308" s="4"/>
      <c r="S308" s="4"/>
      <c r="T308" s="4"/>
      <c r="U308" s="4"/>
      <c r="V308" s="4"/>
      <c r="W308" s="4"/>
      <c r="X308" s="4"/>
    </row>
    <row x14ac:dyDescent="0.25" r="309" customHeight="1" ht="12.75">
      <c r="A309" s="4"/>
      <c r="B309" s="29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29"/>
      <c r="N309" s="29"/>
      <c r="O309" s="29"/>
      <c r="P309" s="32"/>
      <c r="Q309" s="32"/>
      <c r="R309" s="4"/>
      <c r="S309" s="4"/>
      <c r="T309" s="4"/>
      <c r="U309" s="4"/>
      <c r="V309" s="4"/>
      <c r="W309" s="4"/>
      <c r="X309" s="4"/>
    </row>
    <row x14ac:dyDescent="0.25" r="310" customHeight="1" ht="12.75">
      <c r="A310" s="4"/>
      <c r="B310" s="29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29"/>
      <c r="N310" s="29"/>
      <c r="O310" s="29"/>
      <c r="P310" s="32"/>
      <c r="Q310" s="32"/>
      <c r="R310" s="4"/>
      <c r="S310" s="4"/>
      <c r="T310" s="4"/>
      <c r="U310" s="4"/>
      <c r="V310" s="4"/>
      <c r="W310" s="4"/>
      <c r="X310" s="4"/>
    </row>
    <row x14ac:dyDescent="0.25" r="311" customHeight="1" ht="12.75">
      <c r="A311" s="4"/>
      <c r="B311" s="29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29"/>
      <c r="N311" s="29"/>
      <c r="O311" s="29"/>
      <c r="P311" s="32"/>
      <c r="Q311" s="32"/>
      <c r="R311" s="4"/>
      <c r="S311" s="4"/>
      <c r="T311" s="4"/>
      <c r="U311" s="4"/>
      <c r="V311" s="4"/>
      <c r="W311" s="4"/>
      <c r="X311" s="4"/>
    </row>
    <row x14ac:dyDescent="0.25" r="312" customHeight="1" ht="12.75">
      <c r="A312" s="4"/>
      <c r="B312" s="29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29"/>
      <c r="N312" s="29"/>
      <c r="O312" s="29"/>
      <c r="P312" s="32"/>
      <c r="Q312" s="32"/>
      <c r="R312" s="4"/>
      <c r="S312" s="4"/>
      <c r="T312" s="4"/>
      <c r="U312" s="4"/>
      <c r="V312" s="4"/>
      <c r="W312" s="4"/>
      <c r="X312" s="4"/>
    </row>
    <row x14ac:dyDescent="0.25" r="313" customHeight="1" ht="12.75">
      <c r="A313" s="4"/>
      <c r="B313" s="29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29"/>
      <c r="N313" s="29"/>
      <c r="O313" s="29"/>
      <c r="P313" s="32"/>
      <c r="Q313" s="32"/>
      <c r="R313" s="4"/>
      <c r="S313" s="4"/>
      <c r="T313" s="4"/>
      <c r="U313" s="4"/>
      <c r="V313" s="4"/>
      <c r="W313" s="4"/>
      <c r="X313" s="4"/>
    </row>
    <row x14ac:dyDescent="0.25" r="314" customHeight="1" ht="12.75">
      <c r="A314" s="4"/>
      <c r="B314" s="29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29"/>
      <c r="N314" s="29"/>
      <c r="O314" s="29"/>
      <c r="P314" s="32"/>
      <c r="Q314" s="32"/>
      <c r="R314" s="4"/>
      <c r="S314" s="4"/>
      <c r="T314" s="4"/>
      <c r="U314" s="4"/>
      <c r="V314" s="4"/>
      <c r="W314" s="4"/>
      <c r="X314" s="4"/>
    </row>
    <row x14ac:dyDescent="0.25" r="315" customHeight="1" ht="12.75">
      <c r="A315" s="4"/>
      <c r="B315" s="29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29"/>
      <c r="N315" s="29"/>
      <c r="O315" s="29"/>
      <c r="P315" s="32"/>
      <c r="Q315" s="32"/>
      <c r="R315" s="4"/>
      <c r="S315" s="4"/>
      <c r="T315" s="4"/>
      <c r="U315" s="4"/>
      <c r="V315" s="4"/>
      <c r="W315" s="4"/>
      <c r="X315" s="4"/>
    </row>
    <row x14ac:dyDescent="0.25" r="316" customHeight="1" ht="12.75">
      <c r="A316" s="4"/>
      <c r="B316" s="29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29"/>
      <c r="N316" s="29"/>
      <c r="O316" s="29"/>
      <c r="P316" s="32"/>
      <c r="Q316" s="32"/>
      <c r="R316" s="4"/>
      <c r="S316" s="4"/>
      <c r="T316" s="4"/>
      <c r="U316" s="4"/>
      <c r="V316" s="4"/>
      <c r="W316" s="4"/>
      <c r="X316" s="4"/>
    </row>
    <row x14ac:dyDescent="0.25" r="317" customHeight="1" ht="12.75">
      <c r="A317" s="4"/>
      <c r="B317" s="29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29"/>
      <c r="N317" s="29"/>
      <c r="O317" s="29"/>
      <c r="P317" s="32"/>
      <c r="Q317" s="32"/>
      <c r="R317" s="4"/>
      <c r="S317" s="4"/>
      <c r="T317" s="4"/>
      <c r="U317" s="4"/>
      <c r="V317" s="4"/>
      <c r="W317" s="4"/>
      <c r="X317" s="4"/>
    </row>
    <row x14ac:dyDescent="0.25" r="318" customHeight="1" ht="12.75">
      <c r="A318" s="4"/>
      <c r="B318" s="29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29"/>
      <c r="N318" s="29"/>
      <c r="O318" s="29"/>
      <c r="P318" s="32"/>
      <c r="Q318" s="32"/>
      <c r="R318" s="4"/>
      <c r="S318" s="4"/>
      <c r="T318" s="4"/>
      <c r="U318" s="4"/>
      <c r="V318" s="4"/>
      <c r="W318" s="4"/>
      <c r="X318" s="4"/>
    </row>
    <row x14ac:dyDescent="0.25" r="319" customHeight="1" ht="12.75">
      <c r="A319" s="4"/>
      <c r="B319" s="29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29"/>
      <c r="N319" s="29"/>
      <c r="O319" s="29"/>
      <c r="P319" s="32"/>
      <c r="Q319" s="32"/>
      <c r="R319" s="4"/>
      <c r="S319" s="4"/>
      <c r="T319" s="4"/>
      <c r="U319" s="4"/>
      <c r="V319" s="4"/>
      <c r="W319" s="4"/>
      <c r="X319" s="4"/>
    </row>
    <row x14ac:dyDescent="0.25" r="320" customHeight="1" ht="12.75">
      <c r="A320" s="4"/>
      <c r="B320" s="29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29"/>
      <c r="N320" s="29"/>
      <c r="O320" s="29"/>
      <c r="P320" s="32"/>
      <c r="Q320" s="32"/>
      <c r="R320" s="4"/>
      <c r="S320" s="4"/>
      <c r="T320" s="4"/>
      <c r="U320" s="4"/>
      <c r="V320" s="4"/>
      <c r="W320" s="4"/>
      <c r="X320" s="4"/>
    </row>
    <row x14ac:dyDescent="0.25" r="321" customHeight="1" ht="12.75">
      <c r="A321" s="4"/>
      <c r="B321" s="29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29"/>
      <c r="N321" s="29"/>
      <c r="O321" s="29"/>
      <c r="P321" s="32"/>
      <c r="Q321" s="32"/>
      <c r="R321" s="4"/>
      <c r="S321" s="4"/>
      <c r="T321" s="4"/>
      <c r="U321" s="4"/>
      <c r="V321" s="4"/>
      <c r="W321" s="4"/>
      <c r="X321" s="4"/>
    </row>
    <row x14ac:dyDescent="0.25" r="322" customHeight="1" ht="12.75">
      <c r="A322" s="4"/>
      <c r="B322" s="29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29"/>
      <c r="N322" s="29"/>
      <c r="O322" s="29"/>
      <c r="P322" s="32"/>
      <c r="Q322" s="32"/>
      <c r="R322" s="4"/>
      <c r="S322" s="4"/>
      <c r="T322" s="4"/>
      <c r="U322" s="4"/>
      <c r="V322" s="4"/>
      <c r="W322" s="4"/>
      <c r="X322" s="4"/>
    </row>
    <row x14ac:dyDescent="0.25" r="323" customHeight="1" ht="12.75">
      <c r="A323" s="4"/>
      <c r="B323" s="29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29"/>
      <c r="N323" s="29"/>
      <c r="O323" s="29"/>
      <c r="P323" s="32"/>
      <c r="Q323" s="32"/>
      <c r="R323" s="4"/>
      <c r="S323" s="4"/>
      <c r="T323" s="4"/>
      <c r="U323" s="4"/>
      <c r="V323" s="4"/>
      <c r="W323" s="4"/>
      <c r="X323" s="4"/>
    </row>
    <row x14ac:dyDescent="0.25" r="324" customHeight="1" ht="12.75">
      <c r="A324" s="4"/>
      <c r="B324" s="29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29"/>
      <c r="N324" s="29"/>
      <c r="O324" s="29"/>
      <c r="P324" s="32"/>
      <c r="Q324" s="32"/>
      <c r="R324" s="4"/>
      <c r="S324" s="4"/>
      <c r="T324" s="4"/>
      <c r="U324" s="4"/>
      <c r="V324" s="4"/>
      <c r="W324" s="4"/>
      <c r="X324" s="4"/>
    </row>
    <row x14ac:dyDescent="0.25" r="325" customHeight="1" ht="12.75">
      <c r="A325" s="4"/>
      <c r="B325" s="29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29"/>
      <c r="N325" s="29"/>
      <c r="O325" s="29"/>
      <c r="P325" s="32"/>
      <c r="Q325" s="32"/>
      <c r="R325" s="4"/>
      <c r="S325" s="4"/>
      <c r="T325" s="4"/>
      <c r="U325" s="4"/>
      <c r="V325" s="4"/>
      <c r="W325" s="4"/>
      <c r="X325" s="4"/>
    </row>
    <row x14ac:dyDescent="0.25" r="326" customHeight="1" ht="12.75">
      <c r="A326" s="4"/>
      <c r="B326" s="29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29"/>
      <c r="N326" s="29"/>
      <c r="O326" s="29"/>
      <c r="P326" s="32"/>
      <c r="Q326" s="32"/>
      <c r="R326" s="4"/>
      <c r="S326" s="4"/>
      <c r="T326" s="4"/>
      <c r="U326" s="4"/>
      <c r="V326" s="4"/>
      <c r="W326" s="4"/>
      <c r="X326" s="4"/>
    </row>
    <row x14ac:dyDescent="0.25" r="327" customHeight="1" ht="12.75">
      <c r="A327" s="4"/>
      <c r="B327" s="29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29"/>
      <c r="N327" s="29"/>
      <c r="O327" s="29"/>
      <c r="P327" s="32"/>
      <c r="Q327" s="32"/>
      <c r="R327" s="4"/>
      <c r="S327" s="4"/>
      <c r="T327" s="4"/>
      <c r="U327" s="4"/>
      <c r="V327" s="4"/>
      <c r="W327" s="4"/>
      <c r="X327" s="4"/>
    </row>
    <row x14ac:dyDescent="0.25" r="328" customHeight="1" ht="12.75">
      <c r="A328" s="4"/>
      <c r="B328" s="29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29"/>
      <c r="N328" s="29"/>
      <c r="O328" s="29"/>
      <c r="P328" s="32"/>
      <c r="Q328" s="32"/>
      <c r="R328" s="4"/>
      <c r="S328" s="4"/>
      <c r="T328" s="4"/>
      <c r="U328" s="4"/>
      <c r="V328" s="4"/>
      <c r="W328" s="4"/>
      <c r="X328" s="4"/>
    </row>
    <row x14ac:dyDescent="0.25" r="329" customHeight="1" ht="12.75">
      <c r="A329" s="4"/>
      <c r="B329" s="29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29"/>
      <c r="N329" s="29"/>
      <c r="O329" s="29"/>
      <c r="P329" s="32"/>
      <c r="Q329" s="32"/>
      <c r="R329" s="4"/>
      <c r="S329" s="4"/>
      <c r="T329" s="4"/>
      <c r="U329" s="4"/>
      <c r="V329" s="4"/>
      <c r="W329" s="4"/>
      <c r="X329" s="4"/>
    </row>
    <row x14ac:dyDescent="0.25" r="330" customHeight="1" ht="12.75">
      <c r="A330" s="4"/>
      <c r="B330" s="29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29"/>
      <c r="N330" s="29"/>
      <c r="O330" s="29"/>
      <c r="P330" s="32"/>
      <c r="Q330" s="32"/>
      <c r="R330" s="4"/>
      <c r="S330" s="4"/>
      <c r="T330" s="4"/>
      <c r="U330" s="4"/>
      <c r="V330" s="4"/>
      <c r="W330" s="4"/>
      <c r="X330" s="4"/>
    </row>
    <row x14ac:dyDescent="0.25" r="331" customHeight="1" ht="12.75">
      <c r="A331" s="4"/>
      <c r="B331" s="29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29"/>
      <c r="N331" s="29"/>
      <c r="O331" s="29"/>
      <c r="P331" s="32"/>
      <c r="Q331" s="32"/>
      <c r="R331" s="4"/>
      <c r="S331" s="4"/>
      <c r="T331" s="4"/>
      <c r="U331" s="4"/>
      <c r="V331" s="4"/>
      <c r="W331" s="4"/>
      <c r="X331" s="4"/>
    </row>
    <row x14ac:dyDescent="0.25" r="332" customHeight="1" ht="12.75">
      <c r="A332" s="4"/>
      <c r="B332" s="29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29"/>
      <c r="N332" s="29"/>
      <c r="O332" s="29"/>
      <c r="P332" s="32"/>
      <c r="Q332" s="32"/>
      <c r="R332" s="4"/>
      <c r="S332" s="4"/>
      <c r="T332" s="4"/>
      <c r="U332" s="4"/>
      <c r="V332" s="4"/>
      <c r="W332" s="4"/>
      <c r="X332" s="4"/>
    </row>
    <row x14ac:dyDescent="0.25" r="333" customHeight="1" ht="12.75">
      <c r="A333" s="4"/>
      <c r="B333" s="29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29"/>
      <c r="N333" s="29"/>
      <c r="O333" s="29"/>
      <c r="P333" s="32"/>
      <c r="Q333" s="32"/>
      <c r="R333" s="4"/>
      <c r="S333" s="4"/>
      <c r="T333" s="4"/>
      <c r="U333" s="4"/>
      <c r="V333" s="4"/>
      <c r="W333" s="4"/>
      <c r="X333" s="4"/>
    </row>
    <row x14ac:dyDescent="0.25" r="334" customHeight="1" ht="12.75">
      <c r="A334" s="4"/>
      <c r="B334" s="29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29"/>
      <c r="N334" s="29"/>
      <c r="O334" s="29"/>
      <c r="P334" s="32"/>
      <c r="Q334" s="32"/>
      <c r="R334" s="4"/>
      <c r="S334" s="4"/>
      <c r="T334" s="4"/>
      <c r="U334" s="4"/>
      <c r="V334" s="4"/>
      <c r="W334" s="4"/>
      <c r="X334" s="4"/>
    </row>
    <row x14ac:dyDescent="0.25" r="335" customHeight="1" ht="12.75">
      <c r="A335" s="4"/>
      <c r="B335" s="29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29"/>
      <c r="N335" s="29"/>
      <c r="O335" s="29"/>
      <c r="P335" s="32"/>
      <c r="Q335" s="32"/>
      <c r="R335" s="4"/>
      <c r="S335" s="4"/>
      <c r="T335" s="4"/>
      <c r="U335" s="4"/>
      <c r="V335" s="4"/>
      <c r="W335" s="4"/>
      <c r="X335" s="4"/>
    </row>
    <row x14ac:dyDescent="0.25" r="336" customHeight="1" ht="12.75">
      <c r="A336" s="4"/>
      <c r="B336" s="29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29"/>
      <c r="N336" s="29"/>
      <c r="O336" s="29"/>
      <c r="P336" s="32"/>
      <c r="Q336" s="32"/>
      <c r="R336" s="4"/>
      <c r="S336" s="4"/>
      <c r="T336" s="4"/>
      <c r="U336" s="4"/>
      <c r="V336" s="4"/>
      <c r="W336" s="4"/>
      <c r="X336" s="4"/>
    </row>
    <row x14ac:dyDescent="0.25" r="337" customHeight="1" ht="12.75">
      <c r="A337" s="4"/>
      <c r="B337" s="29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29"/>
      <c r="N337" s="29"/>
      <c r="O337" s="29"/>
      <c r="P337" s="32"/>
      <c r="Q337" s="32"/>
      <c r="R337" s="4"/>
      <c r="S337" s="4"/>
      <c r="T337" s="4"/>
      <c r="U337" s="4"/>
      <c r="V337" s="4"/>
      <c r="W337" s="4"/>
      <c r="X337" s="4"/>
    </row>
    <row x14ac:dyDescent="0.25" r="338" customHeight="1" ht="12.75">
      <c r="A338" s="4"/>
      <c r="B338" s="29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29"/>
      <c r="N338" s="29"/>
      <c r="O338" s="29"/>
      <c r="P338" s="32"/>
      <c r="Q338" s="32"/>
      <c r="R338" s="4"/>
      <c r="S338" s="4"/>
      <c r="T338" s="4"/>
      <c r="U338" s="4"/>
      <c r="V338" s="4"/>
      <c r="W338" s="4"/>
      <c r="X338" s="4"/>
    </row>
    <row x14ac:dyDescent="0.25" r="339" customHeight="1" ht="12.75">
      <c r="A339" s="4"/>
      <c r="B339" s="29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29"/>
      <c r="N339" s="29"/>
      <c r="O339" s="29"/>
      <c r="P339" s="32"/>
      <c r="Q339" s="32"/>
      <c r="R339" s="4"/>
      <c r="S339" s="4"/>
      <c r="T339" s="4"/>
      <c r="U339" s="4"/>
      <c r="V339" s="4"/>
      <c r="W339" s="4"/>
      <c r="X339" s="4"/>
    </row>
    <row x14ac:dyDescent="0.25" r="340" customHeight="1" ht="12.75">
      <c r="A340" s="4"/>
      <c r="B340" s="29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29"/>
      <c r="N340" s="29"/>
      <c r="O340" s="29"/>
      <c r="P340" s="32"/>
      <c r="Q340" s="32"/>
      <c r="R340" s="4"/>
      <c r="S340" s="4"/>
      <c r="T340" s="4"/>
      <c r="U340" s="4"/>
      <c r="V340" s="4"/>
      <c r="W340" s="4"/>
      <c r="X340" s="4"/>
    </row>
    <row x14ac:dyDescent="0.25" r="341" customHeight="1" ht="12.75">
      <c r="A341" s="4"/>
      <c r="B341" s="29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29"/>
      <c r="N341" s="29"/>
      <c r="O341" s="29"/>
      <c r="P341" s="32"/>
      <c r="Q341" s="32"/>
      <c r="R341" s="4"/>
      <c r="S341" s="4"/>
      <c r="T341" s="4"/>
      <c r="U341" s="4"/>
      <c r="V341" s="4"/>
      <c r="W341" s="4"/>
      <c r="X341" s="4"/>
    </row>
    <row x14ac:dyDescent="0.25" r="342" customHeight="1" ht="12.75">
      <c r="A342" s="4"/>
      <c r="B342" s="29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29"/>
      <c r="N342" s="29"/>
      <c r="O342" s="29"/>
      <c r="P342" s="32"/>
      <c r="Q342" s="32"/>
      <c r="R342" s="4"/>
      <c r="S342" s="4"/>
      <c r="T342" s="4"/>
      <c r="U342" s="4"/>
      <c r="V342" s="4"/>
      <c r="W342" s="4"/>
      <c r="X342" s="4"/>
    </row>
    <row x14ac:dyDescent="0.25" r="343" customHeight="1" ht="12.75">
      <c r="A343" s="4"/>
      <c r="B343" s="29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29"/>
      <c r="N343" s="29"/>
      <c r="O343" s="29"/>
      <c r="P343" s="32"/>
      <c r="Q343" s="32"/>
      <c r="R343" s="4"/>
      <c r="S343" s="4"/>
      <c r="T343" s="4"/>
      <c r="U343" s="4"/>
      <c r="V343" s="4"/>
      <c r="W343" s="4"/>
      <c r="X343" s="4"/>
    </row>
    <row x14ac:dyDescent="0.25" r="344" customHeight="1" ht="12.75">
      <c r="A344" s="4"/>
      <c r="B344" s="29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29"/>
      <c r="N344" s="29"/>
      <c r="O344" s="29"/>
      <c r="P344" s="32"/>
      <c r="Q344" s="32"/>
      <c r="R344" s="4"/>
      <c r="S344" s="4"/>
      <c r="T344" s="4"/>
      <c r="U344" s="4"/>
      <c r="V344" s="4"/>
      <c r="W344" s="4"/>
      <c r="X344" s="4"/>
    </row>
    <row x14ac:dyDescent="0.25" r="345" customHeight="1" ht="12.75">
      <c r="A345" s="4"/>
      <c r="B345" s="29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29"/>
      <c r="N345" s="29"/>
      <c r="O345" s="29"/>
      <c r="P345" s="32"/>
      <c r="Q345" s="32"/>
      <c r="R345" s="4"/>
      <c r="S345" s="4"/>
      <c r="T345" s="4"/>
      <c r="U345" s="4"/>
      <c r="V345" s="4"/>
      <c r="W345" s="4"/>
      <c r="X345" s="4"/>
    </row>
    <row x14ac:dyDescent="0.25" r="346" customHeight="1" ht="12.75">
      <c r="A346" s="4"/>
      <c r="B346" s="29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29"/>
      <c r="N346" s="29"/>
      <c r="O346" s="29"/>
      <c r="P346" s="32"/>
      <c r="Q346" s="32"/>
      <c r="R346" s="4"/>
      <c r="S346" s="4"/>
      <c r="T346" s="4"/>
      <c r="U346" s="4"/>
      <c r="V346" s="4"/>
      <c r="W346" s="4"/>
      <c r="X346" s="4"/>
    </row>
    <row x14ac:dyDescent="0.25" r="347" customHeight="1" ht="12.75">
      <c r="A347" s="4"/>
      <c r="B347" s="29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29"/>
      <c r="N347" s="29"/>
      <c r="O347" s="29"/>
      <c r="P347" s="32"/>
      <c r="Q347" s="32"/>
      <c r="R347" s="4"/>
      <c r="S347" s="4"/>
      <c r="T347" s="4"/>
      <c r="U347" s="4"/>
      <c r="V347" s="4"/>
      <c r="W347" s="4"/>
      <c r="X347" s="4"/>
    </row>
    <row x14ac:dyDescent="0.25" r="348" customHeight="1" ht="12.75">
      <c r="A348" s="4"/>
      <c r="B348" s="29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29"/>
      <c r="N348" s="29"/>
      <c r="O348" s="29"/>
      <c r="P348" s="32"/>
      <c r="Q348" s="32"/>
      <c r="R348" s="4"/>
      <c r="S348" s="4"/>
      <c r="T348" s="4"/>
      <c r="U348" s="4"/>
      <c r="V348" s="4"/>
      <c r="W348" s="4"/>
      <c r="X348" s="4"/>
    </row>
    <row x14ac:dyDescent="0.25" r="349" customHeight="1" ht="12.75">
      <c r="A349" s="4"/>
      <c r="B349" s="29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29"/>
      <c r="N349" s="29"/>
      <c r="O349" s="29"/>
      <c r="P349" s="32"/>
      <c r="Q349" s="32"/>
      <c r="R349" s="4"/>
      <c r="S349" s="4"/>
      <c r="T349" s="4"/>
      <c r="U349" s="4"/>
      <c r="V349" s="4"/>
      <c r="W349" s="4"/>
      <c r="X349" s="4"/>
    </row>
    <row x14ac:dyDescent="0.25" r="350" customHeight="1" ht="12.75">
      <c r="A350" s="4"/>
      <c r="B350" s="29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29"/>
      <c r="N350" s="29"/>
      <c r="O350" s="29"/>
      <c r="P350" s="32"/>
      <c r="Q350" s="32"/>
      <c r="R350" s="4"/>
      <c r="S350" s="4"/>
      <c r="T350" s="4"/>
      <c r="U350" s="4"/>
      <c r="V350" s="4"/>
      <c r="W350" s="4"/>
      <c r="X350" s="4"/>
    </row>
    <row x14ac:dyDescent="0.25" r="351" customHeight="1" ht="12.75">
      <c r="A351" s="4"/>
      <c r="B351" s="29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29"/>
      <c r="N351" s="29"/>
      <c r="O351" s="29"/>
      <c r="P351" s="32"/>
      <c r="Q351" s="32"/>
      <c r="R351" s="4"/>
      <c r="S351" s="4"/>
      <c r="T351" s="4"/>
      <c r="U351" s="4"/>
      <c r="V351" s="4"/>
      <c r="W351" s="4"/>
      <c r="X351" s="4"/>
    </row>
    <row x14ac:dyDescent="0.25" r="352" customHeight="1" ht="12.75">
      <c r="A352" s="4"/>
      <c r="B352" s="29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29"/>
      <c r="N352" s="29"/>
      <c r="O352" s="29"/>
      <c r="P352" s="32"/>
      <c r="Q352" s="32"/>
      <c r="R352" s="4"/>
      <c r="S352" s="4"/>
      <c r="T352" s="4"/>
      <c r="U352" s="4"/>
      <c r="V352" s="4"/>
      <c r="W352" s="4"/>
      <c r="X352" s="4"/>
    </row>
    <row x14ac:dyDescent="0.25" r="353" customHeight="1" ht="12.75">
      <c r="A353" s="4"/>
      <c r="B353" s="29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29"/>
      <c r="N353" s="29"/>
      <c r="O353" s="29"/>
      <c r="P353" s="32"/>
      <c r="Q353" s="32"/>
      <c r="R353" s="4"/>
      <c r="S353" s="4"/>
      <c r="T353" s="4"/>
      <c r="U353" s="4"/>
      <c r="V353" s="4"/>
      <c r="W353" s="4"/>
      <c r="X353" s="4"/>
    </row>
    <row x14ac:dyDescent="0.25" r="354" customHeight="1" ht="12.75">
      <c r="A354" s="4"/>
      <c r="B354" s="29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29"/>
      <c r="N354" s="29"/>
      <c r="O354" s="29"/>
      <c r="P354" s="32"/>
      <c r="Q354" s="32"/>
      <c r="R354" s="4"/>
      <c r="S354" s="4"/>
      <c r="T354" s="4"/>
      <c r="U354" s="4"/>
      <c r="V354" s="4"/>
      <c r="W354" s="4"/>
      <c r="X354" s="4"/>
    </row>
    <row x14ac:dyDescent="0.25" r="355" customHeight="1" ht="12.75">
      <c r="A355" s="4"/>
      <c r="B355" s="29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29"/>
      <c r="N355" s="29"/>
      <c r="O355" s="29"/>
      <c r="P355" s="32"/>
      <c r="Q355" s="32"/>
      <c r="R355" s="4"/>
      <c r="S355" s="4"/>
      <c r="T355" s="4"/>
      <c r="U355" s="4"/>
      <c r="V355" s="4"/>
      <c r="W355" s="4"/>
      <c r="X355" s="4"/>
    </row>
    <row x14ac:dyDescent="0.25" r="356" customHeight="1" ht="12.75">
      <c r="A356" s="4"/>
      <c r="B356" s="29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29"/>
      <c r="N356" s="29"/>
      <c r="O356" s="29"/>
      <c r="P356" s="32"/>
      <c r="Q356" s="32"/>
      <c r="R356" s="4"/>
      <c r="S356" s="4"/>
      <c r="T356" s="4"/>
      <c r="U356" s="4"/>
      <c r="V356" s="4"/>
      <c r="W356" s="4"/>
      <c r="X356" s="4"/>
    </row>
    <row x14ac:dyDescent="0.25" r="357" customHeight="1" ht="12.75">
      <c r="A357" s="4"/>
      <c r="B357" s="29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29"/>
      <c r="N357" s="29"/>
      <c r="O357" s="29"/>
      <c r="P357" s="32"/>
      <c r="Q357" s="32"/>
      <c r="R357" s="4"/>
      <c r="S357" s="4"/>
      <c r="T357" s="4"/>
      <c r="U357" s="4"/>
      <c r="V357" s="4"/>
      <c r="W357" s="4"/>
      <c r="X357" s="4"/>
    </row>
    <row x14ac:dyDescent="0.25" r="358" customHeight="1" ht="12.75">
      <c r="A358" s="4"/>
      <c r="B358" s="29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29"/>
      <c r="N358" s="29"/>
      <c r="O358" s="29"/>
      <c r="P358" s="32"/>
      <c r="Q358" s="32"/>
      <c r="R358" s="4"/>
      <c r="S358" s="4"/>
      <c r="T358" s="4"/>
      <c r="U358" s="4"/>
      <c r="V358" s="4"/>
      <c r="W358" s="4"/>
      <c r="X358" s="4"/>
    </row>
    <row x14ac:dyDescent="0.25" r="359" customHeight="1" ht="12.75">
      <c r="A359" s="4"/>
      <c r="B359" s="29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29"/>
      <c r="N359" s="29"/>
      <c r="O359" s="29"/>
      <c r="P359" s="32"/>
      <c r="Q359" s="32"/>
      <c r="R359" s="4"/>
      <c r="S359" s="4"/>
      <c r="T359" s="4"/>
      <c r="U359" s="4"/>
      <c r="V359" s="4"/>
      <c r="W359" s="4"/>
      <c r="X359" s="4"/>
    </row>
    <row x14ac:dyDescent="0.25" r="360" customHeight="1" ht="12.75">
      <c r="A360" s="4"/>
      <c r="B360" s="29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29"/>
      <c r="N360" s="29"/>
      <c r="O360" s="29"/>
      <c r="P360" s="32"/>
      <c r="Q360" s="32"/>
      <c r="R360" s="4"/>
      <c r="S360" s="4"/>
      <c r="T360" s="4"/>
      <c r="U360" s="4"/>
      <c r="V360" s="4"/>
      <c r="W360" s="4"/>
      <c r="X360" s="4"/>
    </row>
    <row x14ac:dyDescent="0.25" r="361" customHeight="1" ht="12.75">
      <c r="A361" s="4"/>
      <c r="B361" s="29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29"/>
      <c r="N361" s="29"/>
      <c r="O361" s="29"/>
      <c r="P361" s="32"/>
      <c r="Q361" s="32"/>
      <c r="R361" s="4"/>
      <c r="S361" s="4"/>
      <c r="T361" s="4"/>
      <c r="U361" s="4"/>
      <c r="V361" s="4"/>
      <c r="W361" s="4"/>
      <c r="X361" s="4"/>
    </row>
    <row x14ac:dyDescent="0.25" r="362" customHeight="1" ht="12.75">
      <c r="A362" s="4"/>
      <c r="B362" s="29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29"/>
      <c r="N362" s="29"/>
      <c r="O362" s="29"/>
      <c r="P362" s="32"/>
      <c r="Q362" s="32"/>
      <c r="R362" s="4"/>
      <c r="S362" s="4"/>
      <c r="T362" s="4"/>
      <c r="U362" s="4"/>
      <c r="V362" s="4"/>
      <c r="W362" s="4"/>
      <c r="X362" s="4"/>
    </row>
    <row x14ac:dyDescent="0.25" r="363" customHeight="1" ht="12.75">
      <c r="A363" s="4"/>
      <c r="B363" s="29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29"/>
      <c r="N363" s="29"/>
      <c r="O363" s="29"/>
      <c r="P363" s="32"/>
      <c r="Q363" s="32"/>
      <c r="R363" s="4"/>
      <c r="S363" s="4"/>
      <c r="T363" s="4"/>
      <c r="U363" s="4"/>
      <c r="V363" s="4"/>
      <c r="W363" s="4"/>
      <c r="X363" s="4"/>
    </row>
    <row x14ac:dyDescent="0.25" r="364" customHeight="1" ht="12.75">
      <c r="A364" s="4"/>
      <c r="B364" s="29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29"/>
      <c r="N364" s="29"/>
      <c r="O364" s="29"/>
      <c r="P364" s="32"/>
      <c r="Q364" s="32"/>
      <c r="R364" s="4"/>
      <c r="S364" s="4"/>
      <c r="T364" s="4"/>
      <c r="U364" s="4"/>
      <c r="V364" s="4"/>
      <c r="W364" s="4"/>
      <c r="X364" s="4"/>
    </row>
    <row x14ac:dyDescent="0.25" r="365" customHeight="1" ht="12.75">
      <c r="A365" s="4"/>
      <c r="B365" s="29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29"/>
      <c r="N365" s="29"/>
      <c r="O365" s="29"/>
      <c r="P365" s="32"/>
      <c r="Q365" s="32"/>
      <c r="R365" s="4"/>
      <c r="S365" s="4"/>
      <c r="T365" s="4"/>
      <c r="U365" s="4"/>
      <c r="V365" s="4"/>
      <c r="W365" s="4"/>
      <c r="X365" s="4"/>
    </row>
    <row x14ac:dyDescent="0.25" r="366" customHeight="1" ht="12.75">
      <c r="A366" s="4"/>
      <c r="B366" s="29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29"/>
      <c r="N366" s="29"/>
      <c r="O366" s="29"/>
      <c r="P366" s="32"/>
      <c r="Q366" s="32"/>
      <c r="R366" s="4"/>
      <c r="S366" s="4"/>
      <c r="T366" s="4"/>
      <c r="U366" s="4"/>
      <c r="V366" s="4"/>
      <c r="W366" s="4"/>
      <c r="X366" s="4"/>
    </row>
    <row x14ac:dyDescent="0.25" r="367" customHeight="1" ht="12.75">
      <c r="A367" s="4"/>
      <c r="B367" s="29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29"/>
      <c r="N367" s="29"/>
      <c r="O367" s="29"/>
      <c r="P367" s="32"/>
      <c r="Q367" s="32"/>
      <c r="R367" s="4"/>
      <c r="S367" s="4"/>
      <c r="T367" s="4"/>
      <c r="U367" s="4"/>
      <c r="V367" s="4"/>
      <c r="W367" s="4"/>
      <c r="X367" s="4"/>
    </row>
    <row x14ac:dyDescent="0.25" r="368" customHeight="1" ht="12.75">
      <c r="A368" s="4"/>
      <c r="B368" s="29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29"/>
      <c r="N368" s="29"/>
      <c r="O368" s="29"/>
      <c r="P368" s="32"/>
      <c r="Q368" s="32"/>
      <c r="R368" s="4"/>
      <c r="S368" s="4"/>
      <c r="T368" s="4"/>
      <c r="U368" s="4"/>
      <c r="V368" s="4"/>
      <c r="W368" s="4"/>
      <c r="X368" s="4"/>
    </row>
    <row x14ac:dyDescent="0.25" r="369" customHeight="1" ht="12.75">
      <c r="A369" s="4"/>
      <c r="B369" s="29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29"/>
      <c r="N369" s="29"/>
      <c r="O369" s="29"/>
      <c r="P369" s="32"/>
      <c r="Q369" s="32"/>
      <c r="R369" s="4"/>
      <c r="S369" s="4"/>
      <c r="T369" s="4"/>
      <c r="U369" s="4"/>
      <c r="V369" s="4"/>
      <c r="W369" s="4"/>
      <c r="X369" s="4"/>
    </row>
    <row x14ac:dyDescent="0.25" r="370" customHeight="1" ht="12.75">
      <c r="A370" s="4"/>
      <c r="B370" s="29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29"/>
      <c r="N370" s="29"/>
      <c r="O370" s="29"/>
      <c r="P370" s="32"/>
      <c r="Q370" s="32"/>
      <c r="R370" s="4"/>
      <c r="S370" s="4"/>
      <c r="T370" s="4"/>
      <c r="U370" s="4"/>
      <c r="V370" s="4"/>
      <c r="W370" s="4"/>
      <c r="X370" s="4"/>
    </row>
    <row x14ac:dyDescent="0.25" r="371" customHeight="1" ht="12.75">
      <c r="A371" s="4"/>
      <c r="B371" s="29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29"/>
      <c r="N371" s="29"/>
      <c r="O371" s="29"/>
      <c r="P371" s="32"/>
      <c r="Q371" s="32"/>
      <c r="R371" s="4"/>
      <c r="S371" s="4"/>
      <c r="T371" s="4"/>
      <c r="U371" s="4"/>
      <c r="V371" s="4"/>
      <c r="W371" s="4"/>
      <c r="X371" s="4"/>
    </row>
    <row x14ac:dyDescent="0.25" r="372" customHeight="1" ht="12.75">
      <c r="A372" s="4"/>
      <c r="B372" s="29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29"/>
      <c r="N372" s="29"/>
      <c r="O372" s="29"/>
      <c r="P372" s="32"/>
      <c r="Q372" s="32"/>
      <c r="R372" s="4"/>
      <c r="S372" s="4"/>
      <c r="T372" s="4"/>
      <c r="U372" s="4"/>
      <c r="V372" s="4"/>
      <c r="W372" s="4"/>
      <c r="X372" s="4"/>
    </row>
    <row x14ac:dyDescent="0.25" r="373" customHeight="1" ht="12.75">
      <c r="A373" s="4"/>
      <c r="B373" s="29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29"/>
      <c r="N373" s="29"/>
      <c r="O373" s="29"/>
      <c r="P373" s="32"/>
      <c r="Q373" s="32"/>
      <c r="R373" s="4"/>
      <c r="S373" s="4"/>
      <c r="T373" s="4"/>
      <c r="U373" s="4"/>
      <c r="V373" s="4"/>
      <c r="W373" s="4"/>
      <c r="X373" s="4"/>
    </row>
    <row x14ac:dyDescent="0.25" r="374" customHeight="1" ht="12.75">
      <c r="A374" s="4"/>
      <c r="B374" s="29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29"/>
      <c r="N374" s="29"/>
      <c r="O374" s="29"/>
      <c r="P374" s="32"/>
      <c r="Q374" s="32"/>
      <c r="R374" s="4"/>
      <c r="S374" s="4"/>
      <c r="T374" s="4"/>
      <c r="U374" s="4"/>
      <c r="V374" s="4"/>
      <c r="W374" s="4"/>
      <c r="X374" s="4"/>
    </row>
    <row x14ac:dyDescent="0.25" r="375" customHeight="1" ht="12.75">
      <c r="A375" s="4"/>
      <c r="B375" s="29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29"/>
      <c r="N375" s="29"/>
      <c r="O375" s="29"/>
      <c r="P375" s="32"/>
      <c r="Q375" s="32"/>
      <c r="R375" s="4"/>
      <c r="S375" s="4"/>
      <c r="T375" s="4"/>
      <c r="U375" s="4"/>
      <c r="V375" s="4"/>
      <c r="W375" s="4"/>
      <c r="X375" s="4"/>
    </row>
    <row x14ac:dyDescent="0.25" r="376" customHeight="1" ht="12.75">
      <c r="A376" s="4"/>
      <c r="B376" s="29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29"/>
      <c r="N376" s="29"/>
      <c r="O376" s="29"/>
      <c r="P376" s="32"/>
      <c r="Q376" s="32"/>
      <c r="R376" s="4"/>
      <c r="S376" s="4"/>
      <c r="T376" s="4"/>
      <c r="U376" s="4"/>
      <c r="V376" s="4"/>
      <c r="W376" s="4"/>
      <c r="X376" s="4"/>
    </row>
    <row x14ac:dyDescent="0.25" r="377" customHeight="1" ht="12.75">
      <c r="A377" s="4"/>
      <c r="B377" s="29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29"/>
      <c r="N377" s="29"/>
      <c r="O377" s="29"/>
      <c r="P377" s="32"/>
      <c r="Q377" s="32"/>
      <c r="R377" s="4"/>
      <c r="S377" s="4"/>
      <c r="T377" s="4"/>
      <c r="U377" s="4"/>
      <c r="V377" s="4"/>
      <c r="W377" s="4"/>
      <c r="X377" s="4"/>
    </row>
    <row x14ac:dyDescent="0.25" r="378" customHeight="1" ht="12.75">
      <c r="A378" s="4"/>
      <c r="B378" s="29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29"/>
      <c r="N378" s="29"/>
      <c r="O378" s="29"/>
      <c r="P378" s="32"/>
      <c r="Q378" s="32"/>
      <c r="R378" s="4"/>
      <c r="S378" s="4"/>
      <c r="T378" s="4"/>
      <c r="U378" s="4"/>
      <c r="V378" s="4"/>
      <c r="W378" s="4"/>
      <c r="X378" s="4"/>
    </row>
    <row x14ac:dyDescent="0.25" r="379" customHeight="1" ht="12.75">
      <c r="A379" s="4"/>
      <c r="B379" s="29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29"/>
      <c r="N379" s="29"/>
      <c r="O379" s="29"/>
      <c r="P379" s="32"/>
      <c r="Q379" s="32"/>
      <c r="R379" s="4"/>
      <c r="S379" s="4"/>
      <c r="T379" s="4"/>
      <c r="U379" s="4"/>
      <c r="V379" s="4"/>
      <c r="W379" s="4"/>
      <c r="X379" s="4"/>
    </row>
    <row x14ac:dyDescent="0.25" r="380" customHeight="1" ht="12.75">
      <c r="A380" s="4"/>
      <c r="B380" s="29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29"/>
      <c r="N380" s="29"/>
      <c r="O380" s="29"/>
      <c r="P380" s="32"/>
      <c r="Q380" s="32"/>
      <c r="R380" s="4"/>
      <c r="S380" s="4"/>
      <c r="T380" s="4"/>
      <c r="U380" s="4"/>
      <c r="V380" s="4"/>
      <c r="W380" s="4"/>
      <c r="X380" s="4"/>
    </row>
    <row x14ac:dyDescent="0.25" r="381" customHeight="1" ht="12.75">
      <c r="A381" s="4"/>
      <c r="B381" s="29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29"/>
      <c r="N381" s="29"/>
      <c r="O381" s="29"/>
      <c r="P381" s="32"/>
      <c r="Q381" s="32"/>
      <c r="R381" s="4"/>
      <c r="S381" s="4"/>
      <c r="T381" s="4"/>
      <c r="U381" s="4"/>
      <c r="V381" s="4"/>
      <c r="W381" s="4"/>
      <c r="X381" s="4"/>
    </row>
    <row x14ac:dyDescent="0.25" r="382" customHeight="1" ht="12.75">
      <c r="A382" s="4"/>
      <c r="B382" s="29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29"/>
      <c r="N382" s="29"/>
      <c r="O382" s="29"/>
      <c r="P382" s="32"/>
      <c r="Q382" s="32"/>
      <c r="R382" s="4"/>
      <c r="S382" s="4"/>
      <c r="T382" s="4"/>
      <c r="U382" s="4"/>
      <c r="V382" s="4"/>
      <c r="W382" s="4"/>
      <c r="X382" s="4"/>
    </row>
    <row x14ac:dyDescent="0.25" r="383" customHeight="1" ht="12.75">
      <c r="A383" s="4"/>
      <c r="B383" s="29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29"/>
      <c r="N383" s="29"/>
      <c r="O383" s="29"/>
      <c r="P383" s="32"/>
      <c r="Q383" s="32"/>
      <c r="R383" s="4"/>
      <c r="S383" s="4"/>
      <c r="T383" s="4"/>
      <c r="U383" s="4"/>
      <c r="V383" s="4"/>
      <c r="W383" s="4"/>
      <c r="X383" s="4"/>
    </row>
    <row x14ac:dyDescent="0.25" r="384" customHeight="1" ht="12.75">
      <c r="A384" s="4"/>
      <c r="B384" s="29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29"/>
      <c r="N384" s="29"/>
      <c r="O384" s="29"/>
      <c r="P384" s="32"/>
      <c r="Q384" s="32"/>
      <c r="R384" s="4"/>
      <c r="S384" s="4"/>
      <c r="T384" s="4"/>
      <c r="U384" s="4"/>
      <c r="V384" s="4"/>
      <c r="W384" s="4"/>
      <c r="X384" s="4"/>
    </row>
    <row x14ac:dyDescent="0.25" r="385" customHeight="1" ht="12.75">
      <c r="A385" s="4"/>
      <c r="B385" s="29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29"/>
      <c r="N385" s="29"/>
      <c r="O385" s="29"/>
      <c r="P385" s="32"/>
      <c r="Q385" s="32"/>
      <c r="R385" s="4"/>
      <c r="S385" s="4"/>
      <c r="T385" s="4"/>
      <c r="U385" s="4"/>
      <c r="V385" s="4"/>
      <c r="W385" s="4"/>
      <c r="X385" s="4"/>
    </row>
    <row x14ac:dyDescent="0.25" r="386" customHeight="1" ht="12.75">
      <c r="A386" s="4"/>
      <c r="B386" s="29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29"/>
      <c r="N386" s="29"/>
      <c r="O386" s="29"/>
      <c r="P386" s="32"/>
      <c r="Q386" s="32"/>
      <c r="R386" s="4"/>
      <c r="S386" s="4"/>
      <c r="T386" s="4"/>
      <c r="U386" s="4"/>
      <c r="V386" s="4"/>
      <c r="W386" s="4"/>
      <c r="X386" s="4"/>
    </row>
    <row x14ac:dyDescent="0.25" r="387" customHeight="1" ht="12.75">
      <c r="A387" s="4"/>
      <c r="B387" s="29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29"/>
      <c r="N387" s="29"/>
      <c r="O387" s="29"/>
      <c r="P387" s="32"/>
      <c r="Q387" s="32"/>
      <c r="R387" s="4"/>
      <c r="S387" s="4"/>
      <c r="T387" s="4"/>
      <c r="U387" s="4"/>
      <c r="V387" s="4"/>
      <c r="W387" s="4"/>
      <c r="X387" s="4"/>
    </row>
    <row x14ac:dyDescent="0.25" r="388" customHeight="1" ht="12.75">
      <c r="A388" s="4"/>
      <c r="B388" s="29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29"/>
      <c r="N388" s="29"/>
      <c r="O388" s="29"/>
      <c r="P388" s="32"/>
      <c r="Q388" s="32"/>
      <c r="R388" s="4"/>
      <c r="S388" s="4"/>
      <c r="T388" s="4"/>
      <c r="U388" s="4"/>
      <c r="V388" s="4"/>
      <c r="W388" s="4"/>
      <c r="X388" s="4"/>
    </row>
    <row x14ac:dyDescent="0.25" r="389" customHeight="1" ht="12.75">
      <c r="A389" s="4"/>
      <c r="B389" s="29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29"/>
      <c r="N389" s="29"/>
      <c r="O389" s="29"/>
      <c r="P389" s="32"/>
      <c r="Q389" s="32"/>
      <c r="R389" s="4"/>
      <c r="S389" s="4"/>
      <c r="T389" s="4"/>
      <c r="U389" s="4"/>
      <c r="V389" s="4"/>
      <c r="W389" s="4"/>
      <c r="X389" s="4"/>
    </row>
    <row x14ac:dyDescent="0.25" r="390" customHeight="1" ht="12.75">
      <c r="A390" s="4"/>
      <c r="B390" s="29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29"/>
      <c r="N390" s="29"/>
      <c r="O390" s="29"/>
      <c r="P390" s="32"/>
      <c r="Q390" s="32"/>
      <c r="R390" s="4"/>
      <c r="S390" s="4"/>
      <c r="T390" s="4"/>
      <c r="U390" s="4"/>
      <c r="V390" s="4"/>
      <c r="W390" s="4"/>
      <c r="X390" s="4"/>
    </row>
    <row x14ac:dyDescent="0.25" r="391" customHeight="1" ht="12.75">
      <c r="A391" s="4"/>
      <c r="B391" s="29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29"/>
      <c r="N391" s="29"/>
      <c r="O391" s="29"/>
      <c r="P391" s="32"/>
      <c r="Q391" s="32"/>
      <c r="R391" s="4"/>
      <c r="S391" s="4"/>
      <c r="T391" s="4"/>
      <c r="U391" s="4"/>
      <c r="V391" s="4"/>
      <c r="W391" s="4"/>
      <c r="X391" s="4"/>
    </row>
    <row x14ac:dyDescent="0.25" r="392" customHeight="1" ht="12.75">
      <c r="A392" s="4"/>
      <c r="B392" s="29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29"/>
      <c r="N392" s="29"/>
      <c r="O392" s="29"/>
      <c r="P392" s="32"/>
      <c r="Q392" s="32"/>
      <c r="R392" s="4"/>
      <c r="S392" s="4"/>
      <c r="T392" s="4"/>
      <c r="U392" s="4"/>
      <c r="V392" s="4"/>
      <c r="W392" s="4"/>
      <c r="X392" s="4"/>
    </row>
    <row x14ac:dyDescent="0.25" r="393" customHeight="1" ht="12.75">
      <c r="A393" s="4"/>
      <c r="B393" s="29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29"/>
      <c r="N393" s="29"/>
      <c r="O393" s="29"/>
      <c r="P393" s="32"/>
      <c r="Q393" s="32"/>
      <c r="R393" s="4"/>
      <c r="S393" s="4"/>
      <c r="T393" s="4"/>
      <c r="U393" s="4"/>
      <c r="V393" s="4"/>
      <c r="W393" s="4"/>
      <c r="X393" s="4"/>
    </row>
    <row x14ac:dyDescent="0.25" r="394" customHeight="1" ht="12.75">
      <c r="A394" s="4"/>
      <c r="B394" s="29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29"/>
      <c r="N394" s="29"/>
      <c r="O394" s="29"/>
      <c r="P394" s="32"/>
      <c r="Q394" s="32"/>
      <c r="R394" s="4"/>
      <c r="S394" s="4"/>
      <c r="T394" s="4"/>
      <c r="U394" s="4"/>
      <c r="V394" s="4"/>
      <c r="W394" s="4"/>
      <c r="X394" s="4"/>
    </row>
    <row x14ac:dyDescent="0.25" r="395" customHeight="1" ht="12.75">
      <c r="A395" s="4"/>
      <c r="B395" s="29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29"/>
      <c r="N395" s="29"/>
      <c r="O395" s="29"/>
      <c r="P395" s="32"/>
      <c r="Q395" s="32"/>
      <c r="R395" s="4"/>
      <c r="S395" s="4"/>
      <c r="T395" s="4"/>
      <c r="U395" s="4"/>
      <c r="V395" s="4"/>
      <c r="W395" s="4"/>
      <c r="X395" s="4"/>
    </row>
    <row x14ac:dyDescent="0.25" r="396" customHeight="1" ht="12.75">
      <c r="A396" s="4"/>
      <c r="B396" s="29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29"/>
      <c r="N396" s="29"/>
      <c r="O396" s="29"/>
      <c r="P396" s="32"/>
      <c r="Q396" s="32"/>
      <c r="R396" s="4"/>
      <c r="S396" s="4"/>
      <c r="T396" s="4"/>
      <c r="U396" s="4"/>
      <c r="V396" s="4"/>
      <c r="W396" s="4"/>
      <c r="X396" s="4"/>
    </row>
    <row x14ac:dyDescent="0.25" r="397" customHeight="1" ht="12.75">
      <c r="A397" s="4"/>
      <c r="B397" s="29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29"/>
      <c r="N397" s="29"/>
      <c r="O397" s="29"/>
      <c r="P397" s="32"/>
      <c r="Q397" s="32"/>
      <c r="R397" s="4"/>
      <c r="S397" s="4"/>
      <c r="T397" s="4"/>
      <c r="U397" s="4"/>
      <c r="V397" s="4"/>
      <c r="W397" s="4"/>
      <c r="X397" s="4"/>
    </row>
    <row x14ac:dyDescent="0.25" r="398" customHeight="1" ht="12.75">
      <c r="A398" s="4"/>
      <c r="B398" s="29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29"/>
      <c r="N398" s="29"/>
      <c r="O398" s="29"/>
      <c r="P398" s="32"/>
      <c r="Q398" s="32"/>
      <c r="R398" s="4"/>
      <c r="S398" s="4"/>
      <c r="T398" s="4"/>
      <c r="U398" s="4"/>
      <c r="V398" s="4"/>
      <c r="W398" s="4"/>
      <c r="X398" s="4"/>
    </row>
    <row x14ac:dyDescent="0.25" r="399" customHeight="1" ht="12.75">
      <c r="A399" s="4"/>
      <c r="B399" s="29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29"/>
      <c r="N399" s="29"/>
      <c r="O399" s="29"/>
      <c r="P399" s="32"/>
      <c r="Q399" s="32"/>
      <c r="R399" s="4"/>
      <c r="S399" s="4"/>
      <c r="T399" s="4"/>
      <c r="U399" s="4"/>
      <c r="V399" s="4"/>
      <c r="W399" s="4"/>
      <c r="X399" s="4"/>
    </row>
    <row x14ac:dyDescent="0.25" r="400" customHeight="1" ht="12.75">
      <c r="A400" s="4"/>
      <c r="B400" s="29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29"/>
      <c r="N400" s="29"/>
      <c r="O400" s="29"/>
      <c r="P400" s="32"/>
      <c r="Q400" s="32"/>
      <c r="R400" s="4"/>
      <c r="S400" s="4"/>
      <c r="T400" s="4"/>
      <c r="U400" s="4"/>
      <c r="V400" s="4"/>
      <c r="W400" s="4"/>
      <c r="X400" s="4"/>
    </row>
    <row x14ac:dyDescent="0.25" r="401" customHeight="1" ht="12.75">
      <c r="A401" s="4"/>
      <c r="B401" s="29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29"/>
      <c r="N401" s="29"/>
      <c r="O401" s="29"/>
      <c r="P401" s="32"/>
      <c r="Q401" s="32"/>
      <c r="R401" s="4"/>
      <c r="S401" s="4"/>
      <c r="T401" s="4"/>
      <c r="U401" s="4"/>
      <c r="V401" s="4"/>
      <c r="W401" s="4"/>
      <c r="X401" s="4"/>
    </row>
    <row x14ac:dyDescent="0.25" r="402" customHeight="1" ht="12.75">
      <c r="A402" s="4"/>
      <c r="B402" s="29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29"/>
      <c r="N402" s="29"/>
      <c r="O402" s="29"/>
      <c r="P402" s="32"/>
      <c r="Q402" s="32"/>
      <c r="R402" s="4"/>
      <c r="S402" s="4"/>
      <c r="T402" s="4"/>
      <c r="U402" s="4"/>
      <c r="V402" s="4"/>
      <c r="W402" s="4"/>
      <c r="X402" s="4"/>
    </row>
    <row x14ac:dyDescent="0.25" r="403" customHeight="1" ht="12.75">
      <c r="A403" s="4"/>
      <c r="B403" s="29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29"/>
      <c r="N403" s="29"/>
      <c r="O403" s="29"/>
      <c r="P403" s="32"/>
      <c r="Q403" s="32"/>
      <c r="R403" s="4"/>
      <c r="S403" s="4"/>
      <c r="T403" s="4"/>
      <c r="U403" s="4"/>
      <c r="V403" s="4"/>
      <c r="W403" s="4"/>
      <c r="X403" s="4"/>
    </row>
    <row x14ac:dyDescent="0.25" r="404" customHeight="1" ht="12.75">
      <c r="A404" s="4"/>
      <c r="B404" s="29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29"/>
      <c r="N404" s="29"/>
      <c r="O404" s="29"/>
      <c r="P404" s="32"/>
      <c r="Q404" s="32"/>
      <c r="R404" s="4"/>
      <c r="S404" s="4"/>
      <c r="T404" s="4"/>
      <c r="U404" s="4"/>
      <c r="V404" s="4"/>
      <c r="W404" s="4"/>
      <c r="X404" s="4"/>
    </row>
    <row x14ac:dyDescent="0.25" r="405" customHeight="1" ht="12.75">
      <c r="A405" s="4"/>
      <c r="B405" s="29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29"/>
      <c r="N405" s="29"/>
      <c r="O405" s="29"/>
      <c r="P405" s="32"/>
      <c r="Q405" s="32"/>
      <c r="R405" s="4"/>
      <c r="S405" s="4"/>
      <c r="T405" s="4"/>
      <c r="U405" s="4"/>
      <c r="V405" s="4"/>
      <c r="W405" s="4"/>
      <c r="X405" s="4"/>
    </row>
    <row x14ac:dyDescent="0.25" r="406" customHeight="1" ht="12.75">
      <c r="A406" s="4"/>
      <c r="B406" s="29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29"/>
      <c r="N406" s="29"/>
      <c r="O406" s="29"/>
      <c r="P406" s="32"/>
      <c r="Q406" s="32"/>
      <c r="R406" s="4"/>
      <c r="S406" s="4"/>
      <c r="T406" s="4"/>
      <c r="U406" s="4"/>
      <c r="V406" s="4"/>
      <c r="W406" s="4"/>
      <c r="X406" s="4"/>
    </row>
    <row x14ac:dyDescent="0.25" r="407" customHeight="1" ht="12.75">
      <c r="A407" s="4"/>
      <c r="B407" s="29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29"/>
      <c r="N407" s="29"/>
      <c r="O407" s="29"/>
      <c r="P407" s="32"/>
      <c r="Q407" s="32"/>
      <c r="R407" s="4"/>
      <c r="S407" s="4"/>
      <c r="T407" s="4"/>
      <c r="U407" s="4"/>
      <c r="V407" s="4"/>
      <c r="W407" s="4"/>
      <c r="X407" s="4"/>
    </row>
    <row x14ac:dyDescent="0.25" r="408" customHeight="1" ht="12.75">
      <c r="A408" s="4"/>
      <c r="B408" s="29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29"/>
      <c r="N408" s="29"/>
      <c r="O408" s="29"/>
      <c r="P408" s="32"/>
      <c r="Q408" s="32"/>
      <c r="R408" s="4"/>
      <c r="S408" s="4"/>
      <c r="T408" s="4"/>
      <c r="U408" s="4"/>
      <c r="V408" s="4"/>
      <c r="W408" s="4"/>
      <c r="X408" s="4"/>
    </row>
    <row x14ac:dyDescent="0.25" r="409" customHeight="1" ht="12.75">
      <c r="A409" s="4"/>
      <c r="B409" s="29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29"/>
      <c r="N409" s="29"/>
      <c r="O409" s="29"/>
      <c r="P409" s="32"/>
      <c r="Q409" s="32"/>
      <c r="R409" s="4"/>
      <c r="S409" s="4"/>
      <c r="T409" s="4"/>
      <c r="U409" s="4"/>
      <c r="V409" s="4"/>
      <c r="W409" s="4"/>
      <c r="X409" s="4"/>
    </row>
    <row x14ac:dyDescent="0.25" r="410" customHeight="1" ht="12.75">
      <c r="A410" s="4"/>
      <c r="B410" s="29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29"/>
      <c r="N410" s="29"/>
      <c r="O410" s="29"/>
      <c r="P410" s="32"/>
      <c r="Q410" s="32"/>
      <c r="R410" s="4"/>
      <c r="S410" s="4"/>
      <c r="T410" s="4"/>
      <c r="U410" s="4"/>
      <c r="V410" s="4"/>
      <c r="W410" s="4"/>
      <c r="X410" s="4"/>
    </row>
    <row x14ac:dyDescent="0.25" r="411" customHeight="1" ht="12.75">
      <c r="A411" s="4"/>
      <c r="B411" s="29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29"/>
      <c r="N411" s="29"/>
      <c r="O411" s="29"/>
      <c r="P411" s="32"/>
      <c r="Q411" s="32"/>
      <c r="R411" s="4"/>
      <c r="S411" s="4"/>
      <c r="T411" s="4"/>
      <c r="U411" s="4"/>
      <c r="V411" s="4"/>
      <c r="W411" s="4"/>
      <c r="X411" s="4"/>
    </row>
    <row x14ac:dyDescent="0.25" r="412" customHeight="1" ht="12.75">
      <c r="A412" s="4"/>
      <c r="B412" s="29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29"/>
      <c r="N412" s="29"/>
      <c r="O412" s="29"/>
      <c r="P412" s="32"/>
      <c r="Q412" s="32"/>
      <c r="R412" s="4"/>
      <c r="S412" s="4"/>
      <c r="T412" s="4"/>
      <c r="U412" s="4"/>
      <c r="V412" s="4"/>
      <c r="W412" s="4"/>
      <c r="X412" s="4"/>
    </row>
    <row x14ac:dyDescent="0.25" r="413" customHeight="1" ht="12.75">
      <c r="A413" s="4"/>
      <c r="B413" s="29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29"/>
      <c r="N413" s="29"/>
      <c r="O413" s="29"/>
      <c r="P413" s="32"/>
      <c r="Q413" s="32"/>
      <c r="R413" s="4"/>
      <c r="S413" s="4"/>
      <c r="T413" s="4"/>
      <c r="U413" s="4"/>
      <c r="V413" s="4"/>
      <c r="W413" s="4"/>
      <c r="X413" s="4"/>
    </row>
    <row x14ac:dyDescent="0.25" r="414" customHeight="1" ht="12.75">
      <c r="A414" s="4"/>
      <c r="B414" s="29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29"/>
      <c r="N414" s="29"/>
      <c r="O414" s="29"/>
      <c r="P414" s="32"/>
      <c r="Q414" s="32"/>
      <c r="R414" s="4"/>
      <c r="S414" s="4"/>
      <c r="T414" s="4"/>
      <c r="U414" s="4"/>
      <c r="V414" s="4"/>
      <c r="W414" s="4"/>
      <c r="X414" s="4"/>
    </row>
    <row x14ac:dyDescent="0.25" r="415" customHeight="1" ht="12.75">
      <c r="A415" s="4"/>
      <c r="B415" s="29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29"/>
      <c r="N415" s="29"/>
      <c r="O415" s="29"/>
      <c r="P415" s="32"/>
      <c r="Q415" s="32"/>
      <c r="R415" s="4"/>
      <c r="S415" s="4"/>
      <c r="T415" s="4"/>
      <c r="U415" s="4"/>
      <c r="V415" s="4"/>
      <c r="W415" s="4"/>
      <c r="X415" s="4"/>
    </row>
    <row x14ac:dyDescent="0.25" r="416" customHeight="1" ht="12.75">
      <c r="A416" s="4"/>
      <c r="B416" s="29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29"/>
      <c r="N416" s="29"/>
      <c r="O416" s="29"/>
      <c r="P416" s="32"/>
      <c r="Q416" s="32"/>
      <c r="R416" s="4"/>
      <c r="S416" s="4"/>
      <c r="T416" s="4"/>
      <c r="U416" s="4"/>
      <c r="V416" s="4"/>
      <c r="W416" s="4"/>
      <c r="X416" s="4"/>
    </row>
    <row x14ac:dyDescent="0.25" r="417" customHeight="1" ht="12.75">
      <c r="A417" s="4"/>
      <c r="B417" s="29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29"/>
      <c r="N417" s="29"/>
      <c r="O417" s="29"/>
      <c r="P417" s="32"/>
      <c r="Q417" s="32"/>
      <c r="R417" s="4"/>
      <c r="S417" s="4"/>
      <c r="T417" s="4"/>
      <c r="U417" s="4"/>
      <c r="V417" s="4"/>
      <c r="W417" s="4"/>
      <c r="X417" s="4"/>
    </row>
    <row x14ac:dyDescent="0.25" r="418" customHeight="1" ht="12.75">
      <c r="A418" s="4"/>
      <c r="B418" s="29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29"/>
      <c r="N418" s="29"/>
      <c r="O418" s="29"/>
      <c r="P418" s="32"/>
      <c r="Q418" s="32"/>
      <c r="R418" s="4"/>
      <c r="S418" s="4"/>
      <c r="T418" s="4"/>
      <c r="U418" s="4"/>
      <c r="V418" s="4"/>
      <c r="W418" s="4"/>
      <c r="X418" s="4"/>
    </row>
    <row x14ac:dyDescent="0.25" r="419" customHeight="1" ht="12.75">
      <c r="A419" s="4"/>
      <c r="B419" s="29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29"/>
      <c r="N419" s="29"/>
      <c r="O419" s="29"/>
      <c r="P419" s="32"/>
      <c r="Q419" s="32"/>
      <c r="R419" s="4"/>
      <c r="S419" s="4"/>
      <c r="T419" s="4"/>
      <c r="U419" s="4"/>
      <c r="V419" s="4"/>
      <c r="W419" s="4"/>
      <c r="X419" s="4"/>
    </row>
    <row x14ac:dyDescent="0.25" r="420" customHeight="1" ht="12.75">
      <c r="A420" s="4"/>
      <c r="B420" s="29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29"/>
      <c r="N420" s="29"/>
      <c r="O420" s="29"/>
      <c r="P420" s="32"/>
      <c r="Q420" s="32"/>
      <c r="R420" s="4"/>
      <c r="S420" s="4"/>
      <c r="T420" s="4"/>
      <c r="U420" s="4"/>
      <c r="V420" s="4"/>
      <c r="W420" s="4"/>
      <c r="X420" s="4"/>
    </row>
    <row x14ac:dyDescent="0.25" r="421" customHeight="1" ht="12.75">
      <c r="A421" s="4"/>
      <c r="B421" s="29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29"/>
      <c r="N421" s="29"/>
      <c r="O421" s="29"/>
      <c r="P421" s="32"/>
      <c r="Q421" s="32"/>
      <c r="R421" s="4"/>
      <c r="S421" s="4"/>
      <c r="T421" s="4"/>
      <c r="U421" s="4"/>
      <c r="V421" s="4"/>
      <c r="W421" s="4"/>
      <c r="X421" s="4"/>
    </row>
    <row x14ac:dyDescent="0.25" r="422" customHeight="1" ht="12.75">
      <c r="A422" s="4"/>
      <c r="B422" s="29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29"/>
      <c r="N422" s="29"/>
      <c r="O422" s="29"/>
      <c r="P422" s="32"/>
      <c r="Q422" s="32"/>
      <c r="R422" s="4"/>
      <c r="S422" s="4"/>
      <c r="T422" s="4"/>
      <c r="U422" s="4"/>
      <c r="V422" s="4"/>
      <c r="W422" s="4"/>
      <c r="X422" s="4"/>
    </row>
    <row x14ac:dyDescent="0.25" r="423" customHeight="1" ht="12.75">
      <c r="A423" s="4"/>
      <c r="B423" s="29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29"/>
      <c r="N423" s="29"/>
      <c r="O423" s="29"/>
      <c r="P423" s="32"/>
      <c r="Q423" s="32"/>
      <c r="R423" s="4"/>
      <c r="S423" s="4"/>
      <c r="T423" s="4"/>
      <c r="U423" s="4"/>
      <c r="V423" s="4"/>
      <c r="W423" s="4"/>
      <c r="X423" s="4"/>
    </row>
    <row x14ac:dyDescent="0.25" r="424" customHeight="1" ht="12.75">
      <c r="A424" s="4"/>
      <c r="B424" s="29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29"/>
      <c r="N424" s="29"/>
      <c r="O424" s="29"/>
      <c r="P424" s="32"/>
      <c r="Q424" s="32"/>
      <c r="R424" s="4"/>
      <c r="S424" s="4"/>
      <c r="T424" s="4"/>
      <c r="U424" s="4"/>
      <c r="V424" s="4"/>
      <c r="W424" s="4"/>
      <c r="X424" s="4"/>
    </row>
    <row x14ac:dyDescent="0.25" r="425" customHeight="1" ht="12.75">
      <c r="A425" s="4"/>
      <c r="B425" s="29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29"/>
      <c r="N425" s="29"/>
      <c r="O425" s="29"/>
      <c r="P425" s="32"/>
      <c r="Q425" s="32"/>
      <c r="R425" s="4"/>
      <c r="S425" s="4"/>
      <c r="T425" s="4"/>
      <c r="U425" s="4"/>
      <c r="V425" s="4"/>
      <c r="W425" s="4"/>
      <c r="X425" s="4"/>
    </row>
    <row x14ac:dyDescent="0.25" r="426" customHeight="1" ht="12.75">
      <c r="A426" s="4"/>
      <c r="B426" s="29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29"/>
      <c r="N426" s="29"/>
      <c r="O426" s="29"/>
      <c r="P426" s="32"/>
      <c r="Q426" s="32"/>
      <c r="R426" s="4"/>
      <c r="S426" s="4"/>
      <c r="T426" s="4"/>
      <c r="U426" s="4"/>
      <c r="V426" s="4"/>
      <c r="W426" s="4"/>
      <c r="X426" s="4"/>
    </row>
    <row x14ac:dyDescent="0.25" r="427" customHeight="1" ht="12.75">
      <c r="A427" s="4"/>
      <c r="B427" s="29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29"/>
      <c r="N427" s="29"/>
      <c r="O427" s="29"/>
      <c r="P427" s="32"/>
      <c r="Q427" s="32"/>
      <c r="R427" s="4"/>
      <c r="S427" s="4"/>
      <c r="T427" s="4"/>
      <c r="U427" s="4"/>
      <c r="V427" s="4"/>
      <c r="W427" s="4"/>
      <c r="X427" s="4"/>
    </row>
    <row x14ac:dyDescent="0.25" r="428" customHeight="1" ht="12.75">
      <c r="A428" s="4"/>
      <c r="B428" s="29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29"/>
      <c r="N428" s="29"/>
      <c r="O428" s="29"/>
      <c r="P428" s="32"/>
      <c r="Q428" s="32"/>
      <c r="R428" s="4"/>
      <c r="S428" s="4"/>
      <c r="T428" s="4"/>
      <c r="U428" s="4"/>
      <c r="V428" s="4"/>
      <c r="W428" s="4"/>
      <c r="X428" s="4"/>
    </row>
    <row x14ac:dyDescent="0.25" r="429" customHeight="1" ht="12.75">
      <c r="A429" s="4"/>
      <c r="B429" s="29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29"/>
      <c r="N429" s="29"/>
      <c r="O429" s="29"/>
      <c r="P429" s="32"/>
      <c r="Q429" s="32"/>
      <c r="R429" s="4"/>
      <c r="S429" s="4"/>
      <c r="T429" s="4"/>
      <c r="U429" s="4"/>
      <c r="V429" s="4"/>
      <c r="W429" s="4"/>
      <c r="X429" s="4"/>
    </row>
    <row x14ac:dyDescent="0.25" r="430" customHeight="1" ht="12.75">
      <c r="A430" s="4"/>
      <c r="B430" s="29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29"/>
      <c r="N430" s="29"/>
      <c r="O430" s="29"/>
      <c r="P430" s="32"/>
      <c r="Q430" s="32"/>
      <c r="R430" s="4"/>
      <c r="S430" s="4"/>
      <c r="T430" s="4"/>
      <c r="U430" s="4"/>
      <c r="V430" s="4"/>
      <c r="W430" s="4"/>
      <c r="X430" s="4"/>
    </row>
    <row x14ac:dyDescent="0.25" r="431" customHeight="1" ht="12.75">
      <c r="A431" s="4"/>
      <c r="B431" s="29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29"/>
      <c r="N431" s="29"/>
      <c r="O431" s="29"/>
      <c r="P431" s="32"/>
      <c r="Q431" s="32"/>
      <c r="R431" s="4"/>
      <c r="S431" s="4"/>
      <c r="T431" s="4"/>
      <c r="U431" s="4"/>
      <c r="V431" s="4"/>
      <c r="W431" s="4"/>
      <c r="X431" s="4"/>
    </row>
    <row x14ac:dyDescent="0.25" r="432" customHeight="1" ht="12.75">
      <c r="A432" s="4"/>
      <c r="B432" s="29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29"/>
      <c r="N432" s="29"/>
      <c r="O432" s="29"/>
      <c r="P432" s="32"/>
      <c r="Q432" s="32"/>
      <c r="R432" s="4"/>
      <c r="S432" s="4"/>
      <c r="T432" s="4"/>
      <c r="U432" s="4"/>
      <c r="V432" s="4"/>
      <c r="W432" s="4"/>
      <c r="X432" s="4"/>
    </row>
    <row x14ac:dyDescent="0.25" r="433" customHeight="1" ht="12.75">
      <c r="A433" s="4"/>
      <c r="B433" s="29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29"/>
      <c r="N433" s="29"/>
      <c r="O433" s="29"/>
      <c r="P433" s="32"/>
      <c r="Q433" s="32"/>
      <c r="R433" s="4"/>
      <c r="S433" s="4"/>
      <c r="T433" s="4"/>
      <c r="U433" s="4"/>
      <c r="V433" s="4"/>
      <c r="W433" s="4"/>
      <c r="X433" s="4"/>
    </row>
    <row x14ac:dyDescent="0.25" r="434" customHeight="1" ht="12.75">
      <c r="A434" s="4"/>
      <c r="B434" s="29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29"/>
      <c r="N434" s="29"/>
      <c r="O434" s="29"/>
      <c r="P434" s="32"/>
      <c r="Q434" s="32"/>
      <c r="R434" s="4"/>
      <c r="S434" s="4"/>
      <c r="T434" s="4"/>
      <c r="U434" s="4"/>
      <c r="V434" s="4"/>
      <c r="W434" s="4"/>
      <c r="X434" s="4"/>
    </row>
    <row x14ac:dyDescent="0.25" r="435" customHeight="1" ht="12.75">
      <c r="A435" s="4"/>
      <c r="B435" s="29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29"/>
      <c r="N435" s="29"/>
      <c r="O435" s="29"/>
      <c r="P435" s="32"/>
      <c r="Q435" s="32"/>
      <c r="R435" s="4"/>
      <c r="S435" s="4"/>
      <c r="T435" s="4"/>
      <c r="U435" s="4"/>
      <c r="V435" s="4"/>
      <c r="W435" s="4"/>
      <c r="X435" s="4"/>
    </row>
    <row x14ac:dyDescent="0.25" r="436" customHeight="1" ht="12.75">
      <c r="A436" s="4"/>
      <c r="B436" s="29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29"/>
      <c r="N436" s="29"/>
      <c r="O436" s="29"/>
      <c r="P436" s="32"/>
      <c r="Q436" s="32"/>
      <c r="R436" s="4"/>
      <c r="S436" s="4"/>
      <c r="T436" s="4"/>
      <c r="U436" s="4"/>
      <c r="V436" s="4"/>
      <c r="W436" s="4"/>
      <c r="X436" s="4"/>
    </row>
    <row x14ac:dyDescent="0.25" r="437" customHeight="1" ht="12.75">
      <c r="A437" s="4"/>
      <c r="B437" s="29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29"/>
      <c r="N437" s="29"/>
      <c r="O437" s="29"/>
      <c r="P437" s="32"/>
      <c r="Q437" s="32"/>
      <c r="R437" s="4"/>
      <c r="S437" s="4"/>
      <c r="T437" s="4"/>
      <c r="U437" s="4"/>
      <c r="V437" s="4"/>
      <c r="W437" s="4"/>
      <c r="X437" s="4"/>
    </row>
    <row x14ac:dyDescent="0.25" r="438" customHeight="1" ht="12.75">
      <c r="A438" s="4"/>
      <c r="B438" s="29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29"/>
      <c r="N438" s="29"/>
      <c r="O438" s="29"/>
      <c r="P438" s="32"/>
      <c r="Q438" s="32"/>
      <c r="R438" s="4"/>
      <c r="S438" s="4"/>
      <c r="T438" s="4"/>
      <c r="U438" s="4"/>
      <c r="V438" s="4"/>
      <c r="W438" s="4"/>
      <c r="X438" s="4"/>
    </row>
    <row x14ac:dyDescent="0.25" r="439" customHeight="1" ht="12.75">
      <c r="A439" s="4"/>
      <c r="B439" s="29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29"/>
      <c r="N439" s="29"/>
      <c r="O439" s="29"/>
      <c r="P439" s="32"/>
      <c r="Q439" s="32"/>
      <c r="R439" s="4"/>
      <c r="S439" s="4"/>
      <c r="T439" s="4"/>
      <c r="U439" s="4"/>
      <c r="V439" s="4"/>
      <c r="W439" s="4"/>
      <c r="X439" s="4"/>
    </row>
    <row x14ac:dyDescent="0.25" r="440" customHeight="1" ht="12.75">
      <c r="A440" s="4"/>
      <c r="B440" s="29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29"/>
      <c r="N440" s="29"/>
      <c r="O440" s="29"/>
      <c r="P440" s="32"/>
      <c r="Q440" s="32"/>
      <c r="R440" s="4"/>
      <c r="S440" s="4"/>
      <c r="T440" s="4"/>
      <c r="U440" s="4"/>
      <c r="V440" s="4"/>
      <c r="W440" s="4"/>
      <c r="X440" s="4"/>
    </row>
    <row x14ac:dyDescent="0.25" r="441" customHeight="1" ht="12.75">
      <c r="A441" s="4"/>
      <c r="B441" s="29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29"/>
      <c r="N441" s="29"/>
      <c r="O441" s="29"/>
      <c r="P441" s="32"/>
      <c r="Q441" s="32"/>
      <c r="R441" s="4"/>
      <c r="S441" s="4"/>
      <c r="T441" s="4"/>
      <c r="U441" s="4"/>
      <c r="V441" s="4"/>
      <c r="W441" s="4"/>
      <c r="X441" s="4"/>
    </row>
    <row x14ac:dyDescent="0.25" r="442" customHeight="1" ht="12.75">
      <c r="A442" s="4"/>
      <c r="B442" s="29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29"/>
      <c r="N442" s="29"/>
      <c r="O442" s="29"/>
      <c r="P442" s="32"/>
      <c r="Q442" s="32"/>
      <c r="R442" s="4"/>
      <c r="S442" s="4"/>
      <c r="T442" s="4"/>
      <c r="U442" s="4"/>
      <c r="V442" s="4"/>
      <c r="W442" s="4"/>
      <c r="X442" s="4"/>
    </row>
    <row x14ac:dyDescent="0.25" r="443" customHeight="1" ht="12.75">
      <c r="A443" s="4"/>
      <c r="B443" s="29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29"/>
      <c r="N443" s="29"/>
      <c r="O443" s="29"/>
      <c r="P443" s="32"/>
      <c r="Q443" s="32"/>
      <c r="R443" s="4"/>
      <c r="S443" s="4"/>
      <c r="T443" s="4"/>
      <c r="U443" s="4"/>
      <c r="V443" s="4"/>
      <c r="W443" s="4"/>
      <c r="X443" s="4"/>
    </row>
    <row x14ac:dyDescent="0.25" r="444" customHeight="1" ht="12.75">
      <c r="A444" s="4"/>
      <c r="B444" s="29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29"/>
      <c r="N444" s="29"/>
      <c r="O444" s="29"/>
      <c r="P444" s="32"/>
      <c r="Q444" s="32"/>
      <c r="R444" s="4"/>
      <c r="S444" s="4"/>
      <c r="T444" s="4"/>
      <c r="U444" s="4"/>
      <c r="V444" s="4"/>
      <c r="W444" s="4"/>
      <c r="X444" s="4"/>
    </row>
    <row x14ac:dyDescent="0.25" r="445" customHeight="1" ht="12.75">
      <c r="A445" s="4"/>
      <c r="B445" s="29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29"/>
      <c r="N445" s="29"/>
      <c r="O445" s="29"/>
      <c r="P445" s="32"/>
      <c r="Q445" s="32"/>
      <c r="R445" s="4"/>
      <c r="S445" s="4"/>
      <c r="T445" s="4"/>
      <c r="U445" s="4"/>
      <c r="V445" s="4"/>
      <c r="W445" s="4"/>
      <c r="X445" s="4"/>
    </row>
    <row x14ac:dyDescent="0.25" r="446" customHeight="1" ht="12.75">
      <c r="A446" s="4"/>
      <c r="B446" s="29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29"/>
      <c r="N446" s="29"/>
      <c r="O446" s="29"/>
      <c r="P446" s="32"/>
      <c r="Q446" s="32"/>
      <c r="R446" s="4"/>
      <c r="S446" s="4"/>
      <c r="T446" s="4"/>
      <c r="U446" s="4"/>
      <c r="V446" s="4"/>
      <c r="W446" s="4"/>
      <c r="X446" s="4"/>
    </row>
    <row x14ac:dyDescent="0.25" r="447" customHeight="1" ht="12.75">
      <c r="A447" s="4"/>
      <c r="B447" s="29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29"/>
      <c r="N447" s="29"/>
      <c r="O447" s="29"/>
      <c r="P447" s="32"/>
      <c r="Q447" s="32"/>
      <c r="R447" s="4"/>
      <c r="S447" s="4"/>
      <c r="T447" s="4"/>
      <c r="U447" s="4"/>
      <c r="V447" s="4"/>
      <c r="W447" s="4"/>
      <c r="X447" s="4"/>
    </row>
    <row x14ac:dyDescent="0.25" r="448" customHeight="1" ht="12.75">
      <c r="A448" s="4"/>
      <c r="B448" s="29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29"/>
      <c r="N448" s="29"/>
      <c r="O448" s="29"/>
      <c r="P448" s="32"/>
      <c r="Q448" s="32"/>
      <c r="R448" s="4"/>
      <c r="S448" s="4"/>
      <c r="T448" s="4"/>
      <c r="U448" s="4"/>
      <c r="V448" s="4"/>
      <c r="W448" s="4"/>
      <c r="X448" s="4"/>
    </row>
    <row x14ac:dyDescent="0.25" r="449" customHeight="1" ht="12.75">
      <c r="A449" s="4"/>
      <c r="B449" s="29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29"/>
      <c r="N449" s="29"/>
      <c r="O449" s="29"/>
      <c r="P449" s="32"/>
      <c r="Q449" s="32"/>
      <c r="R449" s="4"/>
      <c r="S449" s="4"/>
      <c r="T449" s="4"/>
      <c r="U449" s="4"/>
      <c r="V449" s="4"/>
      <c r="W449" s="4"/>
      <c r="X449" s="4"/>
    </row>
    <row x14ac:dyDescent="0.25" r="450" customHeight="1" ht="12.75">
      <c r="A450" s="4"/>
      <c r="B450" s="29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29"/>
      <c r="N450" s="29"/>
      <c r="O450" s="29"/>
      <c r="P450" s="32"/>
      <c r="Q450" s="32"/>
      <c r="R450" s="4"/>
      <c r="S450" s="4"/>
      <c r="T450" s="4"/>
      <c r="U450" s="4"/>
      <c r="V450" s="4"/>
      <c r="W450" s="4"/>
      <c r="X450" s="4"/>
    </row>
    <row x14ac:dyDescent="0.25" r="451" customHeight="1" ht="12.75">
      <c r="A451" s="4"/>
      <c r="B451" s="29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29"/>
      <c r="N451" s="29"/>
      <c r="O451" s="29"/>
      <c r="P451" s="32"/>
      <c r="Q451" s="32"/>
      <c r="R451" s="4"/>
      <c r="S451" s="4"/>
      <c r="T451" s="4"/>
      <c r="U451" s="4"/>
      <c r="V451" s="4"/>
      <c r="W451" s="4"/>
      <c r="X451" s="4"/>
    </row>
    <row x14ac:dyDescent="0.25" r="452" customHeight="1" ht="12.75">
      <c r="A452" s="4"/>
      <c r="B452" s="29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29"/>
      <c r="N452" s="29"/>
      <c r="O452" s="29"/>
      <c r="P452" s="32"/>
      <c r="Q452" s="32"/>
      <c r="R452" s="4"/>
      <c r="S452" s="4"/>
      <c r="T452" s="4"/>
      <c r="U452" s="4"/>
      <c r="V452" s="4"/>
      <c r="W452" s="4"/>
      <c r="X452" s="4"/>
    </row>
    <row x14ac:dyDescent="0.25" r="453" customHeight="1" ht="12.75">
      <c r="A453" s="4"/>
      <c r="B453" s="29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29"/>
      <c r="N453" s="29"/>
      <c r="O453" s="29"/>
      <c r="P453" s="32"/>
      <c r="Q453" s="32"/>
      <c r="R453" s="4"/>
      <c r="S453" s="4"/>
      <c r="T453" s="4"/>
      <c r="U453" s="4"/>
      <c r="V453" s="4"/>
      <c r="W453" s="4"/>
      <c r="X453" s="4"/>
    </row>
    <row x14ac:dyDescent="0.25" r="454" customHeight="1" ht="12.75">
      <c r="A454" s="4"/>
      <c r="B454" s="29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29"/>
      <c r="N454" s="29"/>
      <c r="O454" s="29"/>
      <c r="P454" s="32"/>
      <c r="Q454" s="32"/>
      <c r="R454" s="4"/>
      <c r="S454" s="4"/>
      <c r="T454" s="4"/>
      <c r="U454" s="4"/>
      <c r="V454" s="4"/>
      <c r="W454" s="4"/>
      <c r="X454" s="4"/>
    </row>
    <row x14ac:dyDescent="0.25" r="455" customHeight="1" ht="12.75">
      <c r="A455" s="4"/>
      <c r="B455" s="29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29"/>
      <c r="N455" s="29"/>
      <c r="O455" s="29"/>
      <c r="P455" s="32"/>
      <c r="Q455" s="32"/>
      <c r="R455" s="4"/>
      <c r="S455" s="4"/>
      <c r="T455" s="4"/>
      <c r="U455" s="4"/>
      <c r="V455" s="4"/>
      <c r="W455" s="4"/>
      <c r="X455" s="4"/>
    </row>
    <row x14ac:dyDescent="0.25" r="456" customHeight="1" ht="12.75">
      <c r="A456" s="4"/>
      <c r="B456" s="29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29"/>
      <c r="N456" s="29"/>
      <c r="O456" s="29"/>
      <c r="P456" s="32"/>
      <c r="Q456" s="32"/>
      <c r="R456" s="4"/>
      <c r="S456" s="4"/>
      <c r="T456" s="4"/>
      <c r="U456" s="4"/>
      <c r="V456" s="4"/>
      <c r="W456" s="4"/>
      <c r="X456" s="4"/>
    </row>
    <row x14ac:dyDescent="0.25" r="457" customHeight="1" ht="12.75">
      <c r="A457" s="4"/>
      <c r="B457" s="29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29"/>
      <c r="N457" s="29"/>
      <c r="O457" s="29"/>
      <c r="P457" s="32"/>
      <c r="Q457" s="32"/>
      <c r="R457" s="4"/>
      <c r="S457" s="4"/>
      <c r="T457" s="4"/>
      <c r="U457" s="4"/>
      <c r="V457" s="4"/>
      <c r="W457" s="4"/>
      <c r="X457" s="4"/>
    </row>
    <row x14ac:dyDescent="0.25" r="458" customHeight="1" ht="12.75">
      <c r="A458" s="4"/>
      <c r="B458" s="29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29"/>
      <c r="N458" s="29"/>
      <c r="O458" s="29"/>
      <c r="P458" s="32"/>
      <c r="Q458" s="32"/>
      <c r="R458" s="4"/>
      <c r="S458" s="4"/>
      <c r="T458" s="4"/>
      <c r="U458" s="4"/>
      <c r="V458" s="4"/>
      <c r="W458" s="4"/>
      <c r="X458" s="4"/>
    </row>
    <row x14ac:dyDescent="0.25" r="459" customHeight="1" ht="12.75">
      <c r="A459" s="4"/>
      <c r="B459" s="29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29"/>
      <c r="N459" s="29"/>
      <c r="O459" s="29"/>
      <c r="P459" s="32"/>
      <c r="Q459" s="32"/>
      <c r="R459" s="4"/>
      <c r="S459" s="4"/>
      <c r="T459" s="4"/>
      <c r="U459" s="4"/>
      <c r="V459" s="4"/>
      <c r="W459" s="4"/>
      <c r="X459" s="4"/>
    </row>
    <row x14ac:dyDescent="0.25" r="460" customHeight="1" ht="12.75">
      <c r="A460" s="4"/>
      <c r="B460" s="29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29"/>
      <c r="N460" s="29"/>
      <c r="O460" s="29"/>
      <c r="P460" s="32"/>
      <c r="Q460" s="32"/>
      <c r="R460" s="4"/>
      <c r="S460" s="4"/>
      <c r="T460" s="4"/>
      <c r="U460" s="4"/>
      <c r="V460" s="4"/>
      <c r="W460" s="4"/>
      <c r="X460" s="4"/>
    </row>
    <row x14ac:dyDescent="0.25" r="461" customHeight="1" ht="12.75">
      <c r="A461" s="4"/>
      <c r="B461" s="29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29"/>
      <c r="N461" s="29"/>
      <c r="O461" s="29"/>
      <c r="P461" s="32"/>
      <c r="Q461" s="32"/>
      <c r="R461" s="4"/>
      <c r="S461" s="4"/>
      <c r="T461" s="4"/>
      <c r="U461" s="4"/>
      <c r="V461" s="4"/>
      <c r="W461" s="4"/>
      <c r="X461" s="4"/>
    </row>
    <row x14ac:dyDescent="0.25" r="462" customHeight="1" ht="12.75">
      <c r="A462" s="4"/>
      <c r="B462" s="29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29"/>
      <c r="N462" s="29"/>
      <c r="O462" s="29"/>
      <c r="P462" s="32"/>
      <c r="Q462" s="32"/>
      <c r="R462" s="4"/>
      <c r="S462" s="4"/>
      <c r="T462" s="4"/>
      <c r="U462" s="4"/>
      <c r="V462" s="4"/>
      <c r="W462" s="4"/>
      <c r="X462" s="4"/>
    </row>
    <row x14ac:dyDescent="0.25" r="463" customHeight="1" ht="12.75">
      <c r="A463" s="4"/>
      <c r="B463" s="29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29"/>
      <c r="N463" s="29"/>
      <c r="O463" s="29"/>
      <c r="P463" s="32"/>
      <c r="Q463" s="32"/>
      <c r="R463" s="4"/>
      <c r="S463" s="4"/>
      <c r="T463" s="4"/>
      <c r="U463" s="4"/>
      <c r="V463" s="4"/>
      <c r="W463" s="4"/>
      <c r="X463" s="4"/>
    </row>
    <row x14ac:dyDescent="0.25" r="464" customHeight="1" ht="12.75">
      <c r="A464" s="4"/>
      <c r="B464" s="29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29"/>
      <c r="N464" s="29"/>
      <c r="O464" s="29"/>
      <c r="P464" s="32"/>
      <c r="Q464" s="32"/>
      <c r="R464" s="4"/>
      <c r="S464" s="4"/>
      <c r="T464" s="4"/>
      <c r="U464" s="4"/>
      <c r="V464" s="4"/>
      <c r="W464" s="4"/>
      <c r="X464" s="4"/>
    </row>
    <row x14ac:dyDescent="0.25" r="465" customHeight="1" ht="12.75">
      <c r="A465" s="4"/>
      <c r="B465" s="29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29"/>
      <c r="N465" s="29"/>
      <c r="O465" s="29"/>
      <c r="P465" s="32"/>
      <c r="Q465" s="32"/>
      <c r="R465" s="4"/>
      <c r="S465" s="4"/>
      <c r="T465" s="4"/>
      <c r="U465" s="4"/>
      <c r="V465" s="4"/>
      <c r="W465" s="4"/>
      <c r="X465" s="4"/>
    </row>
    <row x14ac:dyDescent="0.25" r="466" customHeight="1" ht="12.75">
      <c r="A466" s="4"/>
      <c r="B466" s="29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29"/>
      <c r="N466" s="29"/>
      <c r="O466" s="29"/>
      <c r="P466" s="32"/>
      <c r="Q466" s="32"/>
      <c r="R466" s="4"/>
      <c r="S466" s="4"/>
      <c r="T466" s="4"/>
      <c r="U466" s="4"/>
      <c r="V466" s="4"/>
      <c r="W466" s="4"/>
      <c r="X466" s="4"/>
    </row>
    <row x14ac:dyDescent="0.25" r="467" customHeight="1" ht="12.75">
      <c r="A467" s="4"/>
      <c r="B467" s="29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29"/>
      <c r="N467" s="29"/>
      <c r="O467" s="29"/>
      <c r="P467" s="32"/>
      <c r="Q467" s="32"/>
      <c r="R467" s="4"/>
      <c r="S467" s="4"/>
      <c r="T467" s="4"/>
      <c r="U467" s="4"/>
      <c r="V467" s="4"/>
      <c r="W467" s="4"/>
      <c r="X467" s="4"/>
    </row>
    <row x14ac:dyDescent="0.25" r="468" customHeight="1" ht="12.75">
      <c r="A468" s="4"/>
      <c r="B468" s="29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29"/>
      <c r="N468" s="29"/>
      <c r="O468" s="29"/>
      <c r="P468" s="32"/>
      <c r="Q468" s="32"/>
      <c r="R468" s="4"/>
      <c r="S468" s="4"/>
      <c r="T468" s="4"/>
      <c r="U468" s="4"/>
      <c r="V468" s="4"/>
      <c r="W468" s="4"/>
      <c r="X468" s="4"/>
    </row>
    <row x14ac:dyDescent="0.25" r="469" customHeight="1" ht="12.75">
      <c r="A469" s="4"/>
      <c r="B469" s="29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29"/>
      <c r="N469" s="29"/>
      <c r="O469" s="29"/>
      <c r="P469" s="32"/>
      <c r="Q469" s="32"/>
      <c r="R469" s="4"/>
      <c r="S469" s="4"/>
      <c r="T469" s="4"/>
      <c r="U469" s="4"/>
      <c r="V469" s="4"/>
      <c r="W469" s="4"/>
      <c r="X469" s="4"/>
    </row>
    <row x14ac:dyDescent="0.25" r="470" customHeight="1" ht="12.75">
      <c r="A470" s="4"/>
      <c r="B470" s="29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29"/>
      <c r="N470" s="29"/>
      <c r="O470" s="29"/>
      <c r="P470" s="32"/>
      <c r="Q470" s="32"/>
      <c r="R470" s="4"/>
      <c r="S470" s="4"/>
      <c r="T470" s="4"/>
      <c r="U470" s="4"/>
      <c r="V470" s="4"/>
      <c r="W470" s="4"/>
      <c r="X470" s="4"/>
    </row>
    <row x14ac:dyDescent="0.25" r="471" customHeight="1" ht="12.75">
      <c r="A471" s="4"/>
      <c r="B471" s="29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29"/>
      <c r="N471" s="29"/>
      <c r="O471" s="29"/>
      <c r="P471" s="32"/>
      <c r="Q471" s="32"/>
      <c r="R471" s="4"/>
      <c r="S471" s="4"/>
      <c r="T471" s="4"/>
      <c r="U471" s="4"/>
      <c r="V471" s="4"/>
      <c r="W471" s="4"/>
      <c r="X471" s="4"/>
    </row>
    <row x14ac:dyDescent="0.25" r="472" customHeight="1" ht="12.75">
      <c r="A472" s="4"/>
      <c r="B472" s="29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29"/>
      <c r="N472" s="29"/>
      <c r="O472" s="29"/>
      <c r="P472" s="32"/>
      <c r="Q472" s="32"/>
      <c r="R472" s="4"/>
      <c r="S472" s="4"/>
      <c r="T472" s="4"/>
      <c r="U472" s="4"/>
      <c r="V472" s="4"/>
      <c r="W472" s="4"/>
      <c r="X472" s="4"/>
    </row>
    <row x14ac:dyDescent="0.25" r="473" customHeight="1" ht="12.75">
      <c r="A473" s="4"/>
      <c r="B473" s="29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29"/>
      <c r="N473" s="29"/>
      <c r="O473" s="29"/>
      <c r="P473" s="32"/>
      <c r="Q473" s="32"/>
      <c r="R473" s="4"/>
      <c r="S473" s="4"/>
      <c r="T473" s="4"/>
      <c r="U473" s="4"/>
      <c r="V473" s="4"/>
      <c r="W473" s="4"/>
      <c r="X473" s="4"/>
    </row>
    <row x14ac:dyDescent="0.25" r="474" customHeight="1" ht="12.75">
      <c r="A474" s="4"/>
      <c r="B474" s="29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29"/>
      <c r="N474" s="29"/>
      <c r="O474" s="29"/>
      <c r="P474" s="32"/>
      <c r="Q474" s="32"/>
      <c r="R474" s="4"/>
      <c r="S474" s="4"/>
      <c r="T474" s="4"/>
      <c r="U474" s="4"/>
      <c r="V474" s="4"/>
      <c r="W474" s="4"/>
      <c r="X474" s="4"/>
    </row>
    <row x14ac:dyDescent="0.25" r="475" customHeight="1" ht="12.75">
      <c r="A475" s="4"/>
      <c r="B475" s="29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29"/>
      <c r="N475" s="29"/>
      <c r="O475" s="29"/>
      <c r="P475" s="32"/>
      <c r="Q475" s="32"/>
      <c r="R475" s="4"/>
      <c r="S475" s="4"/>
      <c r="T475" s="4"/>
      <c r="U475" s="4"/>
      <c r="V475" s="4"/>
      <c r="W475" s="4"/>
      <c r="X475" s="4"/>
    </row>
    <row x14ac:dyDescent="0.25" r="476" customHeight="1" ht="12.75">
      <c r="A476" s="4"/>
      <c r="B476" s="29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29"/>
      <c r="N476" s="29"/>
      <c r="O476" s="29"/>
      <c r="P476" s="32"/>
      <c r="Q476" s="32"/>
      <c r="R476" s="4"/>
      <c r="S476" s="4"/>
      <c r="T476" s="4"/>
      <c r="U476" s="4"/>
      <c r="V476" s="4"/>
      <c r="W476" s="4"/>
      <c r="X476" s="4"/>
    </row>
    <row x14ac:dyDescent="0.25" r="477" customHeight="1" ht="12.75">
      <c r="A477" s="4"/>
      <c r="B477" s="29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29"/>
      <c r="N477" s="29"/>
      <c r="O477" s="29"/>
      <c r="P477" s="32"/>
      <c r="Q477" s="32"/>
      <c r="R477" s="4"/>
      <c r="S477" s="4"/>
      <c r="T477" s="4"/>
      <c r="U477" s="4"/>
      <c r="V477" s="4"/>
      <c r="W477" s="4"/>
      <c r="X477" s="4"/>
    </row>
    <row x14ac:dyDescent="0.25" r="478" customHeight="1" ht="12.75">
      <c r="A478" s="4"/>
      <c r="B478" s="29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29"/>
      <c r="N478" s="29"/>
      <c r="O478" s="29"/>
      <c r="P478" s="32"/>
      <c r="Q478" s="32"/>
      <c r="R478" s="4"/>
      <c r="S478" s="4"/>
      <c r="T478" s="4"/>
      <c r="U478" s="4"/>
      <c r="V478" s="4"/>
      <c r="W478" s="4"/>
      <c r="X478" s="4"/>
    </row>
    <row x14ac:dyDescent="0.25" r="479" customHeight="1" ht="12.75">
      <c r="A479" s="4"/>
      <c r="B479" s="29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29"/>
      <c r="N479" s="29"/>
      <c r="O479" s="29"/>
      <c r="P479" s="32"/>
      <c r="Q479" s="32"/>
      <c r="R479" s="4"/>
      <c r="S479" s="4"/>
      <c r="T479" s="4"/>
      <c r="U479" s="4"/>
      <c r="V479" s="4"/>
      <c r="W479" s="4"/>
      <c r="X479" s="4"/>
    </row>
    <row x14ac:dyDescent="0.25" r="480" customHeight="1" ht="12.75">
      <c r="A480" s="4"/>
      <c r="B480" s="29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29"/>
      <c r="N480" s="29"/>
      <c r="O480" s="29"/>
      <c r="P480" s="32"/>
      <c r="Q480" s="32"/>
      <c r="R480" s="4"/>
      <c r="S480" s="4"/>
      <c r="T480" s="4"/>
      <c r="U480" s="4"/>
      <c r="V480" s="4"/>
      <c r="W480" s="4"/>
      <c r="X480" s="4"/>
    </row>
    <row x14ac:dyDescent="0.25" r="481" customHeight="1" ht="12.75">
      <c r="A481" s="4"/>
      <c r="B481" s="29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29"/>
      <c r="N481" s="29"/>
      <c r="O481" s="29"/>
      <c r="P481" s="32"/>
      <c r="Q481" s="32"/>
      <c r="R481" s="4"/>
      <c r="S481" s="4"/>
      <c r="T481" s="4"/>
      <c r="U481" s="4"/>
      <c r="V481" s="4"/>
      <c r="W481" s="4"/>
      <c r="X481" s="4"/>
    </row>
    <row x14ac:dyDescent="0.25" r="482" customHeight="1" ht="12.75">
      <c r="A482" s="4"/>
      <c r="B482" s="29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29"/>
      <c r="N482" s="29"/>
      <c r="O482" s="29"/>
      <c r="P482" s="32"/>
      <c r="Q482" s="32"/>
      <c r="R482" s="4"/>
      <c r="S482" s="4"/>
      <c r="T482" s="4"/>
      <c r="U482" s="4"/>
      <c r="V482" s="4"/>
      <c r="W482" s="4"/>
      <c r="X482" s="4"/>
    </row>
    <row x14ac:dyDescent="0.25" r="483" customHeight="1" ht="12.75">
      <c r="A483" s="4"/>
      <c r="B483" s="29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29"/>
      <c r="N483" s="29"/>
      <c r="O483" s="29"/>
      <c r="P483" s="32"/>
      <c r="Q483" s="32"/>
      <c r="R483" s="4"/>
      <c r="S483" s="4"/>
      <c r="T483" s="4"/>
      <c r="U483" s="4"/>
      <c r="V483" s="4"/>
      <c r="W483" s="4"/>
      <c r="X483" s="4"/>
    </row>
    <row x14ac:dyDescent="0.25" r="484" customHeight="1" ht="12.75">
      <c r="A484" s="4"/>
      <c r="B484" s="29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29"/>
      <c r="N484" s="29"/>
      <c r="O484" s="29"/>
      <c r="P484" s="32"/>
      <c r="Q484" s="32"/>
      <c r="R484" s="4"/>
      <c r="S484" s="4"/>
      <c r="T484" s="4"/>
      <c r="U484" s="4"/>
      <c r="V484" s="4"/>
      <c r="W484" s="4"/>
      <c r="X484" s="4"/>
    </row>
    <row x14ac:dyDescent="0.25" r="485" customHeight="1" ht="12.75">
      <c r="A485" s="4"/>
      <c r="B485" s="29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29"/>
      <c r="N485" s="29"/>
      <c r="O485" s="29"/>
      <c r="P485" s="32"/>
      <c r="Q485" s="32"/>
      <c r="R485" s="4"/>
      <c r="S485" s="4"/>
      <c r="T485" s="4"/>
      <c r="U485" s="4"/>
      <c r="V485" s="4"/>
      <c r="W485" s="4"/>
      <c r="X485" s="4"/>
    </row>
    <row x14ac:dyDescent="0.25" r="486" customHeight="1" ht="12.75">
      <c r="A486" s="4"/>
      <c r="B486" s="29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29"/>
      <c r="N486" s="29"/>
      <c r="O486" s="29"/>
      <c r="P486" s="32"/>
      <c r="Q486" s="32"/>
      <c r="R486" s="4"/>
      <c r="S486" s="4"/>
      <c r="T486" s="4"/>
      <c r="U486" s="4"/>
      <c r="V486" s="4"/>
      <c r="W486" s="4"/>
      <c r="X486" s="4"/>
    </row>
    <row x14ac:dyDescent="0.25" r="487" customHeight="1" ht="12.75">
      <c r="A487" s="4"/>
      <c r="B487" s="29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29"/>
      <c r="N487" s="29"/>
      <c r="O487" s="29"/>
      <c r="P487" s="32"/>
      <c r="Q487" s="32"/>
      <c r="R487" s="4"/>
      <c r="S487" s="4"/>
      <c r="T487" s="4"/>
      <c r="U487" s="4"/>
      <c r="V487" s="4"/>
      <c r="W487" s="4"/>
      <c r="X487" s="4"/>
    </row>
    <row x14ac:dyDescent="0.25" r="488" customHeight="1" ht="12.75">
      <c r="A488" s="4"/>
      <c r="B488" s="29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29"/>
      <c r="N488" s="29"/>
      <c r="O488" s="29"/>
      <c r="P488" s="32"/>
      <c r="Q488" s="32"/>
      <c r="R488" s="4"/>
      <c r="S488" s="4"/>
      <c r="T488" s="4"/>
      <c r="U488" s="4"/>
      <c r="V488" s="4"/>
      <c r="W488" s="4"/>
      <c r="X488" s="4"/>
    </row>
    <row x14ac:dyDescent="0.25" r="489" customHeight="1" ht="12.75">
      <c r="A489" s="4"/>
      <c r="B489" s="29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29"/>
      <c r="N489" s="29"/>
      <c r="O489" s="29"/>
      <c r="P489" s="32"/>
      <c r="Q489" s="32"/>
      <c r="R489" s="4"/>
      <c r="S489" s="4"/>
      <c r="T489" s="4"/>
      <c r="U489" s="4"/>
      <c r="V489" s="4"/>
      <c r="W489" s="4"/>
      <c r="X489" s="4"/>
    </row>
    <row x14ac:dyDescent="0.25" r="490" customHeight="1" ht="12.75">
      <c r="A490" s="4"/>
      <c r="B490" s="29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29"/>
      <c r="N490" s="29"/>
      <c r="O490" s="29"/>
      <c r="P490" s="32"/>
      <c r="Q490" s="32"/>
      <c r="R490" s="4"/>
      <c r="S490" s="4"/>
      <c r="T490" s="4"/>
      <c r="U490" s="4"/>
      <c r="V490" s="4"/>
      <c r="W490" s="4"/>
      <c r="X490" s="4"/>
    </row>
    <row x14ac:dyDescent="0.25" r="491" customHeight="1" ht="12.75">
      <c r="A491" s="4"/>
      <c r="B491" s="29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29"/>
      <c r="N491" s="29"/>
      <c r="O491" s="29"/>
      <c r="P491" s="32"/>
      <c r="Q491" s="32"/>
      <c r="R491" s="4"/>
      <c r="S491" s="4"/>
      <c r="T491" s="4"/>
      <c r="U491" s="4"/>
      <c r="V491" s="4"/>
      <c r="W491" s="4"/>
      <c r="X491" s="4"/>
    </row>
    <row x14ac:dyDescent="0.25" r="492" customHeight="1" ht="12.75">
      <c r="A492" s="4"/>
      <c r="B492" s="29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29"/>
      <c r="N492" s="29"/>
      <c r="O492" s="29"/>
      <c r="P492" s="32"/>
      <c r="Q492" s="32"/>
      <c r="R492" s="4"/>
      <c r="S492" s="4"/>
      <c r="T492" s="4"/>
      <c r="U492" s="4"/>
      <c r="V492" s="4"/>
      <c r="W492" s="4"/>
      <c r="X492" s="4"/>
    </row>
    <row x14ac:dyDescent="0.25" r="493" customHeight="1" ht="12.75">
      <c r="A493" s="4"/>
      <c r="B493" s="29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29"/>
      <c r="N493" s="29"/>
      <c r="O493" s="29"/>
      <c r="P493" s="32"/>
      <c r="Q493" s="32"/>
      <c r="R493" s="4"/>
      <c r="S493" s="4"/>
      <c r="T493" s="4"/>
      <c r="U493" s="4"/>
      <c r="V493" s="4"/>
      <c r="W493" s="4"/>
      <c r="X493" s="4"/>
    </row>
    <row x14ac:dyDescent="0.25" r="494" customHeight="1" ht="12.75">
      <c r="A494" s="4"/>
      <c r="B494" s="29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29"/>
      <c r="N494" s="29"/>
      <c r="O494" s="29"/>
      <c r="P494" s="32"/>
      <c r="Q494" s="32"/>
      <c r="R494" s="4"/>
      <c r="S494" s="4"/>
      <c r="T494" s="4"/>
      <c r="U494" s="4"/>
      <c r="V494" s="4"/>
      <c r="W494" s="4"/>
      <c r="X494" s="4"/>
    </row>
    <row x14ac:dyDescent="0.25" r="495" customHeight="1" ht="12.75">
      <c r="A495" s="4"/>
      <c r="B495" s="29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29"/>
      <c r="N495" s="29"/>
      <c r="O495" s="29"/>
      <c r="P495" s="32"/>
      <c r="Q495" s="32"/>
      <c r="R495" s="4"/>
      <c r="S495" s="4"/>
      <c r="T495" s="4"/>
      <c r="U495" s="4"/>
      <c r="V495" s="4"/>
      <c r="W495" s="4"/>
      <c r="X495" s="4"/>
    </row>
    <row x14ac:dyDescent="0.25" r="496" customHeight="1" ht="12.75">
      <c r="A496" s="4"/>
      <c r="B496" s="29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29"/>
      <c r="N496" s="29"/>
      <c r="O496" s="29"/>
      <c r="P496" s="32"/>
      <c r="Q496" s="32"/>
      <c r="R496" s="4"/>
      <c r="S496" s="4"/>
      <c r="T496" s="4"/>
      <c r="U496" s="4"/>
      <c r="V496" s="4"/>
      <c r="W496" s="4"/>
      <c r="X496" s="4"/>
    </row>
    <row x14ac:dyDescent="0.25" r="497" customHeight="1" ht="12.75">
      <c r="A497" s="4"/>
      <c r="B497" s="29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29"/>
      <c r="N497" s="29"/>
      <c r="O497" s="29"/>
      <c r="P497" s="32"/>
      <c r="Q497" s="32"/>
      <c r="R497" s="4"/>
      <c r="S497" s="4"/>
      <c r="T497" s="4"/>
      <c r="U497" s="4"/>
      <c r="V497" s="4"/>
      <c r="W497" s="4"/>
      <c r="X497" s="4"/>
    </row>
    <row x14ac:dyDescent="0.25" r="498" customHeight="1" ht="12.75">
      <c r="A498" s="4"/>
      <c r="B498" s="29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29"/>
      <c r="N498" s="29"/>
      <c r="O498" s="29"/>
      <c r="P498" s="32"/>
      <c r="Q498" s="32"/>
      <c r="R498" s="4"/>
      <c r="S498" s="4"/>
      <c r="T498" s="4"/>
      <c r="U498" s="4"/>
      <c r="V498" s="4"/>
      <c r="W498" s="4"/>
      <c r="X498" s="4"/>
    </row>
    <row x14ac:dyDescent="0.25" r="499" customHeight="1" ht="12.75">
      <c r="A499" s="4"/>
      <c r="B499" s="29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29"/>
      <c r="N499" s="29"/>
      <c r="O499" s="29"/>
      <c r="P499" s="32"/>
      <c r="Q499" s="32"/>
      <c r="R499" s="4"/>
      <c r="S499" s="4"/>
      <c r="T499" s="4"/>
      <c r="U499" s="4"/>
      <c r="V499" s="4"/>
      <c r="W499" s="4"/>
      <c r="X499" s="4"/>
    </row>
    <row x14ac:dyDescent="0.25" r="500" customHeight="1" ht="12.75">
      <c r="A500" s="4"/>
      <c r="B500" s="29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29"/>
      <c r="N500" s="29"/>
      <c r="O500" s="29"/>
      <c r="P500" s="32"/>
      <c r="Q500" s="32"/>
      <c r="R500" s="4"/>
      <c r="S500" s="4"/>
      <c r="T500" s="4"/>
      <c r="U500" s="4"/>
      <c r="V500" s="4"/>
      <c r="W500" s="4"/>
      <c r="X500" s="4"/>
    </row>
    <row x14ac:dyDescent="0.25" r="501" customHeight="1" ht="12.75">
      <c r="A501" s="4"/>
      <c r="B501" s="29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29"/>
      <c r="N501" s="29"/>
      <c r="O501" s="29"/>
      <c r="P501" s="32"/>
      <c r="Q501" s="32"/>
      <c r="R501" s="4"/>
      <c r="S501" s="4"/>
      <c r="T501" s="4"/>
      <c r="U501" s="4"/>
      <c r="V501" s="4"/>
      <c r="W501" s="4"/>
      <c r="X501" s="4"/>
    </row>
    <row x14ac:dyDescent="0.25" r="502" customHeight="1" ht="12.75">
      <c r="A502" s="4"/>
      <c r="B502" s="29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29"/>
      <c r="N502" s="29"/>
      <c r="O502" s="29"/>
      <c r="P502" s="32"/>
      <c r="Q502" s="32"/>
      <c r="R502" s="4"/>
      <c r="S502" s="4"/>
      <c r="T502" s="4"/>
      <c r="U502" s="4"/>
      <c r="V502" s="4"/>
      <c r="W502" s="4"/>
      <c r="X502" s="4"/>
    </row>
    <row x14ac:dyDescent="0.25" r="503" customHeight="1" ht="12.75">
      <c r="A503" s="4"/>
      <c r="B503" s="29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29"/>
      <c r="N503" s="29"/>
      <c r="O503" s="29"/>
      <c r="P503" s="32"/>
      <c r="Q503" s="32"/>
      <c r="R503" s="4"/>
      <c r="S503" s="4"/>
      <c r="T503" s="4"/>
      <c r="U503" s="4"/>
      <c r="V503" s="4"/>
      <c r="W503" s="4"/>
      <c r="X503" s="4"/>
    </row>
    <row x14ac:dyDescent="0.25" r="504" customHeight="1" ht="12.75">
      <c r="A504" s="4"/>
      <c r="B504" s="29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29"/>
      <c r="N504" s="29"/>
      <c r="O504" s="29"/>
      <c r="P504" s="32"/>
      <c r="Q504" s="32"/>
      <c r="R504" s="4"/>
      <c r="S504" s="4"/>
      <c r="T504" s="4"/>
      <c r="U504" s="4"/>
      <c r="V504" s="4"/>
      <c r="W504" s="4"/>
      <c r="X504" s="4"/>
    </row>
    <row x14ac:dyDescent="0.25" r="505" customHeight="1" ht="12.75">
      <c r="A505" s="4"/>
      <c r="B505" s="29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29"/>
      <c r="N505" s="29"/>
      <c r="O505" s="29"/>
      <c r="P505" s="32"/>
      <c r="Q505" s="32"/>
      <c r="R505" s="4"/>
      <c r="S505" s="4"/>
      <c r="T505" s="4"/>
      <c r="U505" s="4"/>
      <c r="V505" s="4"/>
      <c r="W505" s="4"/>
      <c r="X505" s="4"/>
    </row>
    <row x14ac:dyDescent="0.25" r="506" customHeight="1" ht="12.75">
      <c r="A506" s="4"/>
      <c r="B506" s="29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29"/>
      <c r="N506" s="29"/>
      <c r="O506" s="29"/>
      <c r="P506" s="32"/>
      <c r="Q506" s="32"/>
      <c r="R506" s="4"/>
      <c r="S506" s="4"/>
      <c r="T506" s="4"/>
      <c r="U506" s="4"/>
      <c r="V506" s="4"/>
      <c r="W506" s="4"/>
      <c r="X506" s="4"/>
    </row>
    <row x14ac:dyDescent="0.25" r="507" customHeight="1" ht="12.75">
      <c r="A507" s="4"/>
      <c r="B507" s="29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29"/>
      <c r="N507" s="29"/>
      <c r="O507" s="29"/>
      <c r="P507" s="32"/>
      <c r="Q507" s="32"/>
      <c r="R507" s="4"/>
      <c r="S507" s="4"/>
      <c r="T507" s="4"/>
      <c r="U507" s="4"/>
      <c r="V507" s="4"/>
      <c r="W507" s="4"/>
      <c r="X507" s="4"/>
    </row>
    <row x14ac:dyDescent="0.25" r="508" customHeight="1" ht="12.75">
      <c r="A508" s="4"/>
      <c r="B508" s="29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29"/>
      <c r="N508" s="29"/>
      <c r="O508" s="29"/>
      <c r="P508" s="32"/>
      <c r="Q508" s="32"/>
      <c r="R508" s="4"/>
      <c r="S508" s="4"/>
      <c r="T508" s="4"/>
      <c r="U508" s="4"/>
      <c r="V508" s="4"/>
      <c r="W508" s="4"/>
      <c r="X508" s="4"/>
    </row>
    <row x14ac:dyDescent="0.25" r="509" customHeight="1" ht="12.75">
      <c r="A509" s="4"/>
      <c r="B509" s="29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29"/>
      <c r="N509" s="29"/>
      <c r="O509" s="29"/>
      <c r="P509" s="32"/>
      <c r="Q509" s="32"/>
      <c r="R509" s="4"/>
      <c r="S509" s="4"/>
      <c r="T509" s="4"/>
      <c r="U509" s="4"/>
      <c r="V509" s="4"/>
      <c r="W509" s="4"/>
      <c r="X509" s="4"/>
    </row>
    <row x14ac:dyDescent="0.25" r="510" customHeight="1" ht="12.75">
      <c r="A510" s="4"/>
      <c r="B510" s="29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29"/>
      <c r="N510" s="29"/>
      <c r="O510" s="29"/>
      <c r="P510" s="32"/>
      <c r="Q510" s="32"/>
      <c r="R510" s="4"/>
      <c r="S510" s="4"/>
      <c r="T510" s="4"/>
      <c r="U510" s="4"/>
      <c r="V510" s="4"/>
      <c r="W510" s="4"/>
      <c r="X510" s="4"/>
    </row>
    <row x14ac:dyDescent="0.25" r="511" customHeight="1" ht="12.75">
      <c r="A511" s="4"/>
      <c r="B511" s="29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29"/>
      <c r="N511" s="29"/>
      <c r="O511" s="29"/>
      <c r="P511" s="32"/>
      <c r="Q511" s="32"/>
      <c r="R511" s="4"/>
      <c r="S511" s="4"/>
      <c r="T511" s="4"/>
      <c r="U511" s="4"/>
      <c r="V511" s="4"/>
      <c r="W511" s="4"/>
      <c r="X511" s="4"/>
    </row>
    <row x14ac:dyDescent="0.25" r="512" customHeight="1" ht="12.75">
      <c r="A512" s="4"/>
      <c r="B512" s="29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29"/>
      <c r="N512" s="29"/>
      <c r="O512" s="29"/>
      <c r="P512" s="32"/>
      <c r="Q512" s="32"/>
      <c r="R512" s="4"/>
      <c r="S512" s="4"/>
      <c r="T512" s="4"/>
      <c r="U512" s="4"/>
      <c r="V512" s="4"/>
      <c r="W512" s="4"/>
      <c r="X512" s="4"/>
    </row>
    <row x14ac:dyDescent="0.25" r="513" customHeight="1" ht="12.75">
      <c r="A513" s="4"/>
      <c r="B513" s="29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29"/>
      <c r="N513" s="29"/>
      <c r="O513" s="29"/>
      <c r="P513" s="32"/>
      <c r="Q513" s="32"/>
      <c r="R513" s="4"/>
      <c r="S513" s="4"/>
      <c r="T513" s="4"/>
      <c r="U513" s="4"/>
      <c r="V513" s="4"/>
      <c r="W513" s="4"/>
      <c r="X513" s="4"/>
    </row>
    <row x14ac:dyDescent="0.25" r="514" customHeight="1" ht="12.75">
      <c r="A514" s="4"/>
      <c r="B514" s="29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29"/>
      <c r="N514" s="29"/>
      <c r="O514" s="29"/>
      <c r="P514" s="32"/>
      <c r="Q514" s="32"/>
      <c r="R514" s="4"/>
      <c r="S514" s="4"/>
      <c r="T514" s="4"/>
      <c r="U514" s="4"/>
      <c r="V514" s="4"/>
      <c r="W514" s="4"/>
      <c r="X514" s="4"/>
    </row>
    <row x14ac:dyDescent="0.25" r="515" customHeight="1" ht="12.75">
      <c r="A515" s="4"/>
      <c r="B515" s="29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29"/>
      <c r="N515" s="29"/>
      <c r="O515" s="29"/>
      <c r="P515" s="32"/>
      <c r="Q515" s="32"/>
      <c r="R515" s="4"/>
      <c r="S515" s="4"/>
      <c r="T515" s="4"/>
      <c r="U515" s="4"/>
      <c r="V515" s="4"/>
      <c r="W515" s="4"/>
      <c r="X515" s="4"/>
    </row>
    <row x14ac:dyDescent="0.25" r="516" customHeight="1" ht="12.75">
      <c r="A516" s="4"/>
      <c r="B516" s="29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29"/>
      <c r="N516" s="29"/>
      <c r="O516" s="29"/>
      <c r="P516" s="32"/>
      <c r="Q516" s="32"/>
      <c r="R516" s="4"/>
      <c r="S516" s="4"/>
      <c r="T516" s="4"/>
      <c r="U516" s="4"/>
      <c r="V516" s="4"/>
      <c r="W516" s="4"/>
      <c r="X516" s="4"/>
    </row>
    <row x14ac:dyDescent="0.25" r="517" customHeight="1" ht="12.75">
      <c r="A517" s="4"/>
      <c r="B517" s="29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29"/>
      <c r="N517" s="29"/>
      <c r="O517" s="29"/>
      <c r="P517" s="32"/>
      <c r="Q517" s="32"/>
      <c r="R517" s="4"/>
      <c r="S517" s="4"/>
      <c r="T517" s="4"/>
      <c r="U517" s="4"/>
      <c r="V517" s="4"/>
      <c r="W517" s="4"/>
      <c r="X517" s="4"/>
    </row>
    <row x14ac:dyDescent="0.25" r="518" customHeight="1" ht="12.75">
      <c r="A518" s="4"/>
      <c r="B518" s="29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29"/>
      <c r="N518" s="29"/>
      <c r="O518" s="29"/>
      <c r="P518" s="32"/>
      <c r="Q518" s="32"/>
      <c r="R518" s="4"/>
      <c r="S518" s="4"/>
      <c r="T518" s="4"/>
      <c r="U518" s="4"/>
      <c r="V518" s="4"/>
      <c r="W518" s="4"/>
      <c r="X518" s="4"/>
    </row>
    <row x14ac:dyDescent="0.25" r="519" customHeight="1" ht="12.75">
      <c r="A519" s="4"/>
      <c r="B519" s="29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29"/>
      <c r="N519" s="29"/>
      <c r="O519" s="29"/>
      <c r="P519" s="32"/>
      <c r="Q519" s="32"/>
      <c r="R519" s="4"/>
      <c r="S519" s="4"/>
      <c r="T519" s="4"/>
      <c r="U519" s="4"/>
      <c r="V519" s="4"/>
      <c r="W519" s="4"/>
      <c r="X519" s="4"/>
    </row>
    <row x14ac:dyDescent="0.25" r="520" customHeight="1" ht="12.75">
      <c r="A520" s="4"/>
      <c r="B520" s="29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29"/>
      <c r="N520" s="29"/>
      <c r="O520" s="29"/>
      <c r="P520" s="32"/>
      <c r="Q520" s="32"/>
      <c r="R520" s="4"/>
      <c r="S520" s="4"/>
      <c r="T520" s="4"/>
      <c r="U520" s="4"/>
      <c r="V520" s="4"/>
      <c r="W520" s="4"/>
      <c r="X520" s="4"/>
    </row>
    <row x14ac:dyDescent="0.25" r="521" customHeight="1" ht="12.75">
      <c r="A521" s="4"/>
      <c r="B521" s="29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29"/>
      <c r="N521" s="29"/>
      <c r="O521" s="29"/>
      <c r="P521" s="32"/>
      <c r="Q521" s="32"/>
      <c r="R521" s="4"/>
      <c r="S521" s="4"/>
      <c r="T521" s="4"/>
      <c r="U521" s="4"/>
      <c r="V521" s="4"/>
      <c r="W521" s="4"/>
      <c r="X521" s="4"/>
    </row>
    <row x14ac:dyDescent="0.25" r="522" customHeight="1" ht="12.75">
      <c r="A522" s="4"/>
      <c r="B522" s="29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29"/>
      <c r="N522" s="29"/>
      <c r="O522" s="29"/>
      <c r="P522" s="32"/>
      <c r="Q522" s="32"/>
      <c r="R522" s="4"/>
      <c r="S522" s="4"/>
      <c r="T522" s="4"/>
      <c r="U522" s="4"/>
      <c r="V522" s="4"/>
      <c r="W522" s="4"/>
      <c r="X522" s="4"/>
    </row>
    <row x14ac:dyDescent="0.25" r="523" customHeight="1" ht="12.75">
      <c r="A523" s="4"/>
      <c r="B523" s="29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29"/>
      <c r="N523" s="29"/>
      <c r="O523" s="29"/>
      <c r="P523" s="32"/>
      <c r="Q523" s="32"/>
      <c r="R523" s="4"/>
      <c r="S523" s="4"/>
      <c r="T523" s="4"/>
      <c r="U523" s="4"/>
      <c r="V523" s="4"/>
      <c r="W523" s="4"/>
      <c r="X523" s="4"/>
    </row>
    <row x14ac:dyDescent="0.25" r="524" customHeight="1" ht="12.75">
      <c r="A524" s="4"/>
      <c r="B524" s="29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29"/>
      <c r="N524" s="29"/>
      <c r="O524" s="29"/>
      <c r="P524" s="32"/>
      <c r="Q524" s="32"/>
      <c r="R524" s="4"/>
      <c r="S524" s="4"/>
      <c r="T524" s="4"/>
      <c r="U524" s="4"/>
      <c r="V524" s="4"/>
      <c r="W524" s="4"/>
      <c r="X524" s="4"/>
    </row>
    <row x14ac:dyDescent="0.25" r="525" customHeight="1" ht="12.75">
      <c r="A525" s="4"/>
      <c r="B525" s="29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29"/>
      <c r="N525" s="29"/>
      <c r="O525" s="29"/>
      <c r="P525" s="32"/>
      <c r="Q525" s="32"/>
      <c r="R525" s="4"/>
      <c r="S525" s="4"/>
      <c r="T525" s="4"/>
      <c r="U525" s="4"/>
      <c r="V525" s="4"/>
      <c r="W525" s="4"/>
      <c r="X525" s="4"/>
    </row>
    <row x14ac:dyDescent="0.25" r="526" customHeight="1" ht="12.75">
      <c r="A526" s="4"/>
      <c r="B526" s="29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29"/>
      <c r="N526" s="29"/>
      <c r="O526" s="29"/>
      <c r="P526" s="32"/>
      <c r="Q526" s="32"/>
      <c r="R526" s="4"/>
      <c r="S526" s="4"/>
      <c r="T526" s="4"/>
      <c r="U526" s="4"/>
      <c r="V526" s="4"/>
      <c r="W526" s="4"/>
      <c r="X526" s="4"/>
    </row>
    <row x14ac:dyDescent="0.25" r="527" customHeight="1" ht="12.75">
      <c r="A527" s="4"/>
      <c r="B527" s="29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29"/>
      <c r="N527" s="29"/>
      <c r="O527" s="29"/>
      <c r="P527" s="32"/>
      <c r="Q527" s="32"/>
      <c r="R527" s="4"/>
      <c r="S527" s="4"/>
      <c r="T527" s="4"/>
      <c r="U527" s="4"/>
      <c r="V527" s="4"/>
      <c r="W527" s="4"/>
      <c r="X527" s="4"/>
    </row>
    <row x14ac:dyDescent="0.25" r="528" customHeight="1" ht="12.75">
      <c r="A528" s="4"/>
      <c r="B528" s="29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29"/>
      <c r="N528" s="29"/>
      <c r="O528" s="29"/>
      <c r="P528" s="32"/>
      <c r="Q528" s="32"/>
      <c r="R528" s="4"/>
      <c r="S528" s="4"/>
      <c r="T528" s="4"/>
      <c r="U528" s="4"/>
      <c r="V528" s="4"/>
      <c r="W528" s="4"/>
      <c r="X528" s="4"/>
    </row>
    <row x14ac:dyDescent="0.25" r="529" customHeight="1" ht="12.75">
      <c r="A529" s="4"/>
      <c r="B529" s="29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29"/>
      <c r="N529" s="29"/>
      <c r="O529" s="29"/>
      <c r="P529" s="32"/>
      <c r="Q529" s="32"/>
      <c r="R529" s="4"/>
      <c r="S529" s="4"/>
      <c r="T529" s="4"/>
      <c r="U529" s="4"/>
      <c r="V529" s="4"/>
      <c r="W529" s="4"/>
      <c r="X529" s="4"/>
    </row>
    <row x14ac:dyDescent="0.25" r="530" customHeight="1" ht="12.75">
      <c r="A530" s="4"/>
      <c r="B530" s="29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29"/>
      <c r="N530" s="29"/>
      <c r="O530" s="29"/>
      <c r="P530" s="32"/>
      <c r="Q530" s="32"/>
      <c r="R530" s="4"/>
      <c r="S530" s="4"/>
      <c r="T530" s="4"/>
      <c r="U530" s="4"/>
      <c r="V530" s="4"/>
      <c r="W530" s="4"/>
      <c r="X530" s="4"/>
    </row>
    <row x14ac:dyDescent="0.25" r="531" customHeight="1" ht="12.75">
      <c r="A531" s="4"/>
      <c r="B531" s="29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29"/>
      <c r="N531" s="29"/>
      <c r="O531" s="29"/>
      <c r="P531" s="32"/>
      <c r="Q531" s="32"/>
      <c r="R531" s="4"/>
      <c r="S531" s="4"/>
      <c r="T531" s="4"/>
      <c r="U531" s="4"/>
      <c r="V531" s="4"/>
      <c r="W531" s="4"/>
      <c r="X531" s="4"/>
    </row>
    <row x14ac:dyDescent="0.25" r="532" customHeight="1" ht="12.75">
      <c r="A532" s="4"/>
      <c r="B532" s="29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29"/>
      <c r="N532" s="29"/>
      <c r="O532" s="29"/>
      <c r="P532" s="32"/>
      <c r="Q532" s="32"/>
      <c r="R532" s="4"/>
      <c r="S532" s="4"/>
      <c r="T532" s="4"/>
      <c r="U532" s="4"/>
      <c r="V532" s="4"/>
      <c r="W532" s="4"/>
      <c r="X532" s="4"/>
    </row>
    <row x14ac:dyDescent="0.25" r="533" customHeight="1" ht="12.75">
      <c r="A533" s="4"/>
      <c r="B533" s="29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29"/>
      <c r="N533" s="29"/>
      <c r="O533" s="29"/>
      <c r="P533" s="32"/>
      <c r="Q533" s="32"/>
      <c r="R533" s="4"/>
      <c r="S533" s="4"/>
      <c r="T533" s="4"/>
      <c r="U533" s="4"/>
      <c r="V533" s="4"/>
      <c r="W533" s="4"/>
      <c r="X533" s="4"/>
    </row>
    <row x14ac:dyDescent="0.25" r="534" customHeight="1" ht="12.75">
      <c r="A534" s="4"/>
      <c r="B534" s="29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29"/>
      <c r="N534" s="29"/>
      <c r="O534" s="29"/>
      <c r="P534" s="32"/>
      <c r="Q534" s="32"/>
      <c r="R534" s="4"/>
      <c r="S534" s="4"/>
      <c r="T534" s="4"/>
      <c r="U534" s="4"/>
      <c r="V534" s="4"/>
      <c r="W534" s="4"/>
      <c r="X534" s="4"/>
    </row>
    <row x14ac:dyDescent="0.25" r="535" customHeight="1" ht="12.75">
      <c r="A535" s="4"/>
      <c r="B535" s="29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29"/>
      <c r="N535" s="29"/>
      <c r="O535" s="29"/>
      <c r="P535" s="32"/>
      <c r="Q535" s="32"/>
      <c r="R535" s="4"/>
      <c r="S535" s="4"/>
      <c r="T535" s="4"/>
      <c r="U535" s="4"/>
      <c r="V535" s="4"/>
      <c r="W535" s="4"/>
      <c r="X535" s="4"/>
    </row>
    <row x14ac:dyDescent="0.25" r="536" customHeight="1" ht="12.75">
      <c r="A536" s="4"/>
      <c r="B536" s="29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29"/>
      <c r="N536" s="29"/>
      <c r="O536" s="29"/>
      <c r="P536" s="32"/>
      <c r="Q536" s="32"/>
      <c r="R536" s="4"/>
      <c r="S536" s="4"/>
      <c r="T536" s="4"/>
      <c r="U536" s="4"/>
      <c r="V536" s="4"/>
      <c r="W536" s="4"/>
      <c r="X536" s="4"/>
    </row>
    <row x14ac:dyDescent="0.25" r="537" customHeight="1" ht="12.75">
      <c r="A537" s="4"/>
      <c r="B537" s="29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29"/>
      <c r="N537" s="29"/>
      <c r="O537" s="29"/>
      <c r="P537" s="32"/>
      <c r="Q537" s="32"/>
      <c r="R537" s="4"/>
      <c r="S537" s="4"/>
      <c r="T537" s="4"/>
      <c r="U537" s="4"/>
      <c r="V537" s="4"/>
      <c r="W537" s="4"/>
      <c r="X537" s="4"/>
    </row>
    <row x14ac:dyDescent="0.25" r="538" customHeight="1" ht="12.75">
      <c r="A538" s="4"/>
      <c r="B538" s="29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29"/>
      <c r="N538" s="29"/>
      <c r="O538" s="29"/>
      <c r="P538" s="32"/>
      <c r="Q538" s="32"/>
      <c r="R538" s="4"/>
      <c r="S538" s="4"/>
      <c r="T538" s="4"/>
      <c r="U538" s="4"/>
      <c r="V538" s="4"/>
      <c r="W538" s="4"/>
      <c r="X538" s="4"/>
    </row>
    <row x14ac:dyDescent="0.25" r="539" customHeight="1" ht="12.75">
      <c r="A539" s="4"/>
      <c r="B539" s="29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29"/>
      <c r="N539" s="29"/>
      <c r="O539" s="29"/>
      <c r="P539" s="32"/>
      <c r="Q539" s="32"/>
      <c r="R539" s="4"/>
      <c r="S539" s="4"/>
      <c r="T539" s="4"/>
      <c r="U539" s="4"/>
      <c r="V539" s="4"/>
      <c r="W539" s="4"/>
      <c r="X539" s="4"/>
    </row>
    <row x14ac:dyDescent="0.25" r="540" customHeight="1" ht="12.75">
      <c r="A540" s="4"/>
      <c r="B540" s="29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29"/>
      <c r="N540" s="29"/>
      <c r="O540" s="29"/>
      <c r="P540" s="32"/>
      <c r="Q540" s="32"/>
      <c r="R540" s="4"/>
      <c r="S540" s="4"/>
      <c r="T540" s="4"/>
      <c r="U540" s="4"/>
      <c r="V540" s="4"/>
      <c r="W540" s="4"/>
      <c r="X540" s="4"/>
    </row>
    <row x14ac:dyDescent="0.25" r="541" customHeight="1" ht="12.75">
      <c r="A541" s="4"/>
      <c r="B541" s="29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29"/>
      <c r="N541" s="29"/>
      <c r="O541" s="29"/>
      <c r="P541" s="32"/>
      <c r="Q541" s="32"/>
      <c r="R541" s="4"/>
      <c r="S541" s="4"/>
      <c r="T541" s="4"/>
      <c r="U541" s="4"/>
      <c r="V541" s="4"/>
      <c r="W541" s="4"/>
      <c r="X541" s="4"/>
    </row>
    <row x14ac:dyDescent="0.25" r="542" customHeight="1" ht="12.75">
      <c r="A542" s="4"/>
      <c r="B542" s="29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29"/>
      <c r="N542" s="29"/>
      <c r="O542" s="29"/>
      <c r="P542" s="32"/>
      <c r="Q542" s="32"/>
      <c r="R542" s="4"/>
      <c r="S542" s="4"/>
      <c r="T542" s="4"/>
      <c r="U542" s="4"/>
      <c r="V542" s="4"/>
      <c r="W542" s="4"/>
      <c r="X542" s="4"/>
    </row>
    <row x14ac:dyDescent="0.25" r="543" customHeight="1" ht="12.75">
      <c r="A543" s="4"/>
      <c r="B543" s="29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29"/>
      <c r="N543" s="29"/>
      <c r="O543" s="29"/>
      <c r="P543" s="32"/>
      <c r="Q543" s="32"/>
      <c r="R543" s="4"/>
      <c r="S543" s="4"/>
      <c r="T543" s="4"/>
      <c r="U543" s="4"/>
      <c r="V543" s="4"/>
      <c r="W543" s="4"/>
      <c r="X543" s="4"/>
    </row>
    <row x14ac:dyDescent="0.25" r="544" customHeight="1" ht="12.75">
      <c r="A544" s="4"/>
      <c r="B544" s="29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29"/>
      <c r="N544" s="29"/>
      <c r="O544" s="29"/>
      <c r="P544" s="32"/>
      <c r="Q544" s="32"/>
      <c r="R544" s="4"/>
      <c r="S544" s="4"/>
      <c r="T544" s="4"/>
      <c r="U544" s="4"/>
      <c r="V544" s="4"/>
      <c r="W544" s="4"/>
      <c r="X544" s="4"/>
    </row>
    <row x14ac:dyDescent="0.25" r="545" customHeight="1" ht="12.75">
      <c r="A545" s="4"/>
      <c r="B545" s="29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29"/>
      <c r="N545" s="29"/>
      <c r="O545" s="29"/>
      <c r="P545" s="32"/>
      <c r="Q545" s="32"/>
      <c r="R545" s="4"/>
      <c r="S545" s="4"/>
      <c r="T545" s="4"/>
      <c r="U545" s="4"/>
      <c r="V545" s="4"/>
      <c r="W545" s="4"/>
      <c r="X545" s="4"/>
    </row>
    <row x14ac:dyDescent="0.25" r="546" customHeight="1" ht="12.75">
      <c r="A546" s="4"/>
      <c r="B546" s="29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29"/>
      <c r="N546" s="29"/>
      <c r="O546" s="29"/>
      <c r="P546" s="32"/>
      <c r="Q546" s="32"/>
      <c r="R546" s="4"/>
      <c r="S546" s="4"/>
      <c r="T546" s="4"/>
      <c r="U546" s="4"/>
      <c r="V546" s="4"/>
      <c r="W546" s="4"/>
      <c r="X546" s="4"/>
    </row>
    <row x14ac:dyDescent="0.25" r="547" customHeight="1" ht="12.75">
      <c r="A547" s="4"/>
      <c r="B547" s="29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29"/>
      <c r="N547" s="29"/>
      <c r="O547" s="29"/>
      <c r="P547" s="32"/>
      <c r="Q547" s="32"/>
      <c r="R547" s="4"/>
      <c r="S547" s="4"/>
      <c r="T547" s="4"/>
      <c r="U547" s="4"/>
      <c r="V547" s="4"/>
      <c r="W547" s="4"/>
      <c r="X547" s="4"/>
    </row>
    <row x14ac:dyDescent="0.25" r="548" customHeight="1" ht="12.75">
      <c r="A548" s="4"/>
      <c r="B548" s="29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29"/>
      <c r="N548" s="29"/>
      <c r="O548" s="29"/>
      <c r="P548" s="32"/>
      <c r="Q548" s="32"/>
      <c r="R548" s="4"/>
      <c r="S548" s="4"/>
      <c r="T548" s="4"/>
      <c r="U548" s="4"/>
      <c r="V548" s="4"/>
      <c r="W548" s="4"/>
      <c r="X548" s="4"/>
    </row>
    <row x14ac:dyDescent="0.25" r="549" customHeight="1" ht="12.75">
      <c r="A549" s="4"/>
      <c r="B549" s="29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29"/>
      <c r="N549" s="29"/>
      <c r="O549" s="29"/>
      <c r="P549" s="32"/>
      <c r="Q549" s="32"/>
      <c r="R549" s="4"/>
      <c r="S549" s="4"/>
      <c r="T549" s="4"/>
      <c r="U549" s="4"/>
      <c r="V549" s="4"/>
      <c r="W549" s="4"/>
      <c r="X549" s="4"/>
    </row>
    <row x14ac:dyDescent="0.25" r="550" customHeight="1" ht="12.75">
      <c r="A550" s="4"/>
      <c r="B550" s="29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29"/>
      <c r="N550" s="29"/>
      <c r="O550" s="29"/>
      <c r="P550" s="32"/>
      <c r="Q550" s="32"/>
      <c r="R550" s="4"/>
      <c r="S550" s="4"/>
      <c r="T550" s="4"/>
      <c r="U550" s="4"/>
      <c r="V550" s="4"/>
      <c r="W550" s="4"/>
      <c r="X550" s="4"/>
    </row>
    <row x14ac:dyDescent="0.25" r="551" customHeight="1" ht="12.75">
      <c r="A551" s="4"/>
      <c r="B551" s="29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29"/>
      <c r="N551" s="29"/>
      <c r="O551" s="29"/>
      <c r="P551" s="32"/>
      <c r="Q551" s="32"/>
      <c r="R551" s="4"/>
      <c r="S551" s="4"/>
      <c r="T551" s="4"/>
      <c r="U551" s="4"/>
      <c r="V551" s="4"/>
      <c r="W551" s="4"/>
      <c r="X551" s="4"/>
    </row>
    <row x14ac:dyDescent="0.25" r="552" customHeight="1" ht="12.75">
      <c r="A552" s="4"/>
      <c r="B552" s="29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29"/>
      <c r="N552" s="29"/>
      <c r="O552" s="29"/>
      <c r="P552" s="32"/>
      <c r="Q552" s="32"/>
      <c r="R552" s="4"/>
      <c r="S552" s="4"/>
      <c r="T552" s="4"/>
      <c r="U552" s="4"/>
      <c r="V552" s="4"/>
      <c r="W552" s="4"/>
      <c r="X552" s="4"/>
    </row>
    <row x14ac:dyDescent="0.25" r="553" customHeight="1" ht="12.75">
      <c r="A553" s="4"/>
      <c r="B553" s="29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29"/>
      <c r="N553" s="29"/>
      <c r="O553" s="29"/>
      <c r="P553" s="32"/>
      <c r="Q553" s="32"/>
      <c r="R553" s="4"/>
      <c r="S553" s="4"/>
      <c r="T553" s="4"/>
      <c r="U553" s="4"/>
      <c r="V553" s="4"/>
      <c r="W553" s="4"/>
      <c r="X553" s="4"/>
    </row>
    <row x14ac:dyDescent="0.25" r="554" customHeight="1" ht="12.75">
      <c r="A554" s="4"/>
      <c r="B554" s="29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29"/>
      <c r="N554" s="29"/>
      <c r="O554" s="29"/>
      <c r="P554" s="32"/>
      <c r="Q554" s="32"/>
      <c r="R554" s="4"/>
      <c r="S554" s="4"/>
      <c r="T554" s="4"/>
      <c r="U554" s="4"/>
      <c r="V554" s="4"/>
      <c r="W554" s="4"/>
      <c r="X554" s="4"/>
    </row>
    <row x14ac:dyDescent="0.25" r="555" customHeight="1" ht="12.75">
      <c r="A555" s="4"/>
      <c r="B555" s="29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29"/>
      <c r="N555" s="29"/>
      <c r="O555" s="29"/>
      <c r="P555" s="32"/>
      <c r="Q555" s="32"/>
      <c r="R555" s="4"/>
      <c r="S555" s="4"/>
      <c r="T555" s="4"/>
      <c r="U555" s="4"/>
      <c r="V555" s="4"/>
      <c r="W555" s="4"/>
      <c r="X555" s="4"/>
    </row>
    <row x14ac:dyDescent="0.25" r="556" customHeight="1" ht="12.75">
      <c r="A556" s="4"/>
      <c r="B556" s="29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29"/>
      <c r="N556" s="29"/>
      <c r="O556" s="29"/>
      <c r="P556" s="32"/>
      <c r="Q556" s="32"/>
      <c r="R556" s="4"/>
      <c r="S556" s="4"/>
      <c r="T556" s="4"/>
      <c r="U556" s="4"/>
      <c r="V556" s="4"/>
      <c r="W556" s="4"/>
      <c r="X556" s="4"/>
    </row>
    <row x14ac:dyDescent="0.25" r="557" customHeight="1" ht="12.75">
      <c r="A557" s="4"/>
      <c r="B557" s="29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29"/>
      <c r="N557" s="29"/>
      <c r="O557" s="29"/>
      <c r="P557" s="32"/>
      <c r="Q557" s="32"/>
      <c r="R557" s="4"/>
      <c r="S557" s="4"/>
      <c r="T557" s="4"/>
      <c r="U557" s="4"/>
      <c r="V557" s="4"/>
      <c r="W557" s="4"/>
      <c r="X557" s="4"/>
    </row>
    <row x14ac:dyDescent="0.25" r="558" customHeight="1" ht="12.75">
      <c r="A558" s="4"/>
      <c r="B558" s="29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29"/>
      <c r="N558" s="29"/>
      <c r="O558" s="29"/>
      <c r="P558" s="32"/>
      <c r="Q558" s="32"/>
      <c r="R558" s="4"/>
      <c r="S558" s="4"/>
      <c r="T558" s="4"/>
      <c r="U558" s="4"/>
      <c r="V558" s="4"/>
      <c r="W558" s="4"/>
      <c r="X558" s="4"/>
    </row>
    <row x14ac:dyDescent="0.25" r="559" customHeight="1" ht="12.75">
      <c r="A559" s="4"/>
      <c r="B559" s="29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29"/>
      <c r="N559" s="29"/>
      <c r="O559" s="29"/>
      <c r="P559" s="32"/>
      <c r="Q559" s="32"/>
      <c r="R559" s="4"/>
      <c r="S559" s="4"/>
      <c r="T559" s="4"/>
      <c r="U559" s="4"/>
      <c r="V559" s="4"/>
      <c r="W559" s="4"/>
      <c r="X559" s="4"/>
    </row>
    <row x14ac:dyDescent="0.25" r="560" customHeight="1" ht="12.75">
      <c r="A560" s="4"/>
      <c r="B560" s="29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29"/>
      <c r="N560" s="29"/>
      <c r="O560" s="29"/>
      <c r="P560" s="32"/>
      <c r="Q560" s="32"/>
      <c r="R560" s="4"/>
      <c r="S560" s="4"/>
      <c r="T560" s="4"/>
      <c r="U560" s="4"/>
      <c r="V560" s="4"/>
      <c r="W560" s="4"/>
      <c r="X560" s="4"/>
    </row>
    <row x14ac:dyDescent="0.25" r="561" customHeight="1" ht="12.75">
      <c r="A561" s="4"/>
      <c r="B561" s="29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29"/>
      <c r="N561" s="29"/>
      <c r="O561" s="29"/>
      <c r="P561" s="32"/>
      <c r="Q561" s="32"/>
      <c r="R561" s="4"/>
      <c r="S561" s="4"/>
      <c r="T561" s="4"/>
      <c r="U561" s="4"/>
      <c r="V561" s="4"/>
      <c r="W561" s="4"/>
      <c r="X561" s="4"/>
    </row>
    <row x14ac:dyDescent="0.25" r="562" customHeight="1" ht="12.75">
      <c r="A562" s="4"/>
      <c r="B562" s="29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29"/>
      <c r="N562" s="29"/>
      <c r="O562" s="29"/>
      <c r="P562" s="32"/>
      <c r="Q562" s="32"/>
      <c r="R562" s="4"/>
      <c r="S562" s="4"/>
      <c r="T562" s="4"/>
      <c r="U562" s="4"/>
      <c r="V562" s="4"/>
      <c r="W562" s="4"/>
      <c r="X562" s="4"/>
    </row>
    <row x14ac:dyDescent="0.25" r="563" customHeight="1" ht="12.75">
      <c r="A563" s="4"/>
      <c r="B563" s="29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29"/>
      <c r="N563" s="29"/>
      <c r="O563" s="29"/>
      <c r="P563" s="32"/>
      <c r="Q563" s="32"/>
      <c r="R563" s="4"/>
      <c r="S563" s="4"/>
      <c r="T563" s="4"/>
      <c r="U563" s="4"/>
      <c r="V563" s="4"/>
      <c r="W563" s="4"/>
      <c r="X563" s="4"/>
    </row>
    <row x14ac:dyDescent="0.25" r="564" customHeight="1" ht="12.75">
      <c r="A564" s="4"/>
      <c r="B564" s="29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29"/>
      <c r="N564" s="29"/>
      <c r="O564" s="29"/>
      <c r="P564" s="32"/>
      <c r="Q564" s="32"/>
      <c r="R564" s="4"/>
      <c r="S564" s="4"/>
      <c r="T564" s="4"/>
      <c r="U564" s="4"/>
      <c r="V564" s="4"/>
      <c r="W564" s="4"/>
      <c r="X564" s="4"/>
    </row>
    <row x14ac:dyDescent="0.25" r="565" customHeight="1" ht="12.75">
      <c r="A565" s="4"/>
      <c r="B565" s="29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29"/>
      <c r="N565" s="29"/>
      <c r="O565" s="29"/>
      <c r="P565" s="32"/>
      <c r="Q565" s="32"/>
      <c r="R565" s="4"/>
      <c r="S565" s="4"/>
      <c r="T565" s="4"/>
      <c r="U565" s="4"/>
      <c r="V565" s="4"/>
      <c r="W565" s="4"/>
      <c r="X565" s="4"/>
    </row>
    <row x14ac:dyDescent="0.25" r="566" customHeight="1" ht="12.75">
      <c r="A566" s="4"/>
      <c r="B566" s="29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29"/>
      <c r="N566" s="29"/>
      <c r="O566" s="29"/>
      <c r="P566" s="32"/>
      <c r="Q566" s="32"/>
      <c r="R566" s="4"/>
      <c r="S566" s="4"/>
      <c r="T566" s="4"/>
      <c r="U566" s="4"/>
      <c r="V566" s="4"/>
      <c r="W566" s="4"/>
      <c r="X566" s="4"/>
    </row>
    <row x14ac:dyDescent="0.25" r="567" customHeight="1" ht="12.75">
      <c r="A567" s="4"/>
      <c r="B567" s="29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29"/>
      <c r="N567" s="29"/>
      <c r="O567" s="29"/>
      <c r="P567" s="32"/>
      <c r="Q567" s="32"/>
      <c r="R567" s="4"/>
      <c r="S567" s="4"/>
      <c r="T567" s="4"/>
      <c r="U567" s="4"/>
      <c r="V567" s="4"/>
      <c r="W567" s="4"/>
      <c r="X567" s="4"/>
    </row>
    <row x14ac:dyDescent="0.25" r="568" customHeight="1" ht="12.75">
      <c r="A568" s="4"/>
      <c r="B568" s="29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29"/>
      <c r="N568" s="29"/>
      <c r="O568" s="29"/>
      <c r="P568" s="32"/>
      <c r="Q568" s="32"/>
      <c r="R568" s="4"/>
      <c r="S568" s="4"/>
      <c r="T568" s="4"/>
      <c r="U568" s="4"/>
      <c r="V568" s="4"/>
      <c r="W568" s="4"/>
      <c r="X568" s="4"/>
    </row>
    <row x14ac:dyDescent="0.25" r="569" customHeight="1" ht="12.75">
      <c r="A569" s="4"/>
      <c r="B569" s="29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29"/>
      <c r="N569" s="29"/>
      <c r="O569" s="29"/>
      <c r="P569" s="32"/>
      <c r="Q569" s="32"/>
      <c r="R569" s="4"/>
      <c r="S569" s="4"/>
      <c r="T569" s="4"/>
      <c r="U569" s="4"/>
      <c r="V569" s="4"/>
      <c r="W569" s="4"/>
      <c r="X569" s="4"/>
    </row>
    <row x14ac:dyDescent="0.25" r="570" customHeight="1" ht="12.75">
      <c r="A570" s="4"/>
      <c r="B570" s="29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29"/>
      <c r="N570" s="29"/>
      <c r="O570" s="29"/>
      <c r="P570" s="32"/>
      <c r="Q570" s="32"/>
      <c r="R570" s="4"/>
      <c r="S570" s="4"/>
      <c r="T570" s="4"/>
      <c r="U570" s="4"/>
      <c r="V570" s="4"/>
      <c r="W570" s="4"/>
      <c r="X570" s="4"/>
    </row>
    <row x14ac:dyDescent="0.25" r="571" customHeight="1" ht="12.75">
      <c r="A571" s="4"/>
      <c r="B571" s="29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29"/>
      <c r="N571" s="29"/>
      <c r="O571" s="29"/>
      <c r="P571" s="32"/>
      <c r="Q571" s="32"/>
      <c r="R571" s="4"/>
      <c r="S571" s="4"/>
      <c r="T571" s="4"/>
      <c r="U571" s="4"/>
      <c r="V571" s="4"/>
      <c r="W571" s="4"/>
      <c r="X571" s="4"/>
    </row>
    <row x14ac:dyDescent="0.25" r="572" customHeight="1" ht="12.75">
      <c r="A572" s="4"/>
      <c r="B572" s="29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29"/>
      <c r="N572" s="29"/>
      <c r="O572" s="29"/>
      <c r="P572" s="32"/>
      <c r="Q572" s="32"/>
      <c r="R572" s="4"/>
      <c r="S572" s="4"/>
      <c r="T572" s="4"/>
      <c r="U572" s="4"/>
      <c r="V572" s="4"/>
      <c r="W572" s="4"/>
      <c r="X572" s="4"/>
    </row>
    <row x14ac:dyDescent="0.25" r="573" customHeight="1" ht="12.75">
      <c r="A573" s="4"/>
      <c r="B573" s="29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29"/>
      <c r="N573" s="29"/>
      <c r="O573" s="29"/>
      <c r="P573" s="32"/>
      <c r="Q573" s="32"/>
      <c r="R573" s="4"/>
      <c r="S573" s="4"/>
      <c r="T573" s="4"/>
      <c r="U573" s="4"/>
      <c r="V573" s="4"/>
      <c r="W573" s="4"/>
      <c r="X573" s="4"/>
    </row>
    <row x14ac:dyDescent="0.25" r="574" customHeight="1" ht="12.75">
      <c r="A574" s="4"/>
      <c r="B574" s="29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29"/>
      <c r="N574" s="29"/>
      <c r="O574" s="29"/>
      <c r="P574" s="32"/>
      <c r="Q574" s="32"/>
      <c r="R574" s="4"/>
      <c r="S574" s="4"/>
      <c r="T574" s="4"/>
      <c r="U574" s="4"/>
      <c r="V574" s="4"/>
      <c r="W574" s="4"/>
      <c r="X574" s="4"/>
    </row>
    <row x14ac:dyDescent="0.25" r="575" customHeight="1" ht="12.75">
      <c r="A575" s="4"/>
      <c r="B575" s="29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29"/>
      <c r="N575" s="29"/>
      <c r="O575" s="29"/>
      <c r="P575" s="32"/>
      <c r="Q575" s="32"/>
      <c r="R575" s="4"/>
      <c r="S575" s="4"/>
      <c r="T575" s="4"/>
      <c r="U575" s="4"/>
      <c r="V575" s="4"/>
      <c r="W575" s="4"/>
      <c r="X575" s="4"/>
    </row>
    <row x14ac:dyDescent="0.25" r="576" customHeight="1" ht="12.75">
      <c r="A576" s="4"/>
      <c r="B576" s="29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29"/>
      <c r="N576" s="29"/>
      <c r="O576" s="29"/>
      <c r="P576" s="32"/>
      <c r="Q576" s="32"/>
      <c r="R576" s="4"/>
      <c r="S576" s="4"/>
      <c r="T576" s="4"/>
      <c r="U576" s="4"/>
      <c r="V576" s="4"/>
      <c r="W576" s="4"/>
      <c r="X576" s="4"/>
    </row>
    <row x14ac:dyDescent="0.25" r="577" customHeight="1" ht="12.75">
      <c r="A577" s="4"/>
      <c r="B577" s="29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29"/>
      <c r="N577" s="29"/>
      <c r="O577" s="29"/>
      <c r="P577" s="32"/>
      <c r="Q577" s="32"/>
      <c r="R577" s="4"/>
      <c r="S577" s="4"/>
      <c r="T577" s="4"/>
      <c r="U577" s="4"/>
      <c r="V577" s="4"/>
      <c r="W577" s="4"/>
      <c r="X577" s="4"/>
    </row>
    <row x14ac:dyDescent="0.25" r="578" customHeight="1" ht="12.75">
      <c r="A578" s="4"/>
      <c r="B578" s="29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29"/>
      <c r="N578" s="29"/>
      <c r="O578" s="29"/>
      <c r="P578" s="32"/>
      <c r="Q578" s="32"/>
      <c r="R578" s="4"/>
      <c r="S578" s="4"/>
      <c r="T578" s="4"/>
      <c r="U578" s="4"/>
      <c r="V578" s="4"/>
      <c r="W578" s="4"/>
      <c r="X578" s="4"/>
    </row>
    <row x14ac:dyDescent="0.25" r="579" customHeight="1" ht="12.75">
      <c r="A579" s="4"/>
      <c r="B579" s="29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29"/>
      <c r="N579" s="29"/>
      <c r="O579" s="29"/>
      <c r="P579" s="32"/>
      <c r="Q579" s="32"/>
      <c r="R579" s="4"/>
      <c r="S579" s="4"/>
      <c r="T579" s="4"/>
      <c r="U579" s="4"/>
      <c r="V579" s="4"/>
      <c r="W579" s="4"/>
      <c r="X579" s="4"/>
    </row>
    <row x14ac:dyDescent="0.25" r="580" customHeight="1" ht="12.75">
      <c r="A580" s="4"/>
      <c r="B580" s="29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29"/>
      <c r="N580" s="29"/>
      <c r="O580" s="29"/>
      <c r="P580" s="32"/>
      <c r="Q580" s="32"/>
      <c r="R580" s="4"/>
      <c r="S580" s="4"/>
      <c r="T580" s="4"/>
      <c r="U580" s="4"/>
      <c r="V580" s="4"/>
      <c r="W580" s="4"/>
      <c r="X580" s="4"/>
    </row>
    <row x14ac:dyDescent="0.25" r="581" customHeight="1" ht="12.75">
      <c r="A581" s="4"/>
      <c r="B581" s="29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29"/>
      <c r="N581" s="29"/>
      <c r="O581" s="29"/>
      <c r="P581" s="32"/>
      <c r="Q581" s="32"/>
      <c r="R581" s="4"/>
      <c r="S581" s="4"/>
      <c r="T581" s="4"/>
      <c r="U581" s="4"/>
      <c r="V581" s="4"/>
      <c r="W581" s="4"/>
      <c r="X581" s="4"/>
    </row>
    <row x14ac:dyDescent="0.25" r="582" customHeight="1" ht="12.75">
      <c r="A582" s="4"/>
      <c r="B582" s="29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29"/>
      <c r="N582" s="29"/>
      <c r="O582" s="29"/>
      <c r="P582" s="32"/>
      <c r="Q582" s="32"/>
      <c r="R582" s="4"/>
      <c r="S582" s="4"/>
      <c r="T582" s="4"/>
      <c r="U582" s="4"/>
      <c r="V582" s="4"/>
      <c r="W582" s="4"/>
      <c r="X582" s="4"/>
    </row>
    <row x14ac:dyDescent="0.25" r="583" customHeight="1" ht="12.75">
      <c r="A583" s="4"/>
      <c r="B583" s="29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29"/>
      <c r="N583" s="29"/>
      <c r="O583" s="29"/>
      <c r="P583" s="32"/>
      <c r="Q583" s="32"/>
      <c r="R583" s="4"/>
      <c r="S583" s="4"/>
      <c r="T583" s="4"/>
      <c r="U583" s="4"/>
      <c r="V583" s="4"/>
      <c r="W583" s="4"/>
      <c r="X583" s="4"/>
    </row>
    <row x14ac:dyDescent="0.25" r="584" customHeight="1" ht="12.75">
      <c r="A584" s="4"/>
      <c r="B584" s="29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29"/>
      <c r="N584" s="29"/>
      <c r="O584" s="29"/>
      <c r="P584" s="32"/>
      <c r="Q584" s="32"/>
      <c r="R584" s="4"/>
      <c r="S584" s="4"/>
      <c r="T584" s="4"/>
      <c r="U584" s="4"/>
      <c r="V584" s="4"/>
      <c r="W584" s="4"/>
      <c r="X584" s="4"/>
    </row>
    <row x14ac:dyDescent="0.25" r="585" customHeight="1" ht="12.75">
      <c r="A585" s="4"/>
      <c r="B585" s="29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29"/>
      <c r="N585" s="29"/>
      <c r="O585" s="29"/>
      <c r="P585" s="32"/>
      <c r="Q585" s="32"/>
      <c r="R585" s="4"/>
      <c r="S585" s="4"/>
      <c r="T585" s="4"/>
      <c r="U585" s="4"/>
      <c r="V585" s="4"/>
      <c r="W585" s="4"/>
      <c r="X585" s="4"/>
    </row>
    <row x14ac:dyDescent="0.25" r="586" customHeight="1" ht="12.75">
      <c r="A586" s="4"/>
      <c r="B586" s="29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29"/>
      <c r="N586" s="29"/>
      <c r="O586" s="29"/>
      <c r="P586" s="32"/>
      <c r="Q586" s="32"/>
      <c r="R586" s="4"/>
      <c r="S586" s="4"/>
      <c r="T586" s="4"/>
      <c r="U586" s="4"/>
      <c r="V586" s="4"/>
      <c r="W586" s="4"/>
      <c r="X586" s="4"/>
    </row>
    <row x14ac:dyDescent="0.25" r="587" customHeight="1" ht="12.75">
      <c r="A587" s="4"/>
      <c r="B587" s="29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29"/>
      <c r="N587" s="29"/>
      <c r="O587" s="29"/>
      <c r="P587" s="32"/>
      <c r="Q587" s="32"/>
      <c r="R587" s="4"/>
      <c r="S587" s="4"/>
      <c r="T587" s="4"/>
      <c r="U587" s="4"/>
      <c r="V587" s="4"/>
      <c r="W587" s="4"/>
      <c r="X587" s="4"/>
    </row>
    <row x14ac:dyDescent="0.25" r="588" customHeight="1" ht="12.75">
      <c r="A588" s="4"/>
      <c r="B588" s="29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29"/>
      <c r="N588" s="29"/>
      <c r="O588" s="29"/>
      <c r="P588" s="32"/>
      <c r="Q588" s="32"/>
      <c r="R588" s="4"/>
      <c r="S588" s="4"/>
      <c r="T588" s="4"/>
      <c r="U588" s="4"/>
      <c r="V588" s="4"/>
      <c r="W588" s="4"/>
      <c r="X588" s="4"/>
    </row>
    <row x14ac:dyDescent="0.25" r="589" customHeight="1" ht="12.75">
      <c r="A589" s="4"/>
      <c r="B589" s="29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29"/>
      <c r="N589" s="29"/>
      <c r="O589" s="29"/>
      <c r="P589" s="32"/>
      <c r="Q589" s="32"/>
      <c r="R589" s="4"/>
      <c r="S589" s="4"/>
      <c r="T589" s="4"/>
      <c r="U589" s="4"/>
      <c r="V589" s="4"/>
      <c r="W589" s="4"/>
      <c r="X589" s="4"/>
    </row>
    <row x14ac:dyDescent="0.25" r="590" customHeight="1" ht="12.75">
      <c r="A590" s="4"/>
      <c r="B590" s="29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29"/>
      <c r="N590" s="29"/>
      <c r="O590" s="29"/>
      <c r="P590" s="32"/>
      <c r="Q590" s="32"/>
      <c r="R590" s="4"/>
      <c r="S590" s="4"/>
      <c r="T590" s="4"/>
      <c r="U590" s="4"/>
      <c r="V590" s="4"/>
      <c r="W590" s="4"/>
      <c r="X590" s="4"/>
    </row>
    <row x14ac:dyDescent="0.25" r="591" customHeight="1" ht="12.75">
      <c r="A591" s="4"/>
      <c r="B591" s="29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29"/>
      <c r="N591" s="29"/>
      <c r="O591" s="29"/>
      <c r="P591" s="32"/>
      <c r="Q591" s="32"/>
      <c r="R591" s="4"/>
      <c r="S591" s="4"/>
      <c r="T591" s="4"/>
      <c r="U591" s="4"/>
      <c r="V591" s="4"/>
      <c r="W591" s="4"/>
      <c r="X591" s="4"/>
    </row>
    <row x14ac:dyDescent="0.25" r="592" customHeight="1" ht="12.75">
      <c r="A592" s="4"/>
      <c r="B592" s="29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29"/>
      <c r="N592" s="29"/>
      <c r="O592" s="29"/>
      <c r="P592" s="32"/>
      <c r="Q592" s="32"/>
      <c r="R592" s="4"/>
      <c r="S592" s="4"/>
      <c r="T592" s="4"/>
      <c r="U592" s="4"/>
      <c r="V592" s="4"/>
      <c r="W592" s="4"/>
      <c r="X592" s="4"/>
    </row>
    <row x14ac:dyDescent="0.25" r="593" customHeight="1" ht="12.75">
      <c r="A593" s="4"/>
      <c r="B593" s="29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29"/>
      <c r="N593" s="29"/>
      <c r="O593" s="29"/>
      <c r="P593" s="32"/>
      <c r="Q593" s="32"/>
      <c r="R593" s="4"/>
      <c r="S593" s="4"/>
      <c r="T593" s="4"/>
      <c r="U593" s="4"/>
      <c r="V593" s="4"/>
      <c r="W593" s="4"/>
      <c r="X593" s="4"/>
    </row>
    <row x14ac:dyDescent="0.25" r="594" customHeight="1" ht="12.75">
      <c r="A594" s="4"/>
      <c r="B594" s="29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29"/>
      <c r="N594" s="29"/>
      <c r="O594" s="29"/>
      <c r="P594" s="32"/>
      <c r="Q594" s="32"/>
      <c r="R594" s="4"/>
      <c r="S594" s="4"/>
      <c r="T594" s="4"/>
      <c r="U594" s="4"/>
      <c r="V594" s="4"/>
      <c r="W594" s="4"/>
      <c r="X594" s="4"/>
    </row>
    <row x14ac:dyDescent="0.25" r="595" customHeight="1" ht="12.75">
      <c r="A595" s="4"/>
      <c r="B595" s="29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29"/>
      <c r="N595" s="29"/>
      <c r="O595" s="29"/>
      <c r="P595" s="32"/>
      <c r="Q595" s="32"/>
      <c r="R595" s="4"/>
      <c r="S595" s="4"/>
      <c r="T595" s="4"/>
      <c r="U595" s="4"/>
      <c r="V595" s="4"/>
      <c r="W595" s="4"/>
      <c r="X595" s="4"/>
    </row>
    <row x14ac:dyDescent="0.25" r="596" customHeight="1" ht="12.75">
      <c r="A596" s="4"/>
      <c r="B596" s="29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29"/>
      <c r="N596" s="29"/>
      <c r="O596" s="29"/>
      <c r="P596" s="32"/>
      <c r="Q596" s="32"/>
      <c r="R596" s="4"/>
      <c r="S596" s="4"/>
      <c r="T596" s="4"/>
      <c r="U596" s="4"/>
      <c r="V596" s="4"/>
      <c r="W596" s="4"/>
      <c r="X596" s="4"/>
    </row>
    <row x14ac:dyDescent="0.25" r="597" customHeight="1" ht="12.75">
      <c r="A597" s="4"/>
      <c r="B597" s="29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29"/>
      <c r="N597" s="29"/>
      <c r="O597" s="29"/>
      <c r="P597" s="32"/>
      <c r="Q597" s="32"/>
      <c r="R597" s="4"/>
      <c r="S597" s="4"/>
      <c r="T597" s="4"/>
      <c r="U597" s="4"/>
      <c r="V597" s="4"/>
      <c r="W597" s="4"/>
      <c r="X597" s="4"/>
    </row>
    <row x14ac:dyDescent="0.25" r="598" customHeight="1" ht="12.75">
      <c r="A598" s="4"/>
      <c r="B598" s="29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29"/>
      <c r="N598" s="29"/>
      <c r="O598" s="29"/>
      <c r="P598" s="32"/>
      <c r="Q598" s="32"/>
      <c r="R598" s="4"/>
      <c r="S598" s="4"/>
      <c r="T598" s="4"/>
      <c r="U598" s="4"/>
      <c r="V598" s="4"/>
      <c r="W598" s="4"/>
      <c r="X598" s="4"/>
    </row>
    <row x14ac:dyDescent="0.25" r="599" customHeight="1" ht="12.75">
      <c r="A599" s="4"/>
      <c r="B599" s="29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29"/>
      <c r="N599" s="29"/>
      <c r="O599" s="29"/>
      <c r="P599" s="32"/>
      <c r="Q599" s="32"/>
      <c r="R599" s="4"/>
      <c r="S599" s="4"/>
      <c r="T599" s="4"/>
      <c r="U599" s="4"/>
      <c r="V599" s="4"/>
      <c r="W599" s="4"/>
      <c r="X599" s="4"/>
    </row>
    <row x14ac:dyDescent="0.25" r="600" customHeight="1" ht="12.75">
      <c r="A600" s="4"/>
      <c r="B600" s="29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29"/>
      <c r="N600" s="29"/>
      <c r="O600" s="29"/>
      <c r="P600" s="32"/>
      <c r="Q600" s="32"/>
      <c r="R600" s="4"/>
      <c r="S600" s="4"/>
      <c r="T600" s="4"/>
      <c r="U600" s="4"/>
      <c r="V600" s="4"/>
      <c r="W600" s="4"/>
      <c r="X600" s="4"/>
    </row>
    <row x14ac:dyDescent="0.25" r="601" customHeight="1" ht="12.75">
      <c r="A601" s="4"/>
      <c r="B601" s="29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29"/>
      <c r="N601" s="29"/>
      <c r="O601" s="29"/>
      <c r="P601" s="32"/>
      <c r="Q601" s="32"/>
      <c r="R601" s="4"/>
      <c r="S601" s="4"/>
      <c r="T601" s="4"/>
      <c r="U601" s="4"/>
      <c r="V601" s="4"/>
      <c r="W601" s="4"/>
      <c r="X601" s="4"/>
    </row>
    <row x14ac:dyDescent="0.25" r="602" customHeight="1" ht="12.75">
      <c r="A602" s="4"/>
      <c r="B602" s="29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29"/>
      <c r="N602" s="29"/>
      <c r="O602" s="29"/>
      <c r="P602" s="32"/>
      <c r="Q602" s="32"/>
      <c r="R602" s="4"/>
      <c r="S602" s="4"/>
      <c r="T602" s="4"/>
      <c r="U602" s="4"/>
      <c r="V602" s="4"/>
      <c r="W602" s="4"/>
      <c r="X602" s="4"/>
    </row>
    <row x14ac:dyDescent="0.25" r="603" customHeight="1" ht="12.75">
      <c r="A603" s="4"/>
      <c r="B603" s="29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29"/>
      <c r="N603" s="29"/>
      <c r="O603" s="29"/>
      <c r="P603" s="32"/>
      <c r="Q603" s="32"/>
      <c r="R603" s="4"/>
      <c r="S603" s="4"/>
      <c r="T603" s="4"/>
      <c r="U603" s="4"/>
      <c r="V603" s="4"/>
      <c r="W603" s="4"/>
      <c r="X603" s="4"/>
    </row>
    <row x14ac:dyDescent="0.25" r="604" customHeight="1" ht="12.75">
      <c r="A604" s="4"/>
      <c r="B604" s="29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29"/>
      <c r="N604" s="29"/>
      <c r="O604" s="29"/>
      <c r="P604" s="32"/>
      <c r="Q604" s="32"/>
      <c r="R604" s="4"/>
      <c r="S604" s="4"/>
      <c r="T604" s="4"/>
      <c r="U604" s="4"/>
      <c r="V604" s="4"/>
      <c r="W604" s="4"/>
      <c r="X604" s="4"/>
    </row>
    <row x14ac:dyDescent="0.25" r="605" customHeight="1" ht="12.75">
      <c r="A605" s="4"/>
      <c r="B605" s="29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29"/>
      <c r="N605" s="29"/>
      <c r="O605" s="29"/>
      <c r="P605" s="32"/>
      <c r="Q605" s="32"/>
      <c r="R605" s="4"/>
      <c r="S605" s="4"/>
      <c r="T605" s="4"/>
      <c r="U605" s="4"/>
      <c r="V605" s="4"/>
      <c r="W605" s="4"/>
      <c r="X605" s="4"/>
    </row>
    <row x14ac:dyDescent="0.25" r="606" customHeight="1" ht="12.75">
      <c r="A606" s="4"/>
      <c r="B606" s="29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29"/>
      <c r="N606" s="29"/>
      <c r="O606" s="29"/>
      <c r="P606" s="32"/>
      <c r="Q606" s="32"/>
      <c r="R606" s="4"/>
      <c r="S606" s="4"/>
      <c r="T606" s="4"/>
      <c r="U606" s="4"/>
      <c r="V606" s="4"/>
      <c r="W606" s="4"/>
      <c r="X606" s="4"/>
    </row>
    <row x14ac:dyDescent="0.25" r="607" customHeight="1" ht="12.75">
      <c r="A607" s="4"/>
      <c r="B607" s="29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29"/>
      <c r="N607" s="29"/>
      <c r="O607" s="29"/>
      <c r="P607" s="32"/>
      <c r="Q607" s="32"/>
      <c r="R607" s="4"/>
      <c r="S607" s="4"/>
      <c r="T607" s="4"/>
      <c r="U607" s="4"/>
      <c r="V607" s="4"/>
      <c r="W607" s="4"/>
      <c r="X607" s="4"/>
    </row>
    <row x14ac:dyDescent="0.25" r="608" customHeight="1" ht="12.75">
      <c r="A608" s="4"/>
      <c r="B608" s="29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29"/>
      <c r="N608" s="29"/>
      <c r="O608" s="29"/>
      <c r="P608" s="32"/>
      <c r="Q608" s="32"/>
      <c r="R608" s="4"/>
      <c r="S608" s="4"/>
      <c r="T608" s="4"/>
      <c r="U608" s="4"/>
      <c r="V608" s="4"/>
      <c r="W608" s="4"/>
      <c r="X608" s="4"/>
    </row>
    <row x14ac:dyDescent="0.25" r="609" customHeight="1" ht="12.75">
      <c r="A609" s="4"/>
      <c r="B609" s="29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29"/>
      <c r="N609" s="29"/>
      <c r="O609" s="29"/>
      <c r="P609" s="32"/>
      <c r="Q609" s="32"/>
      <c r="R609" s="4"/>
      <c r="S609" s="4"/>
      <c r="T609" s="4"/>
      <c r="U609" s="4"/>
      <c r="V609" s="4"/>
      <c r="W609" s="4"/>
      <c r="X609" s="4"/>
    </row>
    <row x14ac:dyDescent="0.25" r="610" customHeight="1" ht="12.75">
      <c r="A610" s="4"/>
      <c r="B610" s="29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29"/>
      <c r="N610" s="29"/>
      <c r="O610" s="29"/>
      <c r="P610" s="32"/>
      <c r="Q610" s="32"/>
      <c r="R610" s="4"/>
      <c r="S610" s="4"/>
      <c r="T610" s="4"/>
      <c r="U610" s="4"/>
      <c r="V610" s="4"/>
      <c r="W610" s="4"/>
      <c r="X610" s="4"/>
    </row>
    <row x14ac:dyDescent="0.25" r="611" customHeight="1" ht="12.75">
      <c r="A611" s="4"/>
      <c r="B611" s="29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29"/>
      <c r="N611" s="29"/>
      <c r="O611" s="29"/>
      <c r="P611" s="32"/>
      <c r="Q611" s="32"/>
      <c r="R611" s="4"/>
      <c r="S611" s="4"/>
      <c r="T611" s="4"/>
      <c r="U611" s="4"/>
      <c r="V611" s="4"/>
      <c r="W611" s="4"/>
      <c r="X611" s="4"/>
    </row>
    <row x14ac:dyDescent="0.25" r="612" customHeight="1" ht="12.75">
      <c r="A612" s="4"/>
      <c r="B612" s="29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29"/>
      <c r="N612" s="29"/>
      <c r="O612" s="29"/>
      <c r="P612" s="32"/>
      <c r="Q612" s="32"/>
      <c r="R612" s="4"/>
      <c r="S612" s="4"/>
      <c r="T612" s="4"/>
      <c r="U612" s="4"/>
      <c r="V612" s="4"/>
      <c r="W612" s="4"/>
      <c r="X612" s="4"/>
    </row>
    <row x14ac:dyDescent="0.25" r="613" customHeight="1" ht="12.75">
      <c r="A613" s="4"/>
      <c r="B613" s="29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29"/>
      <c r="N613" s="29"/>
      <c r="O613" s="29"/>
      <c r="P613" s="32"/>
      <c r="Q613" s="32"/>
      <c r="R613" s="4"/>
      <c r="S613" s="4"/>
      <c r="T613" s="4"/>
      <c r="U613" s="4"/>
      <c r="V613" s="4"/>
      <c r="W613" s="4"/>
      <c r="X613" s="4"/>
    </row>
    <row x14ac:dyDescent="0.25" r="614" customHeight="1" ht="12.75">
      <c r="A614" s="4"/>
      <c r="B614" s="29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29"/>
      <c r="N614" s="29"/>
      <c r="O614" s="29"/>
      <c r="P614" s="32"/>
      <c r="Q614" s="32"/>
      <c r="R614" s="4"/>
      <c r="S614" s="4"/>
      <c r="T614" s="4"/>
      <c r="U614" s="4"/>
      <c r="V614" s="4"/>
      <c r="W614" s="4"/>
      <c r="X614" s="4"/>
    </row>
    <row x14ac:dyDescent="0.25" r="615" customHeight="1" ht="12.75">
      <c r="A615" s="4"/>
      <c r="B615" s="29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29"/>
      <c r="N615" s="29"/>
      <c r="O615" s="29"/>
      <c r="P615" s="32"/>
      <c r="Q615" s="32"/>
      <c r="R615" s="4"/>
      <c r="S615" s="4"/>
      <c r="T615" s="4"/>
      <c r="U615" s="4"/>
      <c r="V615" s="4"/>
      <c r="W615" s="4"/>
      <c r="X615" s="4"/>
    </row>
    <row x14ac:dyDescent="0.25" r="616" customHeight="1" ht="12.75">
      <c r="A616" s="4"/>
      <c r="B616" s="29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29"/>
      <c r="N616" s="29"/>
      <c r="O616" s="29"/>
      <c r="P616" s="32"/>
      <c r="Q616" s="32"/>
      <c r="R616" s="4"/>
      <c r="S616" s="4"/>
      <c r="T616" s="4"/>
      <c r="U616" s="4"/>
      <c r="V616" s="4"/>
      <c r="W616" s="4"/>
      <c r="X616" s="4"/>
    </row>
    <row x14ac:dyDescent="0.25" r="617" customHeight="1" ht="12.75">
      <c r="A617" s="4"/>
      <c r="B617" s="29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29"/>
      <c r="N617" s="29"/>
      <c r="O617" s="29"/>
      <c r="P617" s="32"/>
      <c r="Q617" s="32"/>
      <c r="R617" s="4"/>
      <c r="S617" s="4"/>
      <c r="T617" s="4"/>
      <c r="U617" s="4"/>
      <c r="V617" s="4"/>
      <c r="W617" s="4"/>
      <c r="X617" s="4"/>
    </row>
    <row x14ac:dyDescent="0.25" r="618" customHeight="1" ht="12.75">
      <c r="A618" s="4"/>
      <c r="B618" s="29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29"/>
      <c r="N618" s="29"/>
      <c r="O618" s="29"/>
      <c r="P618" s="32"/>
      <c r="Q618" s="32"/>
      <c r="R618" s="4"/>
      <c r="S618" s="4"/>
      <c r="T618" s="4"/>
      <c r="U618" s="4"/>
      <c r="V618" s="4"/>
      <c r="W618" s="4"/>
      <c r="X618" s="4"/>
    </row>
    <row x14ac:dyDescent="0.25" r="619" customHeight="1" ht="12.75">
      <c r="A619" s="4"/>
      <c r="B619" s="29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29"/>
      <c r="N619" s="29"/>
      <c r="O619" s="29"/>
      <c r="P619" s="32"/>
      <c r="Q619" s="32"/>
      <c r="R619" s="4"/>
      <c r="S619" s="4"/>
      <c r="T619" s="4"/>
      <c r="U619" s="4"/>
      <c r="V619" s="4"/>
      <c r="W619" s="4"/>
      <c r="X619" s="4"/>
    </row>
    <row x14ac:dyDescent="0.25" r="620" customHeight="1" ht="12.75">
      <c r="A620" s="4"/>
      <c r="B620" s="29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29"/>
      <c r="N620" s="29"/>
      <c r="O620" s="29"/>
      <c r="P620" s="32"/>
      <c r="Q620" s="32"/>
      <c r="R620" s="4"/>
      <c r="S620" s="4"/>
      <c r="T620" s="4"/>
      <c r="U620" s="4"/>
      <c r="V620" s="4"/>
      <c r="W620" s="4"/>
      <c r="X620" s="4"/>
    </row>
    <row x14ac:dyDescent="0.25" r="621" customHeight="1" ht="12.75">
      <c r="A621" s="4"/>
      <c r="B621" s="29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29"/>
      <c r="N621" s="29"/>
      <c r="O621" s="29"/>
      <c r="P621" s="32"/>
      <c r="Q621" s="32"/>
      <c r="R621" s="4"/>
      <c r="S621" s="4"/>
      <c r="T621" s="4"/>
      <c r="U621" s="4"/>
      <c r="V621" s="4"/>
      <c r="W621" s="4"/>
      <c r="X621" s="4"/>
    </row>
    <row x14ac:dyDescent="0.25" r="622" customHeight="1" ht="12.75">
      <c r="A622" s="4"/>
      <c r="B622" s="29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29"/>
      <c r="N622" s="29"/>
      <c r="O622" s="29"/>
      <c r="P622" s="32"/>
      <c r="Q622" s="32"/>
      <c r="R622" s="4"/>
      <c r="S622" s="4"/>
      <c r="T622" s="4"/>
      <c r="U622" s="4"/>
      <c r="V622" s="4"/>
      <c r="W622" s="4"/>
      <c r="X622" s="4"/>
    </row>
    <row x14ac:dyDescent="0.25" r="623" customHeight="1" ht="12.75">
      <c r="A623" s="4"/>
      <c r="B623" s="29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29"/>
      <c r="N623" s="29"/>
      <c r="O623" s="29"/>
      <c r="P623" s="32"/>
      <c r="Q623" s="32"/>
      <c r="R623" s="4"/>
      <c r="S623" s="4"/>
      <c r="T623" s="4"/>
      <c r="U623" s="4"/>
      <c r="V623" s="4"/>
      <c r="W623" s="4"/>
      <c r="X623" s="4"/>
    </row>
    <row x14ac:dyDescent="0.25" r="624" customHeight="1" ht="12.75">
      <c r="A624" s="4"/>
      <c r="B624" s="29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29"/>
      <c r="N624" s="29"/>
      <c r="O624" s="29"/>
      <c r="P624" s="32"/>
      <c r="Q624" s="32"/>
      <c r="R624" s="4"/>
      <c r="S624" s="4"/>
      <c r="T624" s="4"/>
      <c r="U624" s="4"/>
      <c r="V624" s="4"/>
      <c r="W624" s="4"/>
      <c r="X624" s="4"/>
    </row>
    <row x14ac:dyDescent="0.25" r="625" customHeight="1" ht="12.75">
      <c r="A625" s="4"/>
      <c r="B625" s="29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29"/>
      <c r="N625" s="29"/>
      <c r="O625" s="29"/>
      <c r="P625" s="32"/>
      <c r="Q625" s="32"/>
      <c r="R625" s="4"/>
      <c r="S625" s="4"/>
      <c r="T625" s="4"/>
      <c r="U625" s="4"/>
      <c r="V625" s="4"/>
      <c r="W625" s="4"/>
      <c r="X625" s="4"/>
    </row>
    <row x14ac:dyDescent="0.25" r="626" customHeight="1" ht="12.75">
      <c r="A626" s="4"/>
      <c r="B626" s="29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29"/>
      <c r="N626" s="29"/>
      <c r="O626" s="29"/>
      <c r="P626" s="32"/>
      <c r="Q626" s="32"/>
      <c r="R626" s="4"/>
      <c r="S626" s="4"/>
      <c r="T626" s="4"/>
      <c r="U626" s="4"/>
      <c r="V626" s="4"/>
      <c r="W626" s="4"/>
      <c r="X626" s="4"/>
    </row>
    <row x14ac:dyDescent="0.25" r="627" customHeight="1" ht="12.75">
      <c r="A627" s="4"/>
      <c r="B627" s="29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29"/>
      <c r="N627" s="29"/>
      <c r="O627" s="29"/>
      <c r="P627" s="32"/>
      <c r="Q627" s="32"/>
      <c r="R627" s="4"/>
      <c r="S627" s="4"/>
      <c r="T627" s="4"/>
      <c r="U627" s="4"/>
      <c r="V627" s="4"/>
      <c r="W627" s="4"/>
      <c r="X627" s="4"/>
    </row>
    <row x14ac:dyDescent="0.25" r="628" customHeight="1" ht="12.75">
      <c r="A628" s="4"/>
      <c r="B628" s="29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29"/>
      <c r="N628" s="29"/>
      <c r="O628" s="29"/>
      <c r="P628" s="32"/>
      <c r="Q628" s="32"/>
      <c r="R628" s="4"/>
      <c r="S628" s="4"/>
      <c r="T628" s="4"/>
      <c r="U628" s="4"/>
      <c r="V628" s="4"/>
      <c r="W628" s="4"/>
      <c r="X628" s="4"/>
    </row>
    <row x14ac:dyDescent="0.25" r="629" customHeight="1" ht="12.75">
      <c r="A629" s="4"/>
      <c r="B629" s="29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29"/>
      <c r="N629" s="29"/>
      <c r="O629" s="29"/>
      <c r="P629" s="32"/>
      <c r="Q629" s="32"/>
      <c r="R629" s="4"/>
      <c r="S629" s="4"/>
      <c r="T629" s="4"/>
      <c r="U629" s="4"/>
      <c r="V629" s="4"/>
      <c r="W629" s="4"/>
      <c r="X629" s="4"/>
    </row>
    <row x14ac:dyDescent="0.25" r="630" customHeight="1" ht="12.75">
      <c r="A630" s="4"/>
      <c r="B630" s="29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29"/>
      <c r="N630" s="29"/>
      <c r="O630" s="29"/>
      <c r="P630" s="32"/>
      <c r="Q630" s="32"/>
      <c r="R630" s="4"/>
      <c r="S630" s="4"/>
      <c r="T630" s="4"/>
      <c r="U630" s="4"/>
      <c r="V630" s="4"/>
      <c r="W630" s="4"/>
      <c r="X630" s="4"/>
    </row>
    <row x14ac:dyDescent="0.25" r="631" customHeight="1" ht="12.75">
      <c r="A631" s="4"/>
      <c r="B631" s="29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29"/>
      <c r="N631" s="29"/>
      <c r="O631" s="29"/>
      <c r="P631" s="32"/>
      <c r="Q631" s="32"/>
      <c r="R631" s="4"/>
      <c r="S631" s="4"/>
      <c r="T631" s="4"/>
      <c r="U631" s="4"/>
      <c r="V631" s="4"/>
      <c r="W631" s="4"/>
      <c r="X631" s="4"/>
    </row>
    <row x14ac:dyDescent="0.25" r="632" customHeight="1" ht="12.75">
      <c r="A632" s="4"/>
      <c r="B632" s="29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29"/>
      <c r="N632" s="29"/>
      <c r="O632" s="29"/>
      <c r="P632" s="32"/>
      <c r="Q632" s="32"/>
      <c r="R632" s="4"/>
      <c r="S632" s="4"/>
      <c r="T632" s="4"/>
      <c r="U632" s="4"/>
      <c r="V632" s="4"/>
      <c r="W632" s="4"/>
      <c r="X632" s="4"/>
    </row>
    <row x14ac:dyDescent="0.25" r="633" customHeight="1" ht="12.75">
      <c r="A633" s="4"/>
      <c r="B633" s="29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29"/>
      <c r="N633" s="29"/>
      <c r="O633" s="29"/>
      <c r="P633" s="32"/>
      <c r="Q633" s="32"/>
      <c r="R633" s="4"/>
      <c r="S633" s="4"/>
      <c r="T633" s="4"/>
      <c r="U633" s="4"/>
      <c r="V633" s="4"/>
      <c r="W633" s="4"/>
      <c r="X633" s="4"/>
    </row>
    <row x14ac:dyDescent="0.25" r="634" customHeight="1" ht="12.75">
      <c r="A634" s="4"/>
      <c r="B634" s="29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29"/>
      <c r="N634" s="29"/>
      <c r="O634" s="29"/>
      <c r="P634" s="32"/>
      <c r="Q634" s="32"/>
      <c r="R634" s="4"/>
      <c r="S634" s="4"/>
      <c r="T634" s="4"/>
      <c r="U634" s="4"/>
      <c r="V634" s="4"/>
      <c r="W634" s="4"/>
      <c r="X634" s="4"/>
    </row>
    <row x14ac:dyDescent="0.25" r="635" customHeight="1" ht="12.75">
      <c r="A635" s="4"/>
      <c r="B635" s="29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29"/>
      <c r="N635" s="29"/>
      <c r="O635" s="29"/>
      <c r="P635" s="32"/>
      <c r="Q635" s="32"/>
      <c r="R635" s="4"/>
      <c r="S635" s="4"/>
      <c r="T635" s="4"/>
      <c r="U635" s="4"/>
      <c r="V635" s="4"/>
      <c r="W635" s="4"/>
      <c r="X635" s="4"/>
    </row>
    <row x14ac:dyDescent="0.25" r="636" customHeight="1" ht="12.75">
      <c r="A636" s="4"/>
      <c r="B636" s="29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29"/>
      <c r="N636" s="29"/>
      <c r="O636" s="29"/>
      <c r="P636" s="32"/>
      <c r="Q636" s="32"/>
      <c r="R636" s="4"/>
      <c r="S636" s="4"/>
      <c r="T636" s="4"/>
      <c r="U636" s="4"/>
      <c r="V636" s="4"/>
      <c r="W636" s="4"/>
      <c r="X636" s="4"/>
    </row>
    <row x14ac:dyDescent="0.25" r="637" customHeight="1" ht="12.75">
      <c r="A637" s="4"/>
      <c r="B637" s="29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29"/>
      <c r="N637" s="29"/>
      <c r="O637" s="29"/>
      <c r="P637" s="32"/>
      <c r="Q637" s="32"/>
      <c r="R637" s="4"/>
      <c r="S637" s="4"/>
      <c r="T637" s="4"/>
      <c r="U637" s="4"/>
      <c r="V637" s="4"/>
      <c r="W637" s="4"/>
      <c r="X637" s="4"/>
    </row>
    <row x14ac:dyDescent="0.25" r="638" customHeight="1" ht="12.75">
      <c r="A638" s="4"/>
      <c r="B638" s="29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29"/>
      <c r="N638" s="29"/>
      <c r="O638" s="29"/>
      <c r="P638" s="32"/>
      <c r="Q638" s="32"/>
      <c r="R638" s="4"/>
      <c r="S638" s="4"/>
      <c r="T638" s="4"/>
      <c r="U638" s="4"/>
      <c r="V638" s="4"/>
      <c r="W638" s="4"/>
      <c r="X638" s="4"/>
    </row>
    <row x14ac:dyDescent="0.25" r="639" customHeight="1" ht="12.75">
      <c r="A639" s="4"/>
      <c r="B639" s="29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29"/>
      <c r="N639" s="29"/>
      <c r="O639" s="29"/>
      <c r="P639" s="32"/>
      <c r="Q639" s="32"/>
      <c r="R639" s="4"/>
      <c r="S639" s="4"/>
      <c r="T639" s="4"/>
      <c r="U639" s="4"/>
      <c r="V639" s="4"/>
      <c r="W639" s="4"/>
      <c r="X639" s="4"/>
    </row>
    <row x14ac:dyDescent="0.25" r="640" customHeight="1" ht="12.75">
      <c r="A640" s="4"/>
      <c r="B640" s="29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29"/>
      <c r="N640" s="29"/>
      <c r="O640" s="29"/>
      <c r="P640" s="32"/>
      <c r="Q640" s="32"/>
      <c r="R640" s="4"/>
      <c r="S640" s="4"/>
      <c r="T640" s="4"/>
      <c r="U640" s="4"/>
      <c r="V640" s="4"/>
      <c r="W640" s="4"/>
      <c r="X640" s="4"/>
    </row>
    <row x14ac:dyDescent="0.25" r="641" customHeight="1" ht="12.75">
      <c r="A641" s="4"/>
      <c r="B641" s="29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29"/>
      <c r="N641" s="29"/>
      <c r="O641" s="29"/>
      <c r="P641" s="32"/>
      <c r="Q641" s="32"/>
      <c r="R641" s="4"/>
      <c r="S641" s="4"/>
      <c r="T641" s="4"/>
      <c r="U641" s="4"/>
      <c r="V641" s="4"/>
      <c r="W641" s="4"/>
      <c r="X641" s="4"/>
    </row>
    <row x14ac:dyDescent="0.25" r="642" customHeight="1" ht="12.75">
      <c r="A642" s="4"/>
      <c r="B642" s="29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29"/>
      <c r="N642" s="29"/>
      <c r="O642" s="29"/>
      <c r="P642" s="32"/>
      <c r="Q642" s="32"/>
      <c r="R642" s="4"/>
      <c r="S642" s="4"/>
      <c r="T642" s="4"/>
      <c r="U642" s="4"/>
      <c r="V642" s="4"/>
      <c r="W642" s="4"/>
      <c r="X642" s="4"/>
    </row>
    <row x14ac:dyDescent="0.25" r="643" customHeight="1" ht="12.75">
      <c r="A643" s="4"/>
      <c r="B643" s="29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29"/>
      <c r="N643" s="29"/>
      <c r="O643" s="29"/>
      <c r="P643" s="32"/>
      <c r="Q643" s="32"/>
      <c r="R643" s="4"/>
      <c r="S643" s="4"/>
      <c r="T643" s="4"/>
      <c r="U643" s="4"/>
      <c r="V643" s="4"/>
      <c r="W643" s="4"/>
      <c r="X643" s="4"/>
    </row>
    <row x14ac:dyDescent="0.25" r="644" customHeight="1" ht="12.75">
      <c r="A644" s="4"/>
      <c r="B644" s="29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29"/>
      <c r="N644" s="29"/>
      <c r="O644" s="29"/>
      <c r="P644" s="32"/>
      <c r="Q644" s="32"/>
      <c r="R644" s="4"/>
      <c r="S644" s="4"/>
      <c r="T644" s="4"/>
      <c r="U644" s="4"/>
      <c r="V644" s="4"/>
      <c r="W644" s="4"/>
      <c r="X644" s="4"/>
    </row>
    <row x14ac:dyDescent="0.25" r="645" customHeight="1" ht="12.75">
      <c r="A645" s="4"/>
      <c r="B645" s="29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29"/>
      <c r="N645" s="29"/>
      <c r="O645" s="29"/>
      <c r="P645" s="32"/>
      <c r="Q645" s="32"/>
      <c r="R645" s="4"/>
      <c r="S645" s="4"/>
      <c r="T645" s="4"/>
      <c r="U645" s="4"/>
      <c r="V645" s="4"/>
      <c r="W645" s="4"/>
      <c r="X645" s="4"/>
    </row>
    <row x14ac:dyDescent="0.25" r="646" customHeight="1" ht="12.75">
      <c r="A646" s="4"/>
      <c r="B646" s="29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29"/>
      <c r="N646" s="29"/>
      <c r="O646" s="29"/>
      <c r="P646" s="32"/>
      <c r="Q646" s="32"/>
      <c r="R646" s="4"/>
      <c r="S646" s="4"/>
      <c r="T646" s="4"/>
      <c r="U646" s="4"/>
      <c r="V646" s="4"/>
      <c r="W646" s="4"/>
      <c r="X646" s="4"/>
    </row>
    <row x14ac:dyDescent="0.25" r="647" customHeight="1" ht="12.75">
      <c r="A647" s="4"/>
      <c r="B647" s="29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29"/>
      <c r="N647" s="29"/>
      <c r="O647" s="29"/>
      <c r="P647" s="32"/>
      <c r="Q647" s="32"/>
      <c r="R647" s="4"/>
      <c r="S647" s="4"/>
      <c r="T647" s="4"/>
      <c r="U647" s="4"/>
      <c r="V647" s="4"/>
      <c r="W647" s="4"/>
      <c r="X647" s="4"/>
    </row>
    <row x14ac:dyDescent="0.25" r="648" customHeight="1" ht="12.75">
      <c r="A648" s="4"/>
      <c r="B648" s="29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29"/>
      <c r="N648" s="29"/>
      <c r="O648" s="29"/>
      <c r="P648" s="32"/>
      <c r="Q648" s="32"/>
      <c r="R648" s="4"/>
      <c r="S648" s="4"/>
      <c r="T648" s="4"/>
      <c r="U648" s="4"/>
      <c r="V648" s="4"/>
      <c r="W648" s="4"/>
      <c r="X648" s="4"/>
    </row>
    <row x14ac:dyDescent="0.25" r="649" customHeight="1" ht="12.75">
      <c r="A649" s="4"/>
      <c r="B649" s="29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29"/>
      <c r="N649" s="29"/>
      <c r="O649" s="29"/>
      <c r="P649" s="32"/>
      <c r="Q649" s="32"/>
      <c r="R649" s="4"/>
      <c r="S649" s="4"/>
      <c r="T649" s="4"/>
      <c r="U649" s="4"/>
      <c r="V649" s="4"/>
      <c r="W649" s="4"/>
      <c r="X649" s="4"/>
    </row>
    <row x14ac:dyDescent="0.25" r="650" customHeight="1" ht="12.75">
      <c r="A650" s="4"/>
      <c r="B650" s="29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29"/>
      <c r="N650" s="29"/>
      <c r="O650" s="29"/>
      <c r="P650" s="32"/>
      <c r="Q650" s="32"/>
      <c r="R650" s="4"/>
      <c r="S650" s="4"/>
      <c r="T650" s="4"/>
      <c r="U650" s="4"/>
      <c r="V650" s="4"/>
      <c r="W650" s="4"/>
      <c r="X650" s="4"/>
    </row>
    <row x14ac:dyDescent="0.25" r="651" customHeight="1" ht="12.75">
      <c r="A651" s="4"/>
      <c r="B651" s="29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29"/>
      <c r="N651" s="29"/>
      <c r="O651" s="29"/>
      <c r="P651" s="32"/>
      <c r="Q651" s="32"/>
      <c r="R651" s="4"/>
      <c r="S651" s="4"/>
      <c r="T651" s="4"/>
      <c r="U651" s="4"/>
      <c r="V651" s="4"/>
      <c r="W651" s="4"/>
      <c r="X651" s="4"/>
    </row>
    <row x14ac:dyDescent="0.25" r="652" customHeight="1" ht="12.75">
      <c r="A652" s="4"/>
      <c r="B652" s="29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29"/>
      <c r="N652" s="29"/>
      <c r="O652" s="29"/>
      <c r="P652" s="32"/>
      <c r="Q652" s="32"/>
      <c r="R652" s="4"/>
      <c r="S652" s="4"/>
      <c r="T652" s="4"/>
      <c r="U652" s="4"/>
      <c r="V652" s="4"/>
      <c r="W652" s="4"/>
      <c r="X652" s="4"/>
    </row>
    <row x14ac:dyDescent="0.25" r="653" customHeight="1" ht="12.75">
      <c r="A653" s="4"/>
      <c r="B653" s="29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29"/>
      <c r="N653" s="29"/>
      <c r="O653" s="29"/>
      <c r="P653" s="32"/>
      <c r="Q653" s="32"/>
      <c r="R653" s="4"/>
      <c r="S653" s="4"/>
      <c r="T653" s="4"/>
      <c r="U653" s="4"/>
      <c r="V653" s="4"/>
      <c r="W653" s="4"/>
      <c r="X653" s="4"/>
    </row>
    <row x14ac:dyDescent="0.25" r="654" customHeight="1" ht="12.75">
      <c r="A654" s="4"/>
      <c r="B654" s="29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29"/>
      <c r="N654" s="29"/>
      <c r="O654" s="29"/>
      <c r="P654" s="32"/>
      <c r="Q654" s="32"/>
      <c r="R654" s="4"/>
      <c r="S654" s="4"/>
      <c r="T654" s="4"/>
      <c r="U654" s="4"/>
      <c r="V654" s="4"/>
      <c r="W654" s="4"/>
      <c r="X654" s="4"/>
    </row>
    <row x14ac:dyDescent="0.25" r="655" customHeight="1" ht="12.75">
      <c r="A655" s="4"/>
      <c r="B655" s="29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29"/>
      <c r="N655" s="29"/>
      <c r="O655" s="29"/>
      <c r="P655" s="32"/>
      <c r="Q655" s="32"/>
      <c r="R655" s="4"/>
      <c r="S655" s="4"/>
      <c r="T655" s="4"/>
      <c r="U655" s="4"/>
      <c r="V655" s="4"/>
      <c r="W655" s="4"/>
      <c r="X655" s="4"/>
    </row>
    <row x14ac:dyDescent="0.25" r="656" customHeight="1" ht="12.75">
      <c r="A656" s="4"/>
      <c r="B656" s="29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29"/>
      <c r="N656" s="29"/>
      <c r="O656" s="29"/>
      <c r="P656" s="32"/>
      <c r="Q656" s="32"/>
      <c r="R656" s="4"/>
      <c r="S656" s="4"/>
      <c r="T656" s="4"/>
      <c r="U656" s="4"/>
      <c r="V656" s="4"/>
      <c r="W656" s="4"/>
      <c r="X656" s="4"/>
    </row>
    <row x14ac:dyDescent="0.25" r="657" customHeight="1" ht="12.75">
      <c r="A657" s="4"/>
      <c r="B657" s="29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29"/>
      <c r="N657" s="29"/>
      <c r="O657" s="29"/>
      <c r="P657" s="32"/>
      <c r="Q657" s="32"/>
      <c r="R657" s="4"/>
      <c r="S657" s="4"/>
      <c r="T657" s="4"/>
      <c r="U657" s="4"/>
      <c r="V657" s="4"/>
      <c r="W657" s="4"/>
      <c r="X657" s="4"/>
    </row>
    <row x14ac:dyDescent="0.25" r="658" customHeight="1" ht="12.75">
      <c r="A658" s="4"/>
      <c r="B658" s="29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29"/>
      <c r="N658" s="29"/>
      <c r="O658" s="29"/>
      <c r="P658" s="32"/>
      <c r="Q658" s="32"/>
      <c r="R658" s="4"/>
      <c r="S658" s="4"/>
      <c r="T658" s="4"/>
      <c r="U658" s="4"/>
      <c r="V658" s="4"/>
      <c r="W658" s="4"/>
      <c r="X658" s="4"/>
    </row>
    <row x14ac:dyDescent="0.25" r="659" customHeight="1" ht="12.75">
      <c r="A659" s="4"/>
      <c r="B659" s="29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29"/>
      <c r="N659" s="29"/>
      <c r="O659" s="29"/>
      <c r="P659" s="32"/>
      <c r="Q659" s="32"/>
      <c r="R659" s="4"/>
      <c r="S659" s="4"/>
      <c r="T659" s="4"/>
      <c r="U659" s="4"/>
      <c r="V659" s="4"/>
      <c r="W659" s="4"/>
      <c r="X659" s="4"/>
    </row>
    <row x14ac:dyDescent="0.25" r="660" customHeight="1" ht="12.75">
      <c r="A660" s="4"/>
      <c r="B660" s="29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29"/>
      <c r="N660" s="29"/>
      <c r="O660" s="29"/>
      <c r="P660" s="32"/>
      <c r="Q660" s="32"/>
      <c r="R660" s="4"/>
      <c r="S660" s="4"/>
      <c r="T660" s="4"/>
      <c r="U660" s="4"/>
      <c r="V660" s="4"/>
      <c r="W660" s="4"/>
      <c r="X660" s="4"/>
    </row>
    <row x14ac:dyDescent="0.25" r="661" customHeight="1" ht="12.75">
      <c r="A661" s="4"/>
      <c r="B661" s="29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29"/>
      <c r="N661" s="29"/>
      <c r="O661" s="29"/>
      <c r="P661" s="32"/>
      <c r="Q661" s="32"/>
      <c r="R661" s="4"/>
      <c r="S661" s="4"/>
      <c r="T661" s="4"/>
      <c r="U661" s="4"/>
      <c r="V661" s="4"/>
      <c r="W661" s="4"/>
      <c r="X661" s="4"/>
    </row>
    <row x14ac:dyDescent="0.25" r="662" customHeight="1" ht="12.75">
      <c r="A662" s="4"/>
      <c r="B662" s="29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29"/>
      <c r="N662" s="29"/>
      <c r="O662" s="29"/>
      <c r="P662" s="32"/>
      <c r="Q662" s="32"/>
      <c r="R662" s="4"/>
      <c r="S662" s="4"/>
      <c r="T662" s="4"/>
      <c r="U662" s="4"/>
      <c r="V662" s="4"/>
      <c r="W662" s="4"/>
      <c r="X662" s="4"/>
    </row>
    <row x14ac:dyDescent="0.25" r="663" customHeight="1" ht="12.75">
      <c r="A663" s="4"/>
      <c r="B663" s="29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29"/>
      <c r="N663" s="29"/>
      <c r="O663" s="29"/>
      <c r="P663" s="32"/>
      <c r="Q663" s="32"/>
      <c r="R663" s="4"/>
      <c r="S663" s="4"/>
      <c r="T663" s="4"/>
      <c r="U663" s="4"/>
      <c r="V663" s="4"/>
      <c r="W663" s="4"/>
      <c r="X663" s="4"/>
    </row>
    <row x14ac:dyDescent="0.25" r="664" customHeight="1" ht="12.75">
      <c r="A664" s="4"/>
      <c r="B664" s="29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29"/>
      <c r="N664" s="29"/>
      <c r="O664" s="29"/>
      <c r="P664" s="32"/>
      <c r="Q664" s="32"/>
      <c r="R664" s="4"/>
      <c r="S664" s="4"/>
      <c r="T664" s="4"/>
      <c r="U664" s="4"/>
      <c r="V664" s="4"/>
      <c r="W664" s="4"/>
      <c r="X664" s="4"/>
    </row>
    <row x14ac:dyDescent="0.25" r="665" customHeight="1" ht="12.75">
      <c r="A665" s="4"/>
      <c r="B665" s="29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29"/>
      <c r="N665" s="29"/>
      <c r="O665" s="29"/>
      <c r="P665" s="32"/>
      <c r="Q665" s="32"/>
      <c r="R665" s="4"/>
      <c r="S665" s="4"/>
      <c r="T665" s="4"/>
      <c r="U665" s="4"/>
      <c r="V665" s="4"/>
      <c r="W665" s="4"/>
      <c r="X665" s="4"/>
    </row>
    <row x14ac:dyDescent="0.25" r="666" customHeight="1" ht="12.75">
      <c r="A666" s="4"/>
      <c r="B666" s="29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29"/>
      <c r="N666" s="29"/>
      <c r="O666" s="29"/>
      <c r="P666" s="32"/>
      <c r="Q666" s="32"/>
      <c r="R666" s="4"/>
      <c r="S666" s="4"/>
      <c r="T666" s="4"/>
      <c r="U666" s="4"/>
      <c r="V666" s="4"/>
      <c r="W666" s="4"/>
      <c r="X666" s="4"/>
    </row>
    <row x14ac:dyDescent="0.25" r="667" customHeight="1" ht="12.75">
      <c r="A667" s="4"/>
      <c r="B667" s="29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29"/>
      <c r="N667" s="29"/>
      <c r="O667" s="29"/>
      <c r="P667" s="32"/>
      <c r="Q667" s="32"/>
      <c r="R667" s="4"/>
      <c r="S667" s="4"/>
      <c r="T667" s="4"/>
      <c r="U667" s="4"/>
      <c r="V667" s="4"/>
      <c r="W667" s="4"/>
      <c r="X667" s="4"/>
    </row>
    <row x14ac:dyDescent="0.25" r="668" customHeight="1" ht="12.75">
      <c r="A668" s="4"/>
      <c r="B668" s="29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29"/>
      <c r="N668" s="29"/>
      <c r="O668" s="29"/>
      <c r="P668" s="32"/>
      <c r="Q668" s="32"/>
      <c r="R668" s="4"/>
      <c r="S668" s="4"/>
      <c r="T668" s="4"/>
      <c r="U668" s="4"/>
      <c r="V668" s="4"/>
      <c r="W668" s="4"/>
      <c r="X668" s="4"/>
    </row>
    <row x14ac:dyDescent="0.25" r="669" customHeight="1" ht="12.75">
      <c r="A669" s="4"/>
      <c r="B669" s="29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29"/>
      <c r="N669" s="29"/>
      <c r="O669" s="29"/>
      <c r="P669" s="32"/>
      <c r="Q669" s="32"/>
      <c r="R669" s="4"/>
      <c r="S669" s="4"/>
      <c r="T669" s="4"/>
      <c r="U669" s="4"/>
      <c r="V669" s="4"/>
      <c r="W669" s="4"/>
      <c r="X669" s="4"/>
    </row>
    <row x14ac:dyDescent="0.25" r="670" customHeight="1" ht="12.75">
      <c r="A670" s="4"/>
      <c r="B670" s="29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29"/>
      <c r="N670" s="29"/>
      <c r="O670" s="29"/>
      <c r="P670" s="32"/>
      <c r="Q670" s="32"/>
      <c r="R670" s="4"/>
      <c r="S670" s="4"/>
      <c r="T670" s="4"/>
      <c r="U670" s="4"/>
      <c r="V670" s="4"/>
      <c r="W670" s="4"/>
      <c r="X670" s="4"/>
    </row>
    <row x14ac:dyDescent="0.25" r="671" customHeight="1" ht="12.75">
      <c r="A671" s="4"/>
      <c r="B671" s="29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29"/>
      <c r="N671" s="29"/>
      <c r="O671" s="29"/>
      <c r="P671" s="32"/>
      <c r="Q671" s="32"/>
      <c r="R671" s="4"/>
      <c r="S671" s="4"/>
      <c r="T671" s="4"/>
      <c r="U671" s="4"/>
      <c r="V671" s="4"/>
      <c r="W671" s="4"/>
      <c r="X671" s="4"/>
    </row>
    <row x14ac:dyDescent="0.25" r="672" customHeight="1" ht="12.75">
      <c r="A672" s="4"/>
      <c r="B672" s="29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29"/>
      <c r="N672" s="29"/>
      <c r="O672" s="29"/>
      <c r="P672" s="32"/>
      <c r="Q672" s="32"/>
      <c r="R672" s="4"/>
      <c r="S672" s="4"/>
      <c r="T672" s="4"/>
      <c r="U672" s="4"/>
      <c r="V672" s="4"/>
      <c r="W672" s="4"/>
      <c r="X672" s="4"/>
    </row>
    <row x14ac:dyDescent="0.25" r="673" customHeight="1" ht="12.75">
      <c r="A673" s="4"/>
      <c r="B673" s="29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29"/>
      <c r="N673" s="29"/>
      <c r="O673" s="29"/>
      <c r="P673" s="32"/>
      <c r="Q673" s="32"/>
      <c r="R673" s="4"/>
      <c r="S673" s="4"/>
      <c r="T673" s="4"/>
      <c r="U673" s="4"/>
      <c r="V673" s="4"/>
      <c r="W673" s="4"/>
      <c r="X673" s="4"/>
    </row>
    <row x14ac:dyDescent="0.25" r="674" customHeight="1" ht="12.75">
      <c r="A674" s="4"/>
      <c r="B674" s="29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29"/>
      <c r="N674" s="29"/>
      <c r="O674" s="29"/>
      <c r="P674" s="32"/>
      <c r="Q674" s="32"/>
      <c r="R674" s="4"/>
      <c r="S674" s="4"/>
      <c r="T674" s="4"/>
      <c r="U674" s="4"/>
      <c r="V674" s="4"/>
      <c r="W674" s="4"/>
      <c r="X674" s="4"/>
    </row>
    <row x14ac:dyDescent="0.25" r="675" customHeight="1" ht="12.75">
      <c r="A675" s="4"/>
      <c r="B675" s="29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29"/>
      <c r="N675" s="29"/>
      <c r="O675" s="29"/>
      <c r="P675" s="32"/>
      <c r="Q675" s="32"/>
      <c r="R675" s="4"/>
      <c r="S675" s="4"/>
      <c r="T675" s="4"/>
      <c r="U675" s="4"/>
      <c r="V675" s="4"/>
      <c r="W675" s="4"/>
      <c r="X675" s="4"/>
    </row>
    <row x14ac:dyDescent="0.25" r="676" customHeight="1" ht="12.75">
      <c r="A676" s="4"/>
      <c r="B676" s="29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29"/>
      <c r="N676" s="29"/>
      <c r="O676" s="29"/>
      <c r="P676" s="32"/>
      <c r="Q676" s="32"/>
      <c r="R676" s="4"/>
      <c r="S676" s="4"/>
      <c r="T676" s="4"/>
      <c r="U676" s="4"/>
      <c r="V676" s="4"/>
      <c r="W676" s="4"/>
      <c r="X676" s="4"/>
    </row>
    <row x14ac:dyDescent="0.25" r="677" customHeight="1" ht="12.75">
      <c r="A677" s="4"/>
      <c r="B677" s="29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29"/>
      <c r="N677" s="29"/>
      <c r="O677" s="29"/>
      <c r="P677" s="32"/>
      <c r="Q677" s="32"/>
      <c r="R677" s="4"/>
      <c r="S677" s="4"/>
      <c r="T677" s="4"/>
      <c r="U677" s="4"/>
      <c r="V677" s="4"/>
      <c r="W677" s="4"/>
      <c r="X677" s="4"/>
    </row>
    <row x14ac:dyDescent="0.25" r="678" customHeight="1" ht="12.75">
      <c r="A678" s="4"/>
      <c r="B678" s="29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29"/>
      <c r="N678" s="29"/>
      <c r="O678" s="29"/>
      <c r="P678" s="32"/>
      <c r="Q678" s="32"/>
      <c r="R678" s="4"/>
      <c r="S678" s="4"/>
      <c r="T678" s="4"/>
      <c r="U678" s="4"/>
      <c r="V678" s="4"/>
      <c r="W678" s="4"/>
      <c r="X678" s="4"/>
    </row>
    <row x14ac:dyDescent="0.25" r="679" customHeight="1" ht="12.75">
      <c r="A679" s="4"/>
      <c r="B679" s="29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29"/>
      <c r="N679" s="29"/>
      <c r="O679" s="29"/>
      <c r="P679" s="32"/>
      <c r="Q679" s="32"/>
      <c r="R679" s="4"/>
      <c r="S679" s="4"/>
      <c r="T679" s="4"/>
      <c r="U679" s="4"/>
      <c r="V679" s="4"/>
      <c r="W679" s="4"/>
      <c r="X679" s="4"/>
    </row>
    <row x14ac:dyDescent="0.25" r="680" customHeight="1" ht="12.75">
      <c r="A680" s="4"/>
      <c r="B680" s="29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29"/>
      <c r="N680" s="29"/>
      <c r="O680" s="29"/>
      <c r="P680" s="32"/>
      <c r="Q680" s="32"/>
      <c r="R680" s="4"/>
      <c r="S680" s="4"/>
      <c r="T680" s="4"/>
      <c r="U680" s="4"/>
      <c r="V680" s="4"/>
      <c r="W680" s="4"/>
      <c r="X680" s="4"/>
    </row>
    <row x14ac:dyDescent="0.25" r="681" customHeight="1" ht="12.75">
      <c r="A681" s="4"/>
      <c r="B681" s="29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29"/>
      <c r="N681" s="29"/>
      <c r="O681" s="29"/>
      <c r="P681" s="32"/>
      <c r="Q681" s="32"/>
      <c r="R681" s="4"/>
      <c r="S681" s="4"/>
      <c r="T681" s="4"/>
      <c r="U681" s="4"/>
      <c r="V681" s="4"/>
      <c r="W681" s="4"/>
      <c r="X681" s="4"/>
    </row>
    <row x14ac:dyDescent="0.25" r="682" customHeight="1" ht="12.75">
      <c r="A682" s="4"/>
      <c r="B682" s="29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29"/>
      <c r="N682" s="29"/>
      <c r="O682" s="29"/>
      <c r="P682" s="32"/>
      <c r="Q682" s="32"/>
      <c r="R682" s="4"/>
      <c r="S682" s="4"/>
      <c r="T682" s="4"/>
      <c r="U682" s="4"/>
      <c r="V682" s="4"/>
      <c r="W682" s="4"/>
      <c r="X682" s="4"/>
    </row>
    <row x14ac:dyDescent="0.25" r="683" customHeight="1" ht="12.75">
      <c r="A683" s="4"/>
      <c r="B683" s="29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29"/>
      <c r="N683" s="29"/>
      <c r="O683" s="29"/>
      <c r="P683" s="32"/>
      <c r="Q683" s="32"/>
      <c r="R683" s="4"/>
      <c r="S683" s="4"/>
      <c r="T683" s="4"/>
      <c r="U683" s="4"/>
      <c r="V683" s="4"/>
      <c r="W683" s="4"/>
      <c r="X683" s="4"/>
    </row>
    <row x14ac:dyDescent="0.25" r="684" customHeight="1" ht="12.75">
      <c r="A684" s="4"/>
      <c r="B684" s="29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29"/>
      <c r="N684" s="29"/>
      <c r="O684" s="29"/>
      <c r="P684" s="32"/>
      <c r="Q684" s="32"/>
      <c r="R684" s="4"/>
      <c r="S684" s="4"/>
      <c r="T684" s="4"/>
      <c r="U684" s="4"/>
      <c r="V684" s="4"/>
      <c r="W684" s="4"/>
      <c r="X684" s="4"/>
    </row>
    <row x14ac:dyDescent="0.25" r="685" customHeight="1" ht="12.75">
      <c r="A685" s="4"/>
      <c r="B685" s="29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29"/>
      <c r="N685" s="29"/>
      <c r="O685" s="29"/>
      <c r="P685" s="32"/>
      <c r="Q685" s="32"/>
      <c r="R685" s="4"/>
      <c r="S685" s="4"/>
      <c r="T685" s="4"/>
      <c r="U685" s="4"/>
      <c r="V685" s="4"/>
      <c r="W685" s="4"/>
      <c r="X685" s="4"/>
    </row>
    <row x14ac:dyDescent="0.25" r="686" customHeight="1" ht="12.75">
      <c r="A686" s="4"/>
      <c r="B686" s="29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29"/>
      <c r="N686" s="29"/>
      <c r="O686" s="29"/>
      <c r="P686" s="32"/>
      <c r="Q686" s="32"/>
      <c r="R686" s="4"/>
      <c r="S686" s="4"/>
      <c r="T686" s="4"/>
      <c r="U686" s="4"/>
      <c r="V686" s="4"/>
      <c r="W686" s="4"/>
      <c r="X686" s="4"/>
    </row>
    <row x14ac:dyDescent="0.25" r="687" customHeight="1" ht="12.75">
      <c r="A687" s="4"/>
      <c r="B687" s="29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29"/>
      <c r="N687" s="29"/>
      <c r="O687" s="29"/>
      <c r="P687" s="32"/>
      <c r="Q687" s="32"/>
      <c r="R687" s="4"/>
      <c r="S687" s="4"/>
      <c r="T687" s="4"/>
      <c r="U687" s="4"/>
      <c r="V687" s="4"/>
      <c r="W687" s="4"/>
      <c r="X687" s="4"/>
    </row>
    <row x14ac:dyDescent="0.25" r="688" customHeight="1" ht="12.75">
      <c r="A688" s="4"/>
      <c r="B688" s="29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29"/>
      <c r="N688" s="29"/>
      <c r="O688" s="29"/>
      <c r="P688" s="32"/>
      <c r="Q688" s="32"/>
      <c r="R688" s="4"/>
      <c r="S688" s="4"/>
      <c r="T688" s="4"/>
      <c r="U688" s="4"/>
      <c r="V688" s="4"/>
      <c r="W688" s="4"/>
      <c r="X688" s="4"/>
    </row>
    <row x14ac:dyDescent="0.25" r="689" customHeight="1" ht="12.75">
      <c r="A689" s="4"/>
      <c r="B689" s="29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29"/>
      <c r="N689" s="29"/>
      <c r="O689" s="29"/>
      <c r="P689" s="32"/>
      <c r="Q689" s="32"/>
      <c r="R689" s="4"/>
      <c r="S689" s="4"/>
      <c r="T689" s="4"/>
      <c r="U689" s="4"/>
      <c r="V689" s="4"/>
      <c r="W689" s="4"/>
      <c r="X689" s="4"/>
    </row>
    <row x14ac:dyDescent="0.25" r="690" customHeight="1" ht="12.75">
      <c r="A690" s="4"/>
      <c r="B690" s="29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29"/>
      <c r="N690" s="29"/>
      <c r="O690" s="29"/>
      <c r="P690" s="32"/>
      <c r="Q690" s="32"/>
      <c r="R690" s="4"/>
      <c r="S690" s="4"/>
      <c r="T690" s="4"/>
      <c r="U690" s="4"/>
      <c r="V690" s="4"/>
      <c r="W690" s="4"/>
      <c r="X690" s="4"/>
    </row>
    <row x14ac:dyDescent="0.25" r="691" customHeight="1" ht="12.75">
      <c r="A691" s="4"/>
      <c r="B691" s="29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29"/>
      <c r="N691" s="29"/>
      <c r="O691" s="29"/>
      <c r="P691" s="32"/>
      <c r="Q691" s="32"/>
      <c r="R691" s="4"/>
      <c r="S691" s="4"/>
      <c r="T691" s="4"/>
      <c r="U691" s="4"/>
      <c r="V691" s="4"/>
      <c r="W691" s="4"/>
      <c r="X691" s="4"/>
    </row>
    <row x14ac:dyDescent="0.25" r="692" customHeight="1" ht="12.75">
      <c r="A692" s="4"/>
      <c r="B692" s="29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29"/>
      <c r="N692" s="29"/>
      <c r="O692" s="29"/>
      <c r="P692" s="32"/>
      <c r="Q692" s="32"/>
      <c r="R692" s="4"/>
      <c r="S692" s="4"/>
      <c r="T692" s="4"/>
      <c r="U692" s="4"/>
      <c r="V692" s="4"/>
      <c r="W692" s="4"/>
      <c r="X692" s="4"/>
    </row>
    <row x14ac:dyDescent="0.25" r="693" customHeight="1" ht="12.75">
      <c r="A693" s="4"/>
      <c r="B693" s="29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29"/>
      <c r="N693" s="29"/>
      <c r="O693" s="29"/>
      <c r="P693" s="32"/>
      <c r="Q693" s="32"/>
      <c r="R693" s="4"/>
      <c r="S693" s="4"/>
      <c r="T693" s="4"/>
      <c r="U693" s="4"/>
      <c r="V693" s="4"/>
      <c r="W693" s="4"/>
      <c r="X693" s="4"/>
    </row>
    <row x14ac:dyDescent="0.25" r="694" customHeight="1" ht="12.75">
      <c r="A694" s="4"/>
      <c r="B694" s="29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29"/>
      <c r="N694" s="29"/>
      <c r="O694" s="29"/>
      <c r="P694" s="32"/>
      <c r="Q694" s="32"/>
      <c r="R694" s="4"/>
      <c r="S694" s="4"/>
      <c r="T694" s="4"/>
      <c r="U694" s="4"/>
      <c r="V694" s="4"/>
      <c r="W694" s="4"/>
      <c r="X694" s="4"/>
    </row>
    <row x14ac:dyDescent="0.25" r="695" customHeight="1" ht="12.75">
      <c r="A695" s="4"/>
      <c r="B695" s="29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29"/>
      <c r="N695" s="29"/>
      <c r="O695" s="29"/>
      <c r="P695" s="32"/>
      <c r="Q695" s="32"/>
      <c r="R695" s="4"/>
      <c r="S695" s="4"/>
      <c r="T695" s="4"/>
      <c r="U695" s="4"/>
      <c r="V695" s="4"/>
      <c r="W695" s="4"/>
      <c r="X695" s="4"/>
    </row>
    <row x14ac:dyDescent="0.25" r="696" customHeight="1" ht="12.75">
      <c r="A696" s="4"/>
      <c r="B696" s="29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29"/>
      <c r="N696" s="29"/>
      <c r="O696" s="29"/>
      <c r="P696" s="32"/>
      <c r="Q696" s="32"/>
      <c r="R696" s="4"/>
      <c r="S696" s="4"/>
      <c r="T696" s="4"/>
      <c r="U696" s="4"/>
      <c r="V696" s="4"/>
      <c r="W696" s="4"/>
      <c r="X696" s="4"/>
    </row>
    <row x14ac:dyDescent="0.25" r="697" customHeight="1" ht="12.75">
      <c r="A697" s="4"/>
      <c r="B697" s="29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29"/>
      <c r="N697" s="29"/>
      <c r="O697" s="29"/>
      <c r="P697" s="32"/>
      <c r="Q697" s="32"/>
      <c r="R697" s="4"/>
      <c r="S697" s="4"/>
      <c r="T697" s="4"/>
      <c r="U697" s="4"/>
      <c r="V697" s="4"/>
      <c r="W697" s="4"/>
      <c r="X697" s="4"/>
    </row>
    <row x14ac:dyDescent="0.25" r="698" customHeight="1" ht="12.75">
      <c r="A698" s="4"/>
      <c r="B698" s="29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29"/>
      <c r="N698" s="29"/>
      <c r="O698" s="29"/>
      <c r="P698" s="32"/>
      <c r="Q698" s="32"/>
      <c r="R698" s="4"/>
      <c r="S698" s="4"/>
      <c r="T698" s="4"/>
      <c r="U698" s="4"/>
      <c r="V698" s="4"/>
      <c r="W698" s="4"/>
      <c r="X698" s="4"/>
    </row>
    <row x14ac:dyDescent="0.25" r="699" customHeight="1" ht="12.75">
      <c r="A699" s="4"/>
      <c r="B699" s="29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29"/>
      <c r="N699" s="29"/>
      <c r="O699" s="29"/>
      <c r="P699" s="32"/>
      <c r="Q699" s="32"/>
      <c r="R699" s="4"/>
      <c r="S699" s="4"/>
      <c r="T699" s="4"/>
      <c r="U699" s="4"/>
      <c r="V699" s="4"/>
      <c r="W699" s="4"/>
      <c r="X699" s="4"/>
    </row>
    <row x14ac:dyDescent="0.25" r="700" customHeight="1" ht="12.75">
      <c r="A700" s="4"/>
      <c r="B700" s="29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29"/>
      <c r="N700" s="29"/>
      <c r="O700" s="29"/>
      <c r="P700" s="32"/>
      <c r="Q700" s="32"/>
      <c r="R700" s="4"/>
      <c r="S700" s="4"/>
      <c r="T700" s="4"/>
      <c r="U700" s="4"/>
      <c r="V700" s="4"/>
      <c r="W700" s="4"/>
      <c r="X700" s="4"/>
    </row>
    <row x14ac:dyDescent="0.25" r="701" customHeight="1" ht="12.75">
      <c r="A701" s="4"/>
      <c r="B701" s="29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29"/>
      <c r="N701" s="29"/>
      <c r="O701" s="29"/>
      <c r="P701" s="32"/>
      <c r="Q701" s="32"/>
      <c r="R701" s="4"/>
      <c r="S701" s="4"/>
      <c r="T701" s="4"/>
      <c r="U701" s="4"/>
      <c r="V701" s="4"/>
      <c r="W701" s="4"/>
      <c r="X701" s="4"/>
    </row>
    <row x14ac:dyDescent="0.25" r="702" customHeight="1" ht="12.75">
      <c r="A702" s="4"/>
      <c r="B702" s="29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29"/>
      <c r="N702" s="29"/>
      <c r="O702" s="29"/>
      <c r="P702" s="32"/>
      <c r="Q702" s="32"/>
      <c r="R702" s="4"/>
      <c r="S702" s="4"/>
      <c r="T702" s="4"/>
      <c r="U702" s="4"/>
      <c r="V702" s="4"/>
      <c r="W702" s="4"/>
      <c r="X702" s="4"/>
    </row>
    <row x14ac:dyDescent="0.25" r="703" customHeight="1" ht="12.75">
      <c r="A703" s="4"/>
      <c r="B703" s="29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29"/>
      <c r="N703" s="29"/>
      <c r="O703" s="29"/>
      <c r="P703" s="32"/>
      <c r="Q703" s="32"/>
      <c r="R703" s="4"/>
      <c r="S703" s="4"/>
      <c r="T703" s="4"/>
      <c r="U703" s="4"/>
      <c r="V703" s="4"/>
      <c r="W703" s="4"/>
      <c r="X703" s="4"/>
    </row>
    <row x14ac:dyDescent="0.25" r="704" customHeight="1" ht="12.75">
      <c r="A704" s="4"/>
      <c r="B704" s="29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29"/>
      <c r="N704" s="29"/>
      <c r="O704" s="29"/>
      <c r="P704" s="32"/>
      <c r="Q704" s="32"/>
      <c r="R704" s="4"/>
      <c r="S704" s="4"/>
      <c r="T704" s="4"/>
      <c r="U704" s="4"/>
      <c r="V704" s="4"/>
      <c r="W704" s="4"/>
      <c r="X704" s="4"/>
    </row>
    <row x14ac:dyDescent="0.25" r="705" customHeight="1" ht="12.75">
      <c r="A705" s="4"/>
      <c r="B705" s="29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29"/>
      <c r="N705" s="29"/>
      <c r="O705" s="29"/>
      <c r="P705" s="32"/>
      <c r="Q705" s="32"/>
      <c r="R705" s="4"/>
      <c r="S705" s="4"/>
      <c r="T705" s="4"/>
      <c r="U705" s="4"/>
      <c r="V705" s="4"/>
      <c r="W705" s="4"/>
      <c r="X705" s="4"/>
    </row>
    <row x14ac:dyDescent="0.25" r="706" customHeight="1" ht="12.75">
      <c r="A706" s="4"/>
      <c r="B706" s="29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29"/>
      <c r="N706" s="29"/>
      <c r="O706" s="29"/>
      <c r="P706" s="32"/>
      <c r="Q706" s="32"/>
      <c r="R706" s="4"/>
      <c r="S706" s="4"/>
      <c r="T706" s="4"/>
      <c r="U706" s="4"/>
      <c r="V706" s="4"/>
      <c r="W706" s="4"/>
      <c r="X706" s="4"/>
    </row>
    <row x14ac:dyDescent="0.25" r="707" customHeight="1" ht="12.75">
      <c r="A707" s="4"/>
      <c r="B707" s="29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29"/>
      <c r="N707" s="29"/>
      <c r="O707" s="29"/>
      <c r="P707" s="32"/>
      <c r="Q707" s="32"/>
      <c r="R707" s="4"/>
      <c r="S707" s="4"/>
      <c r="T707" s="4"/>
      <c r="U707" s="4"/>
      <c r="V707" s="4"/>
      <c r="W707" s="4"/>
      <c r="X707" s="4"/>
    </row>
    <row x14ac:dyDescent="0.25" r="708" customHeight="1" ht="12.75">
      <c r="A708" s="4"/>
      <c r="B708" s="29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29"/>
      <c r="N708" s="29"/>
      <c r="O708" s="29"/>
      <c r="P708" s="32"/>
      <c r="Q708" s="32"/>
      <c r="R708" s="4"/>
      <c r="S708" s="4"/>
      <c r="T708" s="4"/>
      <c r="U708" s="4"/>
      <c r="V708" s="4"/>
      <c r="W708" s="4"/>
      <c r="X708" s="4"/>
    </row>
    <row x14ac:dyDescent="0.25" r="709" customHeight="1" ht="12.75">
      <c r="A709" s="4"/>
      <c r="B709" s="29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29"/>
      <c r="N709" s="29"/>
      <c r="O709" s="29"/>
      <c r="P709" s="32"/>
      <c r="Q709" s="32"/>
      <c r="R709" s="4"/>
      <c r="S709" s="4"/>
      <c r="T709" s="4"/>
      <c r="U709" s="4"/>
      <c r="V709" s="4"/>
      <c r="W709" s="4"/>
      <c r="X709" s="4"/>
    </row>
    <row x14ac:dyDescent="0.25" r="710" customHeight="1" ht="12.75">
      <c r="A710" s="4"/>
      <c r="B710" s="29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29"/>
      <c r="N710" s="29"/>
      <c r="O710" s="29"/>
      <c r="P710" s="32"/>
      <c r="Q710" s="32"/>
      <c r="R710" s="4"/>
      <c r="S710" s="4"/>
      <c r="T710" s="4"/>
      <c r="U710" s="4"/>
      <c r="V710" s="4"/>
      <c r="W710" s="4"/>
      <c r="X710" s="4"/>
    </row>
    <row x14ac:dyDescent="0.25" r="711" customHeight="1" ht="12.75">
      <c r="A711" s="4"/>
      <c r="B711" s="29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29"/>
      <c r="N711" s="29"/>
      <c r="O711" s="29"/>
      <c r="P711" s="32"/>
      <c r="Q711" s="32"/>
      <c r="R711" s="4"/>
      <c r="S711" s="4"/>
      <c r="T711" s="4"/>
      <c r="U711" s="4"/>
      <c r="V711" s="4"/>
      <c r="W711" s="4"/>
      <c r="X711" s="4"/>
    </row>
    <row x14ac:dyDescent="0.25" r="712" customHeight="1" ht="12.75">
      <c r="A712" s="4"/>
      <c r="B712" s="29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29"/>
      <c r="N712" s="29"/>
      <c r="O712" s="29"/>
      <c r="P712" s="32"/>
      <c r="Q712" s="32"/>
      <c r="R712" s="4"/>
      <c r="S712" s="4"/>
      <c r="T712" s="4"/>
      <c r="U712" s="4"/>
      <c r="V712" s="4"/>
      <c r="W712" s="4"/>
      <c r="X712" s="4"/>
    </row>
    <row x14ac:dyDescent="0.25" r="713" customHeight="1" ht="12.75">
      <c r="A713" s="4"/>
      <c r="B713" s="29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29"/>
      <c r="N713" s="29"/>
      <c r="O713" s="29"/>
      <c r="P713" s="32"/>
      <c r="Q713" s="32"/>
      <c r="R713" s="4"/>
      <c r="S713" s="4"/>
      <c r="T713" s="4"/>
      <c r="U713" s="4"/>
      <c r="V713" s="4"/>
      <c r="W713" s="4"/>
      <c r="X713" s="4"/>
    </row>
    <row x14ac:dyDescent="0.25" r="714" customHeight="1" ht="12.75">
      <c r="A714" s="4"/>
      <c r="B714" s="29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29"/>
      <c r="N714" s="29"/>
      <c r="O714" s="29"/>
      <c r="P714" s="32"/>
      <c r="Q714" s="32"/>
      <c r="R714" s="4"/>
      <c r="S714" s="4"/>
      <c r="T714" s="4"/>
      <c r="U714" s="4"/>
      <c r="V714" s="4"/>
      <c r="W714" s="4"/>
      <c r="X714" s="4"/>
    </row>
    <row x14ac:dyDescent="0.25" r="715" customHeight="1" ht="12.75">
      <c r="A715" s="4"/>
      <c r="B715" s="29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29"/>
      <c r="N715" s="29"/>
      <c r="O715" s="29"/>
      <c r="P715" s="32"/>
      <c r="Q715" s="32"/>
      <c r="R715" s="4"/>
      <c r="S715" s="4"/>
      <c r="T715" s="4"/>
      <c r="U715" s="4"/>
      <c r="V715" s="4"/>
      <c r="W715" s="4"/>
      <c r="X715" s="4"/>
    </row>
    <row x14ac:dyDescent="0.25" r="716" customHeight="1" ht="12.75">
      <c r="A716" s="4"/>
      <c r="B716" s="29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29"/>
      <c r="N716" s="29"/>
      <c r="O716" s="29"/>
      <c r="P716" s="32"/>
      <c r="Q716" s="32"/>
      <c r="R716" s="4"/>
      <c r="S716" s="4"/>
      <c r="T716" s="4"/>
      <c r="U716" s="4"/>
      <c r="V716" s="4"/>
      <c r="W716" s="4"/>
      <c r="X716" s="4"/>
    </row>
    <row x14ac:dyDescent="0.25" r="717" customHeight="1" ht="12.75">
      <c r="A717" s="4"/>
      <c r="B717" s="29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29"/>
      <c r="N717" s="29"/>
      <c r="O717" s="29"/>
      <c r="P717" s="32"/>
      <c r="Q717" s="32"/>
      <c r="R717" s="4"/>
      <c r="S717" s="4"/>
      <c r="T717" s="4"/>
      <c r="U717" s="4"/>
      <c r="V717" s="4"/>
      <c r="W717" s="4"/>
      <c r="X717" s="4"/>
    </row>
    <row x14ac:dyDescent="0.25" r="718" customHeight="1" ht="12.75">
      <c r="A718" s="4"/>
      <c r="B718" s="29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29"/>
      <c r="N718" s="29"/>
      <c r="O718" s="29"/>
      <c r="P718" s="32"/>
      <c r="Q718" s="32"/>
      <c r="R718" s="4"/>
      <c r="S718" s="4"/>
      <c r="T718" s="4"/>
      <c r="U718" s="4"/>
      <c r="V718" s="4"/>
      <c r="W718" s="4"/>
      <c r="X718" s="4"/>
    </row>
    <row x14ac:dyDescent="0.25" r="719" customHeight="1" ht="12.75">
      <c r="A719" s="4"/>
      <c r="B719" s="29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29"/>
      <c r="N719" s="29"/>
      <c r="O719" s="29"/>
      <c r="P719" s="32"/>
      <c r="Q719" s="32"/>
      <c r="R719" s="4"/>
      <c r="S719" s="4"/>
      <c r="T719" s="4"/>
      <c r="U719" s="4"/>
      <c r="V719" s="4"/>
      <c r="W719" s="4"/>
      <c r="X719" s="4"/>
    </row>
    <row x14ac:dyDescent="0.25" r="720" customHeight="1" ht="12.75">
      <c r="A720" s="4"/>
      <c r="B720" s="29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29"/>
      <c r="N720" s="29"/>
      <c r="O720" s="29"/>
      <c r="P720" s="32"/>
      <c r="Q720" s="32"/>
      <c r="R720" s="4"/>
      <c r="S720" s="4"/>
      <c r="T720" s="4"/>
      <c r="U720" s="4"/>
      <c r="V720" s="4"/>
      <c r="W720" s="4"/>
      <c r="X720" s="4"/>
    </row>
    <row x14ac:dyDescent="0.25" r="721" customHeight="1" ht="12.75">
      <c r="A721" s="4"/>
      <c r="B721" s="29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29"/>
      <c r="N721" s="29"/>
      <c r="O721" s="29"/>
      <c r="P721" s="32"/>
      <c r="Q721" s="32"/>
      <c r="R721" s="4"/>
      <c r="S721" s="4"/>
      <c r="T721" s="4"/>
      <c r="U721" s="4"/>
      <c r="V721" s="4"/>
      <c r="W721" s="4"/>
      <c r="X721" s="4"/>
    </row>
    <row x14ac:dyDescent="0.25" r="722" customHeight="1" ht="12.75">
      <c r="A722" s="4"/>
      <c r="B722" s="29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29"/>
      <c r="N722" s="29"/>
      <c r="O722" s="29"/>
      <c r="P722" s="32"/>
      <c r="Q722" s="32"/>
      <c r="R722" s="4"/>
      <c r="S722" s="4"/>
      <c r="T722" s="4"/>
      <c r="U722" s="4"/>
      <c r="V722" s="4"/>
      <c r="W722" s="4"/>
      <c r="X722" s="4"/>
    </row>
    <row x14ac:dyDescent="0.25" r="723" customHeight="1" ht="12.75">
      <c r="A723" s="4"/>
      <c r="B723" s="29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29"/>
      <c r="N723" s="29"/>
      <c r="O723" s="29"/>
      <c r="P723" s="32"/>
      <c r="Q723" s="32"/>
      <c r="R723" s="4"/>
      <c r="S723" s="4"/>
      <c r="T723" s="4"/>
      <c r="U723" s="4"/>
      <c r="V723" s="4"/>
      <c r="W723" s="4"/>
      <c r="X723" s="4"/>
    </row>
    <row x14ac:dyDescent="0.25" r="724" customHeight="1" ht="12.75">
      <c r="A724" s="4"/>
      <c r="B724" s="29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29"/>
      <c r="N724" s="29"/>
      <c r="O724" s="29"/>
      <c r="P724" s="32"/>
      <c r="Q724" s="32"/>
      <c r="R724" s="4"/>
      <c r="S724" s="4"/>
      <c r="T724" s="4"/>
      <c r="U724" s="4"/>
      <c r="V724" s="4"/>
      <c r="W724" s="4"/>
      <c r="X724" s="4"/>
    </row>
    <row x14ac:dyDescent="0.25" r="725" customHeight="1" ht="12.75">
      <c r="A725" s="4"/>
      <c r="B725" s="29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29"/>
      <c r="N725" s="29"/>
      <c r="O725" s="29"/>
      <c r="P725" s="32"/>
      <c r="Q725" s="32"/>
      <c r="R725" s="4"/>
      <c r="S725" s="4"/>
      <c r="T725" s="4"/>
      <c r="U725" s="4"/>
      <c r="V725" s="4"/>
      <c r="W725" s="4"/>
      <c r="X725" s="4"/>
    </row>
    <row x14ac:dyDescent="0.25" r="726" customHeight="1" ht="12.75">
      <c r="A726" s="4"/>
      <c r="B726" s="29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29"/>
      <c r="N726" s="29"/>
      <c r="O726" s="29"/>
      <c r="P726" s="32"/>
      <c r="Q726" s="32"/>
      <c r="R726" s="4"/>
      <c r="S726" s="4"/>
      <c r="T726" s="4"/>
      <c r="U726" s="4"/>
      <c r="V726" s="4"/>
      <c r="W726" s="4"/>
      <c r="X726" s="4"/>
    </row>
    <row x14ac:dyDescent="0.25" r="727" customHeight="1" ht="12.75">
      <c r="A727" s="4"/>
      <c r="B727" s="29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29"/>
      <c r="N727" s="29"/>
      <c r="O727" s="29"/>
      <c r="P727" s="32"/>
      <c r="Q727" s="32"/>
      <c r="R727" s="4"/>
      <c r="S727" s="4"/>
      <c r="T727" s="4"/>
      <c r="U727" s="4"/>
      <c r="V727" s="4"/>
      <c r="W727" s="4"/>
      <c r="X727" s="4"/>
    </row>
    <row x14ac:dyDescent="0.25" r="728" customHeight="1" ht="12.75">
      <c r="A728" s="4"/>
      <c r="B728" s="29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29"/>
      <c r="N728" s="29"/>
      <c r="O728" s="29"/>
      <c r="P728" s="32"/>
      <c r="Q728" s="32"/>
      <c r="R728" s="4"/>
      <c r="S728" s="4"/>
      <c r="T728" s="4"/>
      <c r="U728" s="4"/>
      <c r="V728" s="4"/>
      <c r="W728" s="4"/>
      <c r="X728" s="4"/>
    </row>
    <row x14ac:dyDescent="0.25" r="729" customHeight="1" ht="12.75">
      <c r="A729" s="4"/>
      <c r="B729" s="29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29"/>
      <c r="N729" s="29"/>
      <c r="O729" s="29"/>
      <c r="P729" s="32"/>
      <c r="Q729" s="32"/>
      <c r="R729" s="4"/>
      <c r="S729" s="4"/>
      <c r="T729" s="4"/>
      <c r="U729" s="4"/>
      <c r="V729" s="4"/>
      <c r="W729" s="4"/>
      <c r="X729" s="4"/>
    </row>
    <row x14ac:dyDescent="0.25" r="730" customHeight="1" ht="12.75">
      <c r="A730" s="4"/>
      <c r="B730" s="29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29"/>
      <c r="N730" s="29"/>
      <c r="O730" s="29"/>
      <c r="P730" s="32"/>
      <c r="Q730" s="32"/>
      <c r="R730" s="4"/>
      <c r="S730" s="4"/>
      <c r="T730" s="4"/>
      <c r="U730" s="4"/>
      <c r="V730" s="4"/>
      <c r="W730" s="4"/>
      <c r="X730" s="4"/>
    </row>
    <row x14ac:dyDescent="0.25" r="731" customHeight="1" ht="12.75">
      <c r="A731" s="4"/>
      <c r="B731" s="29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29"/>
      <c r="N731" s="29"/>
      <c r="O731" s="29"/>
      <c r="P731" s="32"/>
      <c r="Q731" s="32"/>
      <c r="R731" s="4"/>
      <c r="S731" s="4"/>
      <c r="T731" s="4"/>
      <c r="U731" s="4"/>
      <c r="V731" s="4"/>
      <c r="W731" s="4"/>
      <c r="X731" s="4"/>
    </row>
    <row x14ac:dyDescent="0.25" r="732" customHeight="1" ht="12.75">
      <c r="A732" s="4"/>
      <c r="B732" s="29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29"/>
      <c r="N732" s="29"/>
      <c r="O732" s="29"/>
      <c r="P732" s="32"/>
      <c r="Q732" s="32"/>
      <c r="R732" s="4"/>
      <c r="S732" s="4"/>
      <c r="T732" s="4"/>
      <c r="U732" s="4"/>
      <c r="V732" s="4"/>
      <c r="W732" s="4"/>
      <c r="X732" s="4"/>
    </row>
    <row x14ac:dyDescent="0.25" r="733" customHeight="1" ht="12.75">
      <c r="A733" s="4"/>
      <c r="B733" s="29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29"/>
      <c r="N733" s="29"/>
      <c r="O733" s="29"/>
      <c r="P733" s="32"/>
      <c r="Q733" s="32"/>
      <c r="R733" s="4"/>
      <c r="S733" s="4"/>
      <c r="T733" s="4"/>
      <c r="U733" s="4"/>
      <c r="V733" s="4"/>
      <c r="W733" s="4"/>
      <c r="X733" s="4"/>
    </row>
    <row x14ac:dyDescent="0.25" r="734" customHeight="1" ht="12.75">
      <c r="A734" s="4"/>
      <c r="B734" s="29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29"/>
      <c r="N734" s="29"/>
      <c r="O734" s="29"/>
      <c r="P734" s="32"/>
      <c r="Q734" s="32"/>
      <c r="R734" s="4"/>
      <c r="S734" s="4"/>
      <c r="T734" s="4"/>
      <c r="U734" s="4"/>
      <c r="V734" s="4"/>
      <c r="W734" s="4"/>
      <c r="X734" s="4"/>
    </row>
    <row x14ac:dyDescent="0.25" r="735" customHeight="1" ht="12.75">
      <c r="A735" s="4"/>
      <c r="B735" s="29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29"/>
      <c r="N735" s="29"/>
      <c r="O735" s="29"/>
      <c r="P735" s="32"/>
      <c r="Q735" s="32"/>
      <c r="R735" s="4"/>
      <c r="S735" s="4"/>
      <c r="T735" s="4"/>
      <c r="U735" s="4"/>
      <c r="V735" s="4"/>
      <c r="W735" s="4"/>
      <c r="X735" s="4"/>
    </row>
    <row x14ac:dyDescent="0.25" r="736" customHeight="1" ht="12.75">
      <c r="A736" s="4"/>
      <c r="B736" s="29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29"/>
      <c r="N736" s="29"/>
      <c r="O736" s="29"/>
      <c r="P736" s="32"/>
      <c r="Q736" s="32"/>
      <c r="R736" s="4"/>
      <c r="S736" s="4"/>
      <c r="T736" s="4"/>
      <c r="U736" s="4"/>
      <c r="V736" s="4"/>
      <c r="W736" s="4"/>
      <c r="X736" s="4"/>
    </row>
    <row x14ac:dyDescent="0.25" r="737" customHeight="1" ht="12.75">
      <c r="A737" s="4"/>
      <c r="B737" s="29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29"/>
      <c r="N737" s="29"/>
      <c r="O737" s="29"/>
      <c r="P737" s="32"/>
      <c r="Q737" s="32"/>
      <c r="R737" s="4"/>
      <c r="S737" s="4"/>
      <c r="T737" s="4"/>
      <c r="U737" s="4"/>
      <c r="V737" s="4"/>
      <c r="W737" s="4"/>
      <c r="X737" s="4"/>
    </row>
    <row x14ac:dyDescent="0.25" r="738" customHeight="1" ht="12.75">
      <c r="A738" s="4"/>
      <c r="B738" s="29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29"/>
      <c r="N738" s="29"/>
      <c r="O738" s="29"/>
      <c r="P738" s="32"/>
      <c r="Q738" s="32"/>
      <c r="R738" s="4"/>
      <c r="S738" s="4"/>
      <c r="T738" s="4"/>
      <c r="U738" s="4"/>
      <c r="V738" s="4"/>
      <c r="W738" s="4"/>
      <c r="X738" s="4"/>
    </row>
    <row x14ac:dyDescent="0.25" r="739" customHeight="1" ht="12.75">
      <c r="A739" s="4"/>
      <c r="B739" s="29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29"/>
      <c r="N739" s="29"/>
      <c r="O739" s="29"/>
      <c r="P739" s="32"/>
      <c r="Q739" s="32"/>
      <c r="R739" s="4"/>
      <c r="S739" s="4"/>
      <c r="T739" s="4"/>
      <c r="U739" s="4"/>
      <c r="V739" s="4"/>
      <c r="W739" s="4"/>
      <c r="X739" s="4"/>
    </row>
    <row x14ac:dyDescent="0.25" r="740" customHeight="1" ht="12.75">
      <c r="A740" s="4"/>
      <c r="B740" s="29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29"/>
      <c r="N740" s="29"/>
      <c r="O740" s="29"/>
      <c r="P740" s="32"/>
      <c r="Q740" s="32"/>
      <c r="R740" s="4"/>
      <c r="S740" s="4"/>
      <c r="T740" s="4"/>
      <c r="U740" s="4"/>
      <c r="V740" s="4"/>
      <c r="W740" s="4"/>
      <c r="X740" s="4"/>
    </row>
    <row x14ac:dyDescent="0.25" r="741" customHeight="1" ht="12.75">
      <c r="A741" s="4"/>
      <c r="B741" s="29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29"/>
      <c r="N741" s="29"/>
      <c r="O741" s="29"/>
      <c r="P741" s="32"/>
      <c r="Q741" s="32"/>
      <c r="R741" s="4"/>
      <c r="S741" s="4"/>
      <c r="T741" s="4"/>
      <c r="U741" s="4"/>
      <c r="V741" s="4"/>
      <c r="W741" s="4"/>
      <c r="X741" s="4"/>
    </row>
    <row x14ac:dyDescent="0.25" r="742" customHeight="1" ht="12.75">
      <c r="A742" s="4"/>
      <c r="B742" s="29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29"/>
      <c r="N742" s="29"/>
      <c r="O742" s="29"/>
      <c r="P742" s="32"/>
      <c r="Q742" s="32"/>
      <c r="R742" s="4"/>
      <c r="S742" s="4"/>
      <c r="T742" s="4"/>
      <c r="U742" s="4"/>
      <c r="V742" s="4"/>
      <c r="W742" s="4"/>
      <c r="X742" s="4"/>
    </row>
    <row x14ac:dyDescent="0.25" r="743" customHeight="1" ht="12.75">
      <c r="A743" s="4"/>
      <c r="B743" s="29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29"/>
      <c r="N743" s="29"/>
      <c r="O743" s="29"/>
      <c r="P743" s="32"/>
      <c r="Q743" s="32"/>
      <c r="R743" s="4"/>
      <c r="S743" s="4"/>
      <c r="T743" s="4"/>
      <c r="U743" s="4"/>
      <c r="V743" s="4"/>
      <c r="W743" s="4"/>
      <c r="X743" s="4"/>
    </row>
    <row x14ac:dyDescent="0.25" r="744" customHeight="1" ht="12.75">
      <c r="A744" s="4"/>
      <c r="B744" s="29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29"/>
      <c r="N744" s="29"/>
      <c r="O744" s="29"/>
      <c r="P744" s="32"/>
      <c r="Q744" s="32"/>
      <c r="R744" s="4"/>
      <c r="S744" s="4"/>
      <c r="T744" s="4"/>
      <c r="U744" s="4"/>
      <c r="V744" s="4"/>
      <c r="W744" s="4"/>
      <c r="X744" s="4"/>
    </row>
    <row x14ac:dyDescent="0.25" r="745" customHeight="1" ht="12.75">
      <c r="A745" s="4"/>
      <c r="B745" s="29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29"/>
      <c r="N745" s="29"/>
      <c r="O745" s="29"/>
      <c r="P745" s="32"/>
      <c r="Q745" s="32"/>
      <c r="R745" s="4"/>
      <c r="S745" s="4"/>
      <c r="T745" s="4"/>
      <c r="U745" s="4"/>
      <c r="V745" s="4"/>
      <c r="W745" s="4"/>
      <c r="X745" s="4"/>
    </row>
    <row x14ac:dyDescent="0.25" r="746" customHeight="1" ht="12.75">
      <c r="A746" s="4"/>
      <c r="B746" s="29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29"/>
      <c r="N746" s="29"/>
      <c r="O746" s="29"/>
      <c r="P746" s="32"/>
      <c r="Q746" s="32"/>
      <c r="R746" s="4"/>
      <c r="S746" s="4"/>
      <c r="T746" s="4"/>
      <c r="U746" s="4"/>
      <c r="V746" s="4"/>
      <c r="W746" s="4"/>
      <c r="X746" s="4"/>
    </row>
    <row x14ac:dyDescent="0.25" r="747" customHeight="1" ht="12.75">
      <c r="A747" s="4"/>
      <c r="B747" s="29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29"/>
      <c r="N747" s="29"/>
      <c r="O747" s="29"/>
      <c r="P747" s="32"/>
      <c r="Q747" s="32"/>
      <c r="R747" s="4"/>
      <c r="S747" s="4"/>
      <c r="T747" s="4"/>
      <c r="U747" s="4"/>
      <c r="V747" s="4"/>
      <c r="W747" s="4"/>
      <c r="X747" s="4"/>
    </row>
    <row x14ac:dyDescent="0.25" r="748" customHeight="1" ht="12.75">
      <c r="A748" s="4"/>
      <c r="B748" s="29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29"/>
      <c r="N748" s="29"/>
      <c r="O748" s="29"/>
      <c r="P748" s="32"/>
      <c r="Q748" s="32"/>
      <c r="R748" s="4"/>
      <c r="S748" s="4"/>
      <c r="T748" s="4"/>
      <c r="U748" s="4"/>
      <c r="V748" s="4"/>
      <c r="W748" s="4"/>
      <c r="X748" s="4"/>
    </row>
    <row x14ac:dyDescent="0.25" r="749" customHeight="1" ht="12.75">
      <c r="A749" s="4"/>
      <c r="B749" s="29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29"/>
      <c r="N749" s="29"/>
      <c r="O749" s="29"/>
      <c r="P749" s="32"/>
      <c r="Q749" s="32"/>
      <c r="R749" s="4"/>
      <c r="S749" s="4"/>
      <c r="T749" s="4"/>
      <c r="U749" s="4"/>
      <c r="V749" s="4"/>
      <c r="W749" s="4"/>
      <c r="X749" s="4"/>
    </row>
    <row x14ac:dyDescent="0.25" r="750" customHeight="1" ht="12.75">
      <c r="A750" s="4"/>
      <c r="B750" s="29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29"/>
      <c r="N750" s="29"/>
      <c r="O750" s="29"/>
      <c r="P750" s="32"/>
      <c r="Q750" s="32"/>
      <c r="R750" s="4"/>
      <c r="S750" s="4"/>
      <c r="T750" s="4"/>
      <c r="U750" s="4"/>
      <c r="V750" s="4"/>
      <c r="W750" s="4"/>
      <c r="X750" s="4"/>
    </row>
    <row x14ac:dyDescent="0.25" r="751" customHeight="1" ht="12.75">
      <c r="A751" s="4"/>
      <c r="B751" s="29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29"/>
      <c r="N751" s="29"/>
      <c r="O751" s="29"/>
      <c r="P751" s="32"/>
      <c r="Q751" s="32"/>
      <c r="R751" s="4"/>
      <c r="S751" s="4"/>
      <c r="T751" s="4"/>
      <c r="U751" s="4"/>
      <c r="V751" s="4"/>
      <c r="W751" s="4"/>
      <c r="X751" s="4"/>
    </row>
    <row x14ac:dyDescent="0.25" r="752" customHeight="1" ht="12.75">
      <c r="A752" s="4"/>
      <c r="B752" s="29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29"/>
      <c r="N752" s="29"/>
      <c r="O752" s="29"/>
      <c r="P752" s="32"/>
      <c r="Q752" s="32"/>
      <c r="R752" s="4"/>
      <c r="S752" s="4"/>
      <c r="T752" s="4"/>
      <c r="U752" s="4"/>
      <c r="V752" s="4"/>
      <c r="W752" s="4"/>
      <c r="X752" s="4"/>
    </row>
    <row x14ac:dyDescent="0.25" r="753" customHeight="1" ht="12.75">
      <c r="A753" s="4"/>
      <c r="B753" s="29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29"/>
      <c r="N753" s="29"/>
      <c r="O753" s="29"/>
      <c r="P753" s="32"/>
      <c r="Q753" s="32"/>
      <c r="R753" s="4"/>
      <c r="S753" s="4"/>
      <c r="T753" s="4"/>
      <c r="U753" s="4"/>
      <c r="V753" s="4"/>
      <c r="W753" s="4"/>
      <c r="X753" s="4"/>
    </row>
    <row x14ac:dyDescent="0.25" r="754" customHeight="1" ht="12.75">
      <c r="A754" s="4"/>
      <c r="B754" s="29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29"/>
      <c r="N754" s="29"/>
      <c r="O754" s="29"/>
      <c r="P754" s="32"/>
      <c r="Q754" s="32"/>
      <c r="R754" s="4"/>
      <c r="S754" s="4"/>
      <c r="T754" s="4"/>
      <c r="U754" s="4"/>
      <c r="V754" s="4"/>
      <c r="W754" s="4"/>
      <c r="X754" s="4"/>
    </row>
    <row x14ac:dyDescent="0.25" r="755" customHeight="1" ht="12.75">
      <c r="A755" s="4"/>
      <c r="B755" s="29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29"/>
      <c r="N755" s="29"/>
      <c r="O755" s="29"/>
      <c r="P755" s="32"/>
      <c r="Q755" s="32"/>
      <c r="R755" s="4"/>
      <c r="S755" s="4"/>
      <c r="T755" s="4"/>
      <c r="U755" s="4"/>
      <c r="V755" s="4"/>
      <c r="W755" s="4"/>
      <c r="X755" s="4"/>
    </row>
    <row x14ac:dyDescent="0.25" r="756" customHeight="1" ht="12.75">
      <c r="A756" s="4"/>
      <c r="B756" s="29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29"/>
      <c r="N756" s="29"/>
      <c r="O756" s="29"/>
      <c r="P756" s="32"/>
      <c r="Q756" s="32"/>
      <c r="R756" s="4"/>
      <c r="S756" s="4"/>
      <c r="T756" s="4"/>
      <c r="U756" s="4"/>
      <c r="V756" s="4"/>
      <c r="W756" s="4"/>
      <c r="X756" s="4"/>
    </row>
    <row x14ac:dyDescent="0.25" r="757" customHeight="1" ht="12.75">
      <c r="A757" s="4"/>
      <c r="B757" s="29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29"/>
      <c r="N757" s="29"/>
      <c r="O757" s="29"/>
      <c r="P757" s="32"/>
      <c r="Q757" s="32"/>
      <c r="R757" s="4"/>
      <c r="S757" s="4"/>
      <c r="T757" s="4"/>
      <c r="U757" s="4"/>
      <c r="V757" s="4"/>
      <c r="W757" s="4"/>
      <c r="X757" s="4"/>
    </row>
    <row x14ac:dyDescent="0.25" r="758" customHeight="1" ht="12.75">
      <c r="A758" s="4"/>
      <c r="B758" s="29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29"/>
      <c r="N758" s="29"/>
      <c r="O758" s="29"/>
      <c r="P758" s="32"/>
      <c r="Q758" s="32"/>
      <c r="R758" s="4"/>
      <c r="S758" s="4"/>
      <c r="T758" s="4"/>
      <c r="U758" s="4"/>
      <c r="V758" s="4"/>
      <c r="W758" s="4"/>
      <c r="X758" s="4"/>
    </row>
    <row x14ac:dyDescent="0.25" r="759" customHeight="1" ht="12.75">
      <c r="A759" s="4"/>
      <c r="B759" s="29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29"/>
      <c r="N759" s="29"/>
      <c r="O759" s="29"/>
      <c r="P759" s="32"/>
      <c r="Q759" s="32"/>
      <c r="R759" s="4"/>
      <c r="S759" s="4"/>
      <c r="T759" s="4"/>
      <c r="U759" s="4"/>
      <c r="V759" s="4"/>
      <c r="W759" s="4"/>
      <c r="X759" s="4"/>
    </row>
    <row x14ac:dyDescent="0.25" r="760" customHeight="1" ht="12.75">
      <c r="A760" s="4"/>
      <c r="B760" s="29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29"/>
      <c r="N760" s="29"/>
      <c r="O760" s="29"/>
      <c r="P760" s="32"/>
      <c r="Q760" s="32"/>
      <c r="R760" s="4"/>
      <c r="S760" s="4"/>
      <c r="T760" s="4"/>
      <c r="U760" s="4"/>
      <c r="V760" s="4"/>
      <c r="W760" s="4"/>
      <c r="X760" s="4"/>
    </row>
    <row x14ac:dyDescent="0.25" r="761" customHeight="1" ht="12.75">
      <c r="A761" s="4"/>
      <c r="B761" s="29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29"/>
      <c r="N761" s="29"/>
      <c r="O761" s="29"/>
      <c r="P761" s="32"/>
      <c r="Q761" s="32"/>
      <c r="R761" s="4"/>
      <c r="S761" s="4"/>
      <c r="T761" s="4"/>
      <c r="U761" s="4"/>
      <c r="V761" s="4"/>
      <c r="W761" s="4"/>
      <c r="X761" s="4"/>
    </row>
    <row x14ac:dyDescent="0.25" r="762" customHeight="1" ht="12.75">
      <c r="A762" s="4"/>
      <c r="B762" s="29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29"/>
      <c r="N762" s="29"/>
      <c r="O762" s="29"/>
      <c r="P762" s="32"/>
      <c r="Q762" s="32"/>
      <c r="R762" s="4"/>
      <c r="S762" s="4"/>
      <c r="T762" s="4"/>
      <c r="U762" s="4"/>
      <c r="V762" s="4"/>
      <c r="W762" s="4"/>
      <c r="X762" s="4"/>
    </row>
    <row x14ac:dyDescent="0.25" r="763" customHeight="1" ht="12.75">
      <c r="A763" s="4"/>
      <c r="B763" s="29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29"/>
      <c r="N763" s="29"/>
      <c r="O763" s="29"/>
      <c r="P763" s="32"/>
      <c r="Q763" s="32"/>
      <c r="R763" s="4"/>
      <c r="S763" s="4"/>
      <c r="T763" s="4"/>
      <c r="U763" s="4"/>
      <c r="V763" s="4"/>
      <c r="W763" s="4"/>
      <c r="X763" s="4"/>
    </row>
    <row x14ac:dyDescent="0.25" r="764" customHeight="1" ht="12.75">
      <c r="A764" s="4"/>
      <c r="B764" s="29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29"/>
      <c r="N764" s="29"/>
      <c r="O764" s="29"/>
      <c r="P764" s="32"/>
      <c r="Q764" s="32"/>
      <c r="R764" s="4"/>
      <c r="S764" s="4"/>
      <c r="T764" s="4"/>
      <c r="U764" s="4"/>
      <c r="V764" s="4"/>
      <c r="W764" s="4"/>
      <c r="X764" s="4"/>
    </row>
    <row x14ac:dyDescent="0.25" r="765" customHeight="1" ht="12.75">
      <c r="A765" s="4"/>
      <c r="B765" s="29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29"/>
      <c r="N765" s="29"/>
      <c r="O765" s="29"/>
      <c r="P765" s="32"/>
      <c r="Q765" s="32"/>
      <c r="R765" s="4"/>
      <c r="S765" s="4"/>
      <c r="T765" s="4"/>
      <c r="U765" s="4"/>
      <c r="V765" s="4"/>
      <c r="W765" s="4"/>
      <c r="X765" s="4"/>
    </row>
    <row x14ac:dyDescent="0.25" r="766" customHeight="1" ht="12.75">
      <c r="A766" s="4"/>
      <c r="B766" s="29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29"/>
      <c r="N766" s="29"/>
      <c r="O766" s="29"/>
      <c r="P766" s="32"/>
      <c r="Q766" s="32"/>
      <c r="R766" s="4"/>
      <c r="S766" s="4"/>
      <c r="T766" s="4"/>
      <c r="U766" s="4"/>
      <c r="V766" s="4"/>
      <c r="W766" s="4"/>
      <c r="X766" s="4"/>
    </row>
    <row x14ac:dyDescent="0.25" r="767" customHeight="1" ht="12.75">
      <c r="A767" s="4"/>
      <c r="B767" s="29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29"/>
      <c r="N767" s="29"/>
      <c r="O767" s="29"/>
      <c r="P767" s="32"/>
      <c r="Q767" s="32"/>
      <c r="R767" s="4"/>
      <c r="S767" s="4"/>
      <c r="T767" s="4"/>
      <c r="U767" s="4"/>
      <c r="V767" s="4"/>
      <c r="W767" s="4"/>
      <c r="X767" s="4"/>
    </row>
    <row x14ac:dyDescent="0.25" r="768" customHeight="1" ht="12.75">
      <c r="A768" s="4"/>
      <c r="B768" s="29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29"/>
      <c r="N768" s="29"/>
      <c r="O768" s="29"/>
      <c r="P768" s="32"/>
      <c r="Q768" s="32"/>
      <c r="R768" s="4"/>
      <c r="S768" s="4"/>
      <c r="T768" s="4"/>
      <c r="U768" s="4"/>
      <c r="V768" s="4"/>
      <c r="W768" s="4"/>
      <c r="X768" s="4"/>
    </row>
    <row x14ac:dyDescent="0.25" r="769" customHeight="1" ht="12.75">
      <c r="A769" s="4"/>
      <c r="B769" s="29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29"/>
      <c r="N769" s="29"/>
      <c r="O769" s="29"/>
      <c r="P769" s="32"/>
      <c r="Q769" s="32"/>
      <c r="R769" s="4"/>
      <c r="S769" s="4"/>
      <c r="T769" s="4"/>
      <c r="U769" s="4"/>
      <c r="V769" s="4"/>
      <c r="W769" s="4"/>
      <c r="X769" s="4"/>
    </row>
    <row x14ac:dyDescent="0.25" r="770" customHeight="1" ht="12.75">
      <c r="A770" s="4"/>
      <c r="B770" s="29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29"/>
      <c r="N770" s="29"/>
      <c r="O770" s="29"/>
      <c r="P770" s="32"/>
      <c r="Q770" s="32"/>
      <c r="R770" s="4"/>
      <c r="S770" s="4"/>
      <c r="T770" s="4"/>
      <c r="U770" s="4"/>
      <c r="V770" s="4"/>
      <c r="W770" s="4"/>
      <c r="X770" s="4"/>
    </row>
    <row x14ac:dyDescent="0.25" r="771" customHeight="1" ht="12.75">
      <c r="A771" s="4"/>
      <c r="B771" s="29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29"/>
      <c r="N771" s="29"/>
      <c r="O771" s="29"/>
      <c r="P771" s="32"/>
      <c r="Q771" s="32"/>
      <c r="R771" s="4"/>
      <c r="S771" s="4"/>
      <c r="T771" s="4"/>
      <c r="U771" s="4"/>
      <c r="V771" s="4"/>
      <c r="W771" s="4"/>
      <c r="X771" s="4"/>
    </row>
    <row x14ac:dyDescent="0.25" r="772" customHeight="1" ht="12.75">
      <c r="A772" s="4"/>
      <c r="B772" s="29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29"/>
      <c r="N772" s="29"/>
      <c r="O772" s="29"/>
      <c r="P772" s="32"/>
      <c r="Q772" s="32"/>
      <c r="R772" s="4"/>
      <c r="S772" s="4"/>
      <c r="T772" s="4"/>
      <c r="U772" s="4"/>
      <c r="V772" s="4"/>
      <c r="W772" s="4"/>
      <c r="X772" s="4"/>
    </row>
    <row x14ac:dyDescent="0.25" r="773" customHeight="1" ht="12.75">
      <c r="A773" s="4"/>
      <c r="B773" s="29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29"/>
      <c r="N773" s="29"/>
      <c r="O773" s="29"/>
      <c r="P773" s="32"/>
      <c r="Q773" s="32"/>
      <c r="R773" s="4"/>
      <c r="S773" s="4"/>
      <c r="T773" s="4"/>
      <c r="U773" s="4"/>
      <c r="V773" s="4"/>
      <c r="W773" s="4"/>
      <c r="X773" s="4"/>
    </row>
    <row x14ac:dyDescent="0.25" r="774" customHeight="1" ht="12.75">
      <c r="A774" s="4"/>
      <c r="B774" s="29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29"/>
      <c r="N774" s="29"/>
      <c r="O774" s="29"/>
      <c r="P774" s="32"/>
      <c r="Q774" s="32"/>
      <c r="R774" s="4"/>
      <c r="S774" s="4"/>
      <c r="T774" s="4"/>
      <c r="U774" s="4"/>
      <c r="V774" s="4"/>
      <c r="W774" s="4"/>
      <c r="X774" s="4"/>
    </row>
    <row x14ac:dyDescent="0.25" r="775" customHeight="1" ht="12.75">
      <c r="A775" s="4"/>
      <c r="B775" s="29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29"/>
      <c r="N775" s="29"/>
      <c r="O775" s="29"/>
      <c r="P775" s="32"/>
      <c r="Q775" s="32"/>
      <c r="R775" s="4"/>
      <c r="S775" s="4"/>
      <c r="T775" s="4"/>
      <c r="U775" s="4"/>
      <c r="V775" s="4"/>
      <c r="W775" s="4"/>
      <c r="X775" s="4"/>
    </row>
    <row x14ac:dyDescent="0.25" r="776" customHeight="1" ht="12.75">
      <c r="A776" s="4"/>
      <c r="B776" s="29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29"/>
      <c r="N776" s="29"/>
      <c r="O776" s="29"/>
      <c r="P776" s="32"/>
      <c r="Q776" s="32"/>
      <c r="R776" s="4"/>
      <c r="S776" s="4"/>
      <c r="T776" s="4"/>
      <c r="U776" s="4"/>
      <c r="V776" s="4"/>
      <c r="W776" s="4"/>
      <c r="X776" s="4"/>
    </row>
    <row x14ac:dyDescent="0.25" r="777" customHeight="1" ht="12.75">
      <c r="A777" s="4"/>
      <c r="B777" s="29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29"/>
      <c r="N777" s="29"/>
      <c r="O777" s="29"/>
      <c r="P777" s="32"/>
      <c r="Q777" s="32"/>
      <c r="R777" s="4"/>
      <c r="S777" s="4"/>
      <c r="T777" s="4"/>
      <c r="U777" s="4"/>
      <c r="V777" s="4"/>
      <c r="W777" s="4"/>
      <c r="X777" s="4"/>
    </row>
    <row x14ac:dyDescent="0.25" r="778" customHeight="1" ht="12.75">
      <c r="A778" s="4"/>
      <c r="B778" s="29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29"/>
      <c r="N778" s="29"/>
      <c r="O778" s="29"/>
      <c r="P778" s="32"/>
      <c r="Q778" s="32"/>
      <c r="R778" s="4"/>
      <c r="S778" s="4"/>
      <c r="T778" s="4"/>
      <c r="U778" s="4"/>
      <c r="V778" s="4"/>
      <c r="W778" s="4"/>
      <c r="X778" s="4"/>
    </row>
    <row x14ac:dyDescent="0.25" r="779" customHeight="1" ht="12.75">
      <c r="A779" s="4"/>
      <c r="B779" s="29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29"/>
      <c r="N779" s="29"/>
      <c r="O779" s="29"/>
      <c r="P779" s="32"/>
      <c r="Q779" s="32"/>
      <c r="R779" s="4"/>
      <c r="S779" s="4"/>
      <c r="T779" s="4"/>
      <c r="U779" s="4"/>
      <c r="V779" s="4"/>
      <c r="W779" s="4"/>
      <c r="X779" s="4"/>
    </row>
    <row x14ac:dyDescent="0.25" r="780" customHeight="1" ht="12.75">
      <c r="A780" s="4"/>
      <c r="B780" s="29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29"/>
      <c r="N780" s="29"/>
      <c r="O780" s="29"/>
      <c r="P780" s="32"/>
      <c r="Q780" s="32"/>
      <c r="R780" s="4"/>
      <c r="S780" s="4"/>
      <c r="T780" s="4"/>
      <c r="U780" s="4"/>
      <c r="V780" s="4"/>
      <c r="W780" s="4"/>
      <c r="X780" s="4"/>
    </row>
    <row x14ac:dyDescent="0.25" r="781" customHeight="1" ht="12.75">
      <c r="A781" s="4"/>
      <c r="B781" s="29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29"/>
      <c r="N781" s="29"/>
      <c r="O781" s="29"/>
      <c r="P781" s="32"/>
      <c r="Q781" s="32"/>
      <c r="R781" s="4"/>
      <c r="S781" s="4"/>
      <c r="T781" s="4"/>
      <c r="U781" s="4"/>
      <c r="V781" s="4"/>
      <c r="W781" s="4"/>
      <c r="X781" s="4"/>
    </row>
    <row x14ac:dyDescent="0.25" r="782" customHeight="1" ht="12.75">
      <c r="A782" s="4"/>
      <c r="B782" s="29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29"/>
      <c r="N782" s="29"/>
      <c r="O782" s="29"/>
      <c r="P782" s="32"/>
      <c r="Q782" s="32"/>
      <c r="R782" s="4"/>
      <c r="S782" s="4"/>
      <c r="T782" s="4"/>
      <c r="U782" s="4"/>
      <c r="V782" s="4"/>
      <c r="W782" s="4"/>
      <c r="X782" s="4"/>
    </row>
    <row x14ac:dyDescent="0.25" r="783" customHeight="1" ht="12.75">
      <c r="A783" s="4"/>
      <c r="B783" s="29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29"/>
      <c r="N783" s="29"/>
      <c r="O783" s="29"/>
      <c r="P783" s="32"/>
      <c r="Q783" s="32"/>
      <c r="R783" s="4"/>
      <c r="S783" s="4"/>
      <c r="T783" s="4"/>
      <c r="U783" s="4"/>
      <c r="V783" s="4"/>
      <c r="W783" s="4"/>
      <c r="X783" s="4"/>
    </row>
    <row x14ac:dyDescent="0.25" r="784" customHeight="1" ht="12.75">
      <c r="A784" s="4"/>
      <c r="B784" s="29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29"/>
      <c r="N784" s="29"/>
      <c r="O784" s="29"/>
      <c r="P784" s="32"/>
      <c r="Q784" s="32"/>
      <c r="R784" s="4"/>
      <c r="S784" s="4"/>
      <c r="T784" s="4"/>
      <c r="U784" s="4"/>
      <c r="V784" s="4"/>
      <c r="W784" s="4"/>
      <c r="X784" s="4"/>
    </row>
    <row x14ac:dyDescent="0.25" r="785" customHeight="1" ht="12.75">
      <c r="A785" s="4"/>
      <c r="B785" s="29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29"/>
      <c r="N785" s="29"/>
      <c r="O785" s="29"/>
      <c r="P785" s="32"/>
      <c r="Q785" s="32"/>
      <c r="R785" s="4"/>
      <c r="S785" s="4"/>
      <c r="T785" s="4"/>
      <c r="U785" s="4"/>
      <c r="V785" s="4"/>
      <c r="W785" s="4"/>
      <c r="X785" s="4"/>
    </row>
    <row x14ac:dyDescent="0.25" r="786" customHeight="1" ht="12.75">
      <c r="A786" s="4"/>
      <c r="B786" s="29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29"/>
      <c r="N786" s="29"/>
      <c r="O786" s="29"/>
      <c r="P786" s="32"/>
      <c r="Q786" s="32"/>
      <c r="R786" s="4"/>
      <c r="S786" s="4"/>
      <c r="T786" s="4"/>
      <c r="U786" s="4"/>
      <c r="V786" s="4"/>
      <c r="W786" s="4"/>
      <c r="X786" s="4"/>
    </row>
    <row x14ac:dyDescent="0.25" r="787" customHeight="1" ht="12.75">
      <c r="A787" s="4"/>
      <c r="B787" s="29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29"/>
      <c r="N787" s="29"/>
      <c r="O787" s="29"/>
      <c r="P787" s="32"/>
      <c r="Q787" s="32"/>
      <c r="R787" s="4"/>
      <c r="S787" s="4"/>
      <c r="T787" s="4"/>
      <c r="U787" s="4"/>
      <c r="V787" s="4"/>
      <c r="W787" s="4"/>
      <c r="X787" s="4"/>
    </row>
    <row x14ac:dyDescent="0.25" r="788" customHeight="1" ht="12.75">
      <c r="A788" s="4"/>
      <c r="B788" s="29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29"/>
      <c r="N788" s="29"/>
      <c r="O788" s="29"/>
      <c r="P788" s="32"/>
      <c r="Q788" s="32"/>
      <c r="R788" s="4"/>
      <c r="S788" s="4"/>
      <c r="T788" s="4"/>
      <c r="U788" s="4"/>
      <c r="V788" s="4"/>
      <c r="W788" s="4"/>
      <c r="X788" s="4"/>
    </row>
    <row x14ac:dyDescent="0.25" r="789" customHeight="1" ht="12.75">
      <c r="A789" s="4"/>
      <c r="B789" s="29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29"/>
      <c r="N789" s="29"/>
      <c r="O789" s="29"/>
      <c r="P789" s="32"/>
      <c r="Q789" s="32"/>
      <c r="R789" s="4"/>
      <c r="S789" s="4"/>
      <c r="T789" s="4"/>
      <c r="U789" s="4"/>
      <c r="V789" s="4"/>
      <c r="W789" s="4"/>
      <c r="X789" s="4"/>
    </row>
    <row x14ac:dyDescent="0.25" r="790" customHeight="1" ht="12.75">
      <c r="A790" s="4"/>
      <c r="B790" s="29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29"/>
      <c r="N790" s="29"/>
      <c r="O790" s="29"/>
      <c r="P790" s="32"/>
      <c r="Q790" s="32"/>
      <c r="R790" s="4"/>
      <c r="S790" s="4"/>
      <c r="T790" s="4"/>
      <c r="U790" s="4"/>
      <c r="V790" s="4"/>
      <c r="W790" s="4"/>
      <c r="X790" s="4"/>
    </row>
    <row x14ac:dyDescent="0.25" r="791" customHeight="1" ht="12.75">
      <c r="A791" s="4"/>
      <c r="B791" s="29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29"/>
      <c r="N791" s="29"/>
      <c r="O791" s="29"/>
      <c r="P791" s="32"/>
      <c r="Q791" s="32"/>
      <c r="R791" s="4"/>
      <c r="S791" s="4"/>
      <c r="T791" s="4"/>
      <c r="U791" s="4"/>
      <c r="V791" s="4"/>
      <c r="W791" s="4"/>
      <c r="X791" s="4"/>
    </row>
    <row x14ac:dyDescent="0.25" r="792" customHeight="1" ht="12.75">
      <c r="A792" s="4"/>
      <c r="B792" s="29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29"/>
      <c r="N792" s="29"/>
      <c r="O792" s="29"/>
      <c r="P792" s="32"/>
      <c r="Q792" s="32"/>
      <c r="R792" s="4"/>
      <c r="S792" s="4"/>
      <c r="T792" s="4"/>
      <c r="U792" s="4"/>
      <c r="V792" s="4"/>
      <c r="W792" s="4"/>
      <c r="X792" s="4"/>
    </row>
    <row x14ac:dyDescent="0.25" r="793" customHeight="1" ht="12.75">
      <c r="A793" s="4"/>
      <c r="B793" s="29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29"/>
      <c r="N793" s="29"/>
      <c r="O793" s="29"/>
      <c r="P793" s="32"/>
      <c r="Q793" s="32"/>
      <c r="R793" s="4"/>
      <c r="S793" s="4"/>
      <c r="T793" s="4"/>
      <c r="U793" s="4"/>
      <c r="V793" s="4"/>
      <c r="W793" s="4"/>
      <c r="X793" s="4"/>
    </row>
    <row x14ac:dyDescent="0.25" r="794" customHeight="1" ht="12.75">
      <c r="A794" s="4"/>
      <c r="B794" s="29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29"/>
      <c r="N794" s="29"/>
      <c r="O794" s="29"/>
      <c r="P794" s="32"/>
      <c r="Q794" s="32"/>
      <c r="R794" s="4"/>
      <c r="S794" s="4"/>
      <c r="T794" s="4"/>
      <c r="U794" s="4"/>
      <c r="V794" s="4"/>
      <c r="W794" s="4"/>
      <c r="X794" s="4"/>
    </row>
    <row x14ac:dyDescent="0.25" r="795" customHeight="1" ht="12.75">
      <c r="A795" s="4"/>
      <c r="B795" s="29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29"/>
      <c r="N795" s="29"/>
      <c r="O795" s="29"/>
      <c r="P795" s="32"/>
      <c r="Q795" s="32"/>
      <c r="R795" s="4"/>
      <c r="S795" s="4"/>
      <c r="T795" s="4"/>
      <c r="U795" s="4"/>
      <c r="V795" s="4"/>
      <c r="W795" s="4"/>
      <c r="X795" s="4"/>
    </row>
    <row x14ac:dyDescent="0.25" r="796" customHeight="1" ht="12.75">
      <c r="A796" s="4"/>
      <c r="B796" s="29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29"/>
      <c r="N796" s="29"/>
      <c r="O796" s="29"/>
      <c r="P796" s="32"/>
      <c r="Q796" s="32"/>
      <c r="R796" s="4"/>
      <c r="S796" s="4"/>
      <c r="T796" s="4"/>
      <c r="U796" s="4"/>
      <c r="V796" s="4"/>
      <c r="W796" s="4"/>
      <c r="X796" s="4"/>
    </row>
    <row x14ac:dyDescent="0.25" r="797" customHeight="1" ht="12.75">
      <c r="A797" s="4"/>
      <c r="B797" s="29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29"/>
      <c r="N797" s="29"/>
      <c r="O797" s="29"/>
      <c r="P797" s="32"/>
      <c r="Q797" s="32"/>
      <c r="R797" s="4"/>
      <c r="S797" s="4"/>
      <c r="T797" s="4"/>
      <c r="U797" s="4"/>
      <c r="V797" s="4"/>
      <c r="W797" s="4"/>
      <c r="X797" s="4"/>
    </row>
    <row x14ac:dyDescent="0.25" r="798" customHeight="1" ht="12.75">
      <c r="A798" s="4"/>
      <c r="B798" s="29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29"/>
      <c r="N798" s="29"/>
      <c r="O798" s="29"/>
      <c r="P798" s="32"/>
      <c r="Q798" s="32"/>
      <c r="R798" s="4"/>
      <c r="S798" s="4"/>
      <c r="T798" s="4"/>
      <c r="U798" s="4"/>
      <c r="V798" s="4"/>
      <c r="W798" s="4"/>
      <c r="X798" s="4"/>
    </row>
    <row x14ac:dyDescent="0.25" r="799" customHeight="1" ht="12.75">
      <c r="A799" s="4"/>
      <c r="B799" s="29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29"/>
      <c r="N799" s="29"/>
      <c r="O799" s="29"/>
      <c r="P799" s="32"/>
      <c r="Q799" s="32"/>
      <c r="R799" s="4"/>
      <c r="S799" s="4"/>
      <c r="T799" s="4"/>
      <c r="U799" s="4"/>
      <c r="V799" s="4"/>
      <c r="W799" s="4"/>
      <c r="X799" s="4"/>
    </row>
    <row x14ac:dyDescent="0.25" r="800" customHeight="1" ht="12.75">
      <c r="A800" s="4"/>
      <c r="B800" s="29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29"/>
      <c r="N800" s="29"/>
      <c r="O800" s="29"/>
      <c r="P800" s="32"/>
      <c r="Q800" s="32"/>
      <c r="R800" s="4"/>
      <c r="S800" s="4"/>
      <c r="T800" s="4"/>
      <c r="U800" s="4"/>
      <c r="V800" s="4"/>
      <c r="W800" s="4"/>
      <c r="X800" s="4"/>
    </row>
    <row x14ac:dyDescent="0.25" r="801" customHeight="1" ht="12.75">
      <c r="A801" s="4"/>
      <c r="B801" s="29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29"/>
      <c r="N801" s="29"/>
      <c r="O801" s="29"/>
      <c r="P801" s="32"/>
      <c r="Q801" s="32"/>
      <c r="R801" s="4"/>
      <c r="S801" s="4"/>
      <c r="T801" s="4"/>
      <c r="U801" s="4"/>
      <c r="V801" s="4"/>
      <c r="W801" s="4"/>
      <c r="X801" s="4"/>
    </row>
    <row x14ac:dyDescent="0.25" r="802" customHeight="1" ht="12.75">
      <c r="A802" s="4"/>
      <c r="B802" s="29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29"/>
      <c r="N802" s="29"/>
      <c r="O802" s="29"/>
      <c r="P802" s="32"/>
      <c r="Q802" s="32"/>
      <c r="R802" s="4"/>
      <c r="S802" s="4"/>
      <c r="T802" s="4"/>
      <c r="U802" s="4"/>
      <c r="V802" s="4"/>
      <c r="W802" s="4"/>
      <c r="X802" s="4"/>
    </row>
    <row x14ac:dyDescent="0.25" r="803" customHeight="1" ht="12.75">
      <c r="A803" s="4"/>
      <c r="B803" s="29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29"/>
      <c r="N803" s="29"/>
      <c r="O803" s="29"/>
      <c r="P803" s="32"/>
      <c r="Q803" s="32"/>
      <c r="R803" s="4"/>
      <c r="S803" s="4"/>
      <c r="T803" s="4"/>
      <c r="U803" s="4"/>
      <c r="V803" s="4"/>
      <c r="W803" s="4"/>
      <c r="X803" s="4"/>
    </row>
    <row x14ac:dyDescent="0.25" r="804" customHeight="1" ht="12.75">
      <c r="A804" s="4"/>
      <c r="B804" s="29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29"/>
      <c r="N804" s="29"/>
      <c r="O804" s="29"/>
      <c r="P804" s="32"/>
      <c r="Q804" s="32"/>
      <c r="R804" s="4"/>
      <c r="S804" s="4"/>
      <c r="T804" s="4"/>
      <c r="U804" s="4"/>
      <c r="V804" s="4"/>
      <c r="W804" s="4"/>
      <c r="X804" s="4"/>
    </row>
    <row x14ac:dyDescent="0.25" r="805" customHeight="1" ht="12.75">
      <c r="A805" s="4"/>
      <c r="B805" s="29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29"/>
      <c r="N805" s="29"/>
      <c r="O805" s="29"/>
      <c r="P805" s="32"/>
      <c r="Q805" s="32"/>
      <c r="R805" s="4"/>
      <c r="S805" s="4"/>
      <c r="T805" s="4"/>
      <c r="U805" s="4"/>
      <c r="V805" s="4"/>
      <c r="W805" s="4"/>
      <c r="X805" s="4"/>
    </row>
    <row x14ac:dyDescent="0.25" r="806" customHeight="1" ht="12.75">
      <c r="A806" s="4"/>
      <c r="B806" s="29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29"/>
      <c r="N806" s="29"/>
      <c r="O806" s="29"/>
      <c r="P806" s="32"/>
      <c r="Q806" s="32"/>
      <c r="R806" s="4"/>
      <c r="S806" s="4"/>
      <c r="T806" s="4"/>
      <c r="U806" s="4"/>
      <c r="V806" s="4"/>
      <c r="W806" s="4"/>
      <c r="X806" s="4"/>
    </row>
    <row x14ac:dyDescent="0.25" r="807" customHeight="1" ht="12.75">
      <c r="A807" s="4"/>
      <c r="B807" s="29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29"/>
      <c r="N807" s="29"/>
      <c r="O807" s="29"/>
      <c r="P807" s="32"/>
      <c r="Q807" s="32"/>
      <c r="R807" s="4"/>
      <c r="S807" s="4"/>
      <c r="T807" s="4"/>
      <c r="U807" s="4"/>
      <c r="V807" s="4"/>
      <c r="W807" s="4"/>
      <c r="X807" s="4"/>
    </row>
    <row x14ac:dyDescent="0.25" r="808" customHeight="1" ht="12.75">
      <c r="A808" s="4"/>
      <c r="B808" s="29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29"/>
      <c r="N808" s="29"/>
      <c r="O808" s="29"/>
      <c r="P808" s="32"/>
      <c r="Q808" s="32"/>
      <c r="R808" s="4"/>
      <c r="S808" s="4"/>
      <c r="T808" s="4"/>
      <c r="U808" s="4"/>
      <c r="V808" s="4"/>
      <c r="W808" s="4"/>
      <c r="X808" s="4"/>
    </row>
    <row x14ac:dyDescent="0.25" r="809" customHeight="1" ht="12.75">
      <c r="A809" s="4"/>
      <c r="B809" s="29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29"/>
      <c r="N809" s="29"/>
      <c r="O809" s="29"/>
      <c r="P809" s="32"/>
      <c r="Q809" s="32"/>
      <c r="R809" s="4"/>
      <c r="S809" s="4"/>
      <c r="T809" s="4"/>
      <c r="U809" s="4"/>
      <c r="V809" s="4"/>
      <c r="W809" s="4"/>
      <c r="X809" s="4"/>
    </row>
    <row x14ac:dyDescent="0.25" r="810" customHeight="1" ht="12.75">
      <c r="A810" s="4"/>
      <c r="B810" s="29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29"/>
      <c r="N810" s="29"/>
      <c r="O810" s="29"/>
      <c r="P810" s="32"/>
      <c r="Q810" s="32"/>
      <c r="R810" s="4"/>
      <c r="S810" s="4"/>
      <c r="T810" s="4"/>
      <c r="U810" s="4"/>
      <c r="V810" s="4"/>
      <c r="W810" s="4"/>
      <c r="X810" s="4"/>
    </row>
    <row x14ac:dyDescent="0.25" r="811" customHeight="1" ht="12.75">
      <c r="A811" s="4"/>
      <c r="B811" s="29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29"/>
      <c r="N811" s="29"/>
      <c r="O811" s="29"/>
      <c r="P811" s="32"/>
      <c r="Q811" s="32"/>
      <c r="R811" s="4"/>
      <c r="S811" s="4"/>
      <c r="T811" s="4"/>
      <c r="U811" s="4"/>
      <c r="V811" s="4"/>
      <c r="W811" s="4"/>
      <c r="X811" s="4"/>
    </row>
    <row x14ac:dyDescent="0.25" r="812" customHeight="1" ht="12.75">
      <c r="A812" s="4"/>
      <c r="B812" s="29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29"/>
      <c r="N812" s="29"/>
      <c r="O812" s="29"/>
      <c r="P812" s="32"/>
      <c r="Q812" s="32"/>
      <c r="R812" s="4"/>
      <c r="S812" s="4"/>
      <c r="T812" s="4"/>
      <c r="U812" s="4"/>
      <c r="V812" s="4"/>
      <c r="W812" s="4"/>
      <c r="X812" s="4"/>
    </row>
    <row x14ac:dyDescent="0.25" r="813" customHeight="1" ht="12.75">
      <c r="A813" s="4"/>
      <c r="B813" s="29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29"/>
      <c r="N813" s="29"/>
      <c r="O813" s="29"/>
      <c r="P813" s="32"/>
      <c r="Q813" s="32"/>
      <c r="R813" s="4"/>
      <c r="S813" s="4"/>
      <c r="T813" s="4"/>
      <c r="U813" s="4"/>
      <c r="V813" s="4"/>
      <c r="W813" s="4"/>
      <c r="X813" s="4"/>
    </row>
    <row x14ac:dyDescent="0.25" r="814" customHeight="1" ht="12.75">
      <c r="A814" s="4"/>
      <c r="B814" s="29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29"/>
      <c r="N814" s="29"/>
      <c r="O814" s="29"/>
      <c r="P814" s="32"/>
      <c r="Q814" s="32"/>
      <c r="R814" s="4"/>
      <c r="S814" s="4"/>
      <c r="T814" s="4"/>
      <c r="U814" s="4"/>
      <c r="V814" s="4"/>
      <c r="W814" s="4"/>
      <c r="X814" s="4"/>
    </row>
    <row x14ac:dyDescent="0.25" r="815" customHeight="1" ht="12.75">
      <c r="A815" s="4"/>
      <c r="B815" s="29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29"/>
      <c r="N815" s="29"/>
      <c r="O815" s="29"/>
      <c r="P815" s="32"/>
      <c r="Q815" s="32"/>
      <c r="R815" s="4"/>
      <c r="S815" s="4"/>
      <c r="T815" s="4"/>
      <c r="U815" s="4"/>
      <c r="V815" s="4"/>
      <c r="W815" s="4"/>
      <c r="X815" s="4"/>
    </row>
    <row x14ac:dyDescent="0.25" r="816" customHeight="1" ht="12.75">
      <c r="A816" s="4"/>
      <c r="B816" s="29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29"/>
      <c r="N816" s="29"/>
      <c r="O816" s="29"/>
      <c r="P816" s="32"/>
      <c r="Q816" s="32"/>
      <c r="R816" s="4"/>
      <c r="S816" s="4"/>
      <c r="T816" s="4"/>
      <c r="U816" s="4"/>
      <c r="V816" s="4"/>
      <c r="W816" s="4"/>
      <c r="X816" s="4"/>
    </row>
    <row x14ac:dyDescent="0.25" r="817" customHeight="1" ht="12.75">
      <c r="A817" s="4"/>
      <c r="B817" s="29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29"/>
      <c r="N817" s="29"/>
      <c r="O817" s="29"/>
      <c r="P817" s="32"/>
      <c r="Q817" s="32"/>
      <c r="R817" s="4"/>
      <c r="S817" s="4"/>
      <c r="T817" s="4"/>
      <c r="U817" s="4"/>
      <c r="V817" s="4"/>
      <c r="W817" s="4"/>
      <c r="X817" s="4"/>
    </row>
    <row x14ac:dyDescent="0.25" r="818" customHeight="1" ht="12.75">
      <c r="A818" s="4"/>
      <c r="B818" s="29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29"/>
      <c r="N818" s="29"/>
      <c r="O818" s="29"/>
      <c r="P818" s="32"/>
      <c r="Q818" s="32"/>
      <c r="R818" s="4"/>
      <c r="S818" s="4"/>
      <c r="T818" s="4"/>
      <c r="U818" s="4"/>
      <c r="V818" s="4"/>
      <c r="W818" s="4"/>
      <c r="X818" s="4"/>
    </row>
    <row x14ac:dyDescent="0.25" r="819" customHeight="1" ht="12.75">
      <c r="A819" s="4"/>
      <c r="B819" s="29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29"/>
      <c r="N819" s="29"/>
      <c r="O819" s="29"/>
      <c r="P819" s="32"/>
      <c r="Q819" s="32"/>
      <c r="R819" s="4"/>
      <c r="S819" s="4"/>
      <c r="T819" s="4"/>
      <c r="U819" s="4"/>
      <c r="V819" s="4"/>
      <c r="W819" s="4"/>
      <c r="X819" s="4"/>
    </row>
    <row x14ac:dyDescent="0.25" r="820" customHeight="1" ht="12.75">
      <c r="A820" s="4"/>
      <c r="B820" s="29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29"/>
      <c r="N820" s="29"/>
      <c r="O820" s="29"/>
      <c r="P820" s="32"/>
      <c r="Q820" s="32"/>
      <c r="R820" s="4"/>
      <c r="S820" s="4"/>
      <c r="T820" s="4"/>
      <c r="U820" s="4"/>
      <c r="V820" s="4"/>
      <c r="W820" s="4"/>
      <c r="X820" s="4"/>
    </row>
    <row x14ac:dyDescent="0.25" r="821" customHeight="1" ht="12.75">
      <c r="A821" s="4"/>
      <c r="B821" s="29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29"/>
      <c r="N821" s="29"/>
      <c r="O821" s="29"/>
      <c r="P821" s="32"/>
      <c r="Q821" s="32"/>
      <c r="R821" s="4"/>
      <c r="S821" s="4"/>
      <c r="T821" s="4"/>
      <c r="U821" s="4"/>
      <c r="V821" s="4"/>
      <c r="W821" s="4"/>
      <c r="X821" s="4"/>
    </row>
    <row x14ac:dyDescent="0.25" r="822" customHeight="1" ht="12.75">
      <c r="A822" s="4"/>
      <c r="B822" s="29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29"/>
      <c r="N822" s="29"/>
      <c r="O822" s="29"/>
      <c r="P822" s="32"/>
      <c r="Q822" s="32"/>
      <c r="R822" s="4"/>
      <c r="S822" s="4"/>
      <c r="T822" s="4"/>
      <c r="U822" s="4"/>
      <c r="V822" s="4"/>
      <c r="W822" s="4"/>
      <c r="X822" s="4"/>
    </row>
    <row x14ac:dyDescent="0.25" r="823" customHeight="1" ht="12.75">
      <c r="A823" s="4"/>
      <c r="B823" s="29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29"/>
      <c r="N823" s="29"/>
      <c r="O823" s="29"/>
      <c r="P823" s="32"/>
      <c r="Q823" s="32"/>
      <c r="R823" s="4"/>
      <c r="S823" s="4"/>
      <c r="T823" s="4"/>
      <c r="U823" s="4"/>
      <c r="V823" s="4"/>
      <c r="W823" s="4"/>
      <c r="X823" s="4"/>
    </row>
    <row x14ac:dyDescent="0.25" r="824" customHeight="1" ht="12.75">
      <c r="A824" s="4"/>
      <c r="B824" s="29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29"/>
      <c r="N824" s="29"/>
      <c r="O824" s="29"/>
      <c r="P824" s="32"/>
      <c r="Q824" s="32"/>
      <c r="R824" s="4"/>
      <c r="S824" s="4"/>
      <c r="T824" s="4"/>
      <c r="U824" s="4"/>
      <c r="V824" s="4"/>
      <c r="W824" s="4"/>
      <c r="X824" s="4"/>
    </row>
    <row x14ac:dyDescent="0.25" r="825" customHeight="1" ht="12.75">
      <c r="A825" s="4"/>
      <c r="B825" s="29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29"/>
      <c r="N825" s="29"/>
      <c r="O825" s="29"/>
      <c r="P825" s="32"/>
      <c r="Q825" s="32"/>
      <c r="R825" s="4"/>
      <c r="S825" s="4"/>
      <c r="T825" s="4"/>
      <c r="U825" s="4"/>
      <c r="V825" s="4"/>
      <c r="W825" s="4"/>
      <c r="X825" s="4"/>
    </row>
    <row x14ac:dyDescent="0.25" r="826" customHeight="1" ht="12.75">
      <c r="A826" s="4"/>
      <c r="B826" s="29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29"/>
      <c r="N826" s="29"/>
      <c r="O826" s="29"/>
      <c r="P826" s="32"/>
      <c r="Q826" s="32"/>
      <c r="R826" s="4"/>
      <c r="S826" s="4"/>
      <c r="T826" s="4"/>
      <c r="U826" s="4"/>
      <c r="V826" s="4"/>
      <c r="W826" s="4"/>
      <c r="X826" s="4"/>
    </row>
    <row x14ac:dyDescent="0.25" r="827" customHeight="1" ht="12.75">
      <c r="A827" s="4"/>
      <c r="B827" s="29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29"/>
      <c r="N827" s="29"/>
      <c r="O827" s="29"/>
      <c r="P827" s="32"/>
      <c r="Q827" s="32"/>
      <c r="R827" s="4"/>
      <c r="S827" s="4"/>
      <c r="T827" s="4"/>
      <c r="U827" s="4"/>
      <c r="V827" s="4"/>
      <c r="W827" s="4"/>
      <c r="X827" s="4"/>
    </row>
    <row x14ac:dyDescent="0.25" r="828" customHeight="1" ht="12.75">
      <c r="A828" s="4"/>
      <c r="B828" s="29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29"/>
      <c r="N828" s="29"/>
      <c r="O828" s="29"/>
      <c r="P828" s="32"/>
      <c r="Q828" s="32"/>
      <c r="R828" s="4"/>
      <c r="S828" s="4"/>
      <c r="T828" s="4"/>
      <c r="U828" s="4"/>
      <c r="V828" s="4"/>
      <c r="W828" s="4"/>
      <c r="X828" s="4"/>
    </row>
    <row x14ac:dyDescent="0.25" r="829" customHeight="1" ht="12.75">
      <c r="A829" s="4"/>
      <c r="B829" s="29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29"/>
      <c r="N829" s="29"/>
      <c r="O829" s="29"/>
      <c r="P829" s="32"/>
      <c r="Q829" s="32"/>
      <c r="R829" s="4"/>
      <c r="S829" s="4"/>
      <c r="T829" s="4"/>
      <c r="U829" s="4"/>
      <c r="V829" s="4"/>
      <c r="W829" s="4"/>
      <c r="X829" s="4"/>
    </row>
    <row x14ac:dyDescent="0.25" r="830" customHeight="1" ht="12.75">
      <c r="A830" s="4"/>
      <c r="B830" s="29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29"/>
      <c r="N830" s="29"/>
      <c r="O830" s="29"/>
      <c r="P830" s="32"/>
      <c r="Q830" s="32"/>
      <c r="R830" s="4"/>
      <c r="S830" s="4"/>
      <c r="T830" s="4"/>
      <c r="U830" s="4"/>
      <c r="V830" s="4"/>
      <c r="W830" s="4"/>
      <c r="X830" s="4"/>
    </row>
    <row x14ac:dyDescent="0.25" r="831" customHeight="1" ht="12.75">
      <c r="A831" s="4"/>
      <c r="B831" s="29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29"/>
      <c r="N831" s="29"/>
      <c r="O831" s="29"/>
      <c r="P831" s="32"/>
      <c r="Q831" s="32"/>
      <c r="R831" s="4"/>
      <c r="S831" s="4"/>
      <c r="T831" s="4"/>
      <c r="U831" s="4"/>
      <c r="V831" s="4"/>
      <c r="W831" s="4"/>
      <c r="X831" s="4"/>
    </row>
    <row x14ac:dyDescent="0.25" r="832" customHeight="1" ht="12.75">
      <c r="A832" s="4"/>
      <c r="B832" s="29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29"/>
      <c r="N832" s="29"/>
      <c r="O832" s="29"/>
      <c r="P832" s="32"/>
      <c r="Q832" s="32"/>
      <c r="R832" s="4"/>
      <c r="S832" s="4"/>
      <c r="T832" s="4"/>
      <c r="U832" s="4"/>
      <c r="V832" s="4"/>
      <c r="W832" s="4"/>
      <c r="X832" s="4"/>
    </row>
    <row x14ac:dyDescent="0.25" r="833" customHeight="1" ht="12.75">
      <c r="A833" s="4"/>
      <c r="B833" s="29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29"/>
      <c r="N833" s="29"/>
      <c r="O833" s="29"/>
      <c r="P833" s="32"/>
      <c r="Q833" s="32"/>
      <c r="R833" s="4"/>
      <c r="S833" s="4"/>
      <c r="T833" s="4"/>
      <c r="U833" s="4"/>
      <c r="V833" s="4"/>
      <c r="W833" s="4"/>
      <c r="X833" s="4"/>
    </row>
    <row x14ac:dyDescent="0.25" r="834" customHeight="1" ht="12.75">
      <c r="A834" s="4"/>
      <c r="B834" s="29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29"/>
      <c r="N834" s="29"/>
      <c r="O834" s="29"/>
      <c r="P834" s="32"/>
      <c r="Q834" s="32"/>
      <c r="R834" s="4"/>
      <c r="S834" s="4"/>
      <c r="T834" s="4"/>
      <c r="U834" s="4"/>
      <c r="V834" s="4"/>
      <c r="W834" s="4"/>
      <c r="X834" s="4"/>
    </row>
    <row x14ac:dyDescent="0.25" r="835" customHeight="1" ht="12.75">
      <c r="A835" s="4"/>
      <c r="B835" s="29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29"/>
      <c r="N835" s="29"/>
      <c r="O835" s="29"/>
      <c r="P835" s="32"/>
      <c r="Q835" s="32"/>
      <c r="R835" s="4"/>
      <c r="S835" s="4"/>
      <c r="T835" s="4"/>
      <c r="U835" s="4"/>
      <c r="V835" s="4"/>
      <c r="W835" s="4"/>
      <c r="X835" s="4"/>
    </row>
    <row x14ac:dyDescent="0.25" r="836" customHeight="1" ht="12.75">
      <c r="A836" s="4"/>
      <c r="B836" s="29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29"/>
      <c r="N836" s="29"/>
      <c r="O836" s="29"/>
      <c r="P836" s="32"/>
      <c r="Q836" s="32"/>
      <c r="R836" s="4"/>
      <c r="S836" s="4"/>
      <c r="T836" s="4"/>
      <c r="U836" s="4"/>
      <c r="V836" s="4"/>
      <c r="W836" s="4"/>
      <c r="X836" s="4"/>
    </row>
    <row x14ac:dyDescent="0.25" r="837" customHeight="1" ht="12.75">
      <c r="A837" s="4"/>
      <c r="B837" s="29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29"/>
      <c r="N837" s="29"/>
      <c r="O837" s="29"/>
      <c r="P837" s="32"/>
      <c r="Q837" s="32"/>
      <c r="R837" s="4"/>
      <c r="S837" s="4"/>
      <c r="T837" s="4"/>
      <c r="U837" s="4"/>
      <c r="V837" s="4"/>
      <c r="W837" s="4"/>
      <c r="X837" s="4"/>
    </row>
    <row x14ac:dyDescent="0.25" r="838" customHeight="1" ht="12.75">
      <c r="A838" s="4"/>
      <c r="B838" s="29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29"/>
      <c r="N838" s="29"/>
      <c r="O838" s="29"/>
      <c r="P838" s="32"/>
      <c r="Q838" s="32"/>
      <c r="R838" s="4"/>
      <c r="S838" s="4"/>
      <c r="T838" s="4"/>
      <c r="U838" s="4"/>
      <c r="V838" s="4"/>
      <c r="W838" s="4"/>
      <c r="X838" s="4"/>
    </row>
    <row x14ac:dyDescent="0.25" r="839" customHeight="1" ht="12.75">
      <c r="A839" s="4"/>
      <c r="B839" s="29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29"/>
      <c r="N839" s="29"/>
      <c r="O839" s="29"/>
      <c r="P839" s="32"/>
      <c r="Q839" s="32"/>
      <c r="R839" s="4"/>
      <c r="S839" s="4"/>
      <c r="T839" s="4"/>
      <c r="U839" s="4"/>
      <c r="V839" s="4"/>
      <c r="W839" s="4"/>
      <c r="X839" s="4"/>
    </row>
    <row x14ac:dyDescent="0.25" r="840" customHeight="1" ht="12.75">
      <c r="A840" s="4"/>
      <c r="B840" s="29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29"/>
      <c r="N840" s="29"/>
      <c r="O840" s="29"/>
      <c r="P840" s="32"/>
      <c r="Q840" s="32"/>
      <c r="R840" s="4"/>
      <c r="S840" s="4"/>
      <c r="T840" s="4"/>
      <c r="U840" s="4"/>
      <c r="V840" s="4"/>
      <c r="W840" s="4"/>
      <c r="X840" s="4"/>
    </row>
    <row x14ac:dyDescent="0.25" r="841" customHeight="1" ht="12.75">
      <c r="A841" s="4"/>
      <c r="B841" s="29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29"/>
      <c r="N841" s="29"/>
      <c r="O841" s="29"/>
      <c r="P841" s="32"/>
      <c r="Q841" s="32"/>
      <c r="R841" s="4"/>
      <c r="S841" s="4"/>
      <c r="T841" s="4"/>
      <c r="U841" s="4"/>
      <c r="V841" s="4"/>
      <c r="W841" s="4"/>
      <c r="X841" s="4"/>
    </row>
    <row x14ac:dyDescent="0.25" r="842" customHeight="1" ht="12.75">
      <c r="A842" s="4"/>
      <c r="B842" s="29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29"/>
      <c r="N842" s="29"/>
      <c r="O842" s="29"/>
      <c r="P842" s="32"/>
      <c r="Q842" s="32"/>
      <c r="R842" s="4"/>
      <c r="S842" s="4"/>
      <c r="T842" s="4"/>
      <c r="U842" s="4"/>
      <c r="V842" s="4"/>
      <c r="W842" s="4"/>
      <c r="X842" s="4"/>
    </row>
    <row x14ac:dyDescent="0.25" r="843" customHeight="1" ht="12.75">
      <c r="A843" s="4"/>
      <c r="B843" s="29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29"/>
      <c r="N843" s="29"/>
      <c r="O843" s="29"/>
      <c r="P843" s="32"/>
      <c r="Q843" s="32"/>
      <c r="R843" s="4"/>
      <c r="S843" s="4"/>
      <c r="T843" s="4"/>
      <c r="U843" s="4"/>
      <c r="V843" s="4"/>
      <c r="W843" s="4"/>
      <c r="X843" s="4"/>
    </row>
    <row x14ac:dyDescent="0.25" r="844" customHeight="1" ht="12.75">
      <c r="A844" s="4"/>
      <c r="B844" s="29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29"/>
      <c r="N844" s="29"/>
      <c r="O844" s="29"/>
      <c r="P844" s="32"/>
      <c r="Q844" s="32"/>
      <c r="R844" s="4"/>
      <c r="S844" s="4"/>
      <c r="T844" s="4"/>
      <c r="U844" s="4"/>
      <c r="V844" s="4"/>
      <c r="W844" s="4"/>
      <c r="X844" s="4"/>
    </row>
    <row x14ac:dyDescent="0.25" r="845" customHeight="1" ht="12.75">
      <c r="A845" s="4"/>
      <c r="B845" s="29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29"/>
      <c r="N845" s="29"/>
      <c r="O845" s="29"/>
      <c r="P845" s="32"/>
      <c r="Q845" s="32"/>
      <c r="R845" s="4"/>
      <c r="S845" s="4"/>
      <c r="T845" s="4"/>
      <c r="U845" s="4"/>
      <c r="V845" s="4"/>
      <c r="W845" s="4"/>
      <c r="X845" s="4"/>
    </row>
    <row x14ac:dyDescent="0.25" r="846" customHeight="1" ht="12.75">
      <c r="A846" s="4"/>
      <c r="B846" s="29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29"/>
      <c r="N846" s="29"/>
      <c r="O846" s="29"/>
      <c r="P846" s="32"/>
      <c r="Q846" s="32"/>
      <c r="R846" s="4"/>
      <c r="S846" s="4"/>
      <c r="T846" s="4"/>
      <c r="U846" s="4"/>
      <c r="V846" s="4"/>
      <c r="W846" s="4"/>
      <c r="X846" s="4"/>
    </row>
    <row x14ac:dyDescent="0.25" r="847" customHeight="1" ht="12.75">
      <c r="A847" s="4"/>
      <c r="B847" s="29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29"/>
      <c r="N847" s="29"/>
      <c r="O847" s="29"/>
      <c r="P847" s="32"/>
      <c r="Q847" s="32"/>
      <c r="R847" s="4"/>
      <c r="S847" s="4"/>
      <c r="T847" s="4"/>
      <c r="U847" s="4"/>
      <c r="V847" s="4"/>
      <c r="W847" s="4"/>
      <c r="X847" s="4"/>
    </row>
    <row x14ac:dyDescent="0.25" r="848" customHeight="1" ht="12.75">
      <c r="A848" s="4"/>
      <c r="B848" s="29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29"/>
      <c r="N848" s="29"/>
      <c r="O848" s="29"/>
      <c r="P848" s="32"/>
      <c r="Q848" s="32"/>
      <c r="R848" s="4"/>
      <c r="S848" s="4"/>
      <c r="T848" s="4"/>
      <c r="U848" s="4"/>
      <c r="V848" s="4"/>
      <c r="W848" s="4"/>
      <c r="X848" s="4"/>
    </row>
    <row x14ac:dyDescent="0.25" r="849" customHeight="1" ht="12.75">
      <c r="A849" s="4"/>
      <c r="B849" s="29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29"/>
      <c r="N849" s="29"/>
      <c r="O849" s="29"/>
      <c r="P849" s="32"/>
      <c r="Q849" s="32"/>
      <c r="R849" s="4"/>
      <c r="S849" s="4"/>
      <c r="T849" s="4"/>
      <c r="U849" s="4"/>
      <c r="V849" s="4"/>
      <c r="W849" s="4"/>
      <c r="X849" s="4"/>
    </row>
    <row x14ac:dyDescent="0.25" r="850" customHeight="1" ht="12.75">
      <c r="A850" s="4"/>
      <c r="B850" s="29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29"/>
      <c r="N850" s="29"/>
      <c r="O850" s="29"/>
      <c r="P850" s="32"/>
      <c r="Q850" s="32"/>
      <c r="R850" s="4"/>
      <c r="S850" s="4"/>
      <c r="T850" s="4"/>
      <c r="U850" s="4"/>
      <c r="V850" s="4"/>
      <c r="W850" s="4"/>
      <c r="X850" s="4"/>
    </row>
    <row x14ac:dyDescent="0.25" r="851" customHeight="1" ht="12.75">
      <c r="A851" s="4"/>
      <c r="B851" s="29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29"/>
      <c r="N851" s="29"/>
      <c r="O851" s="29"/>
      <c r="P851" s="32"/>
      <c r="Q851" s="32"/>
      <c r="R851" s="4"/>
      <c r="S851" s="4"/>
      <c r="T851" s="4"/>
      <c r="U851" s="4"/>
      <c r="V851" s="4"/>
      <c r="W851" s="4"/>
      <c r="X851" s="4"/>
    </row>
    <row x14ac:dyDescent="0.25" r="852" customHeight="1" ht="12.75">
      <c r="A852" s="4"/>
      <c r="B852" s="29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29"/>
      <c r="N852" s="29"/>
      <c r="O852" s="29"/>
      <c r="P852" s="32"/>
      <c r="Q852" s="32"/>
      <c r="R852" s="4"/>
      <c r="S852" s="4"/>
      <c r="T852" s="4"/>
      <c r="U852" s="4"/>
      <c r="V852" s="4"/>
      <c r="W852" s="4"/>
      <c r="X852" s="4"/>
    </row>
    <row x14ac:dyDescent="0.25" r="853" customHeight="1" ht="12.75">
      <c r="A853" s="4"/>
      <c r="B853" s="29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29"/>
      <c r="N853" s="29"/>
      <c r="O853" s="29"/>
      <c r="P853" s="32"/>
      <c r="Q853" s="32"/>
      <c r="R853" s="4"/>
      <c r="S853" s="4"/>
      <c r="T853" s="4"/>
      <c r="U853" s="4"/>
      <c r="V853" s="4"/>
      <c r="W853" s="4"/>
      <c r="X853" s="4"/>
    </row>
    <row x14ac:dyDescent="0.25" r="854" customHeight="1" ht="12.75">
      <c r="A854" s="4"/>
      <c r="B854" s="29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29"/>
      <c r="N854" s="29"/>
      <c r="O854" s="29"/>
      <c r="P854" s="32"/>
      <c r="Q854" s="32"/>
      <c r="R854" s="4"/>
      <c r="S854" s="4"/>
      <c r="T854" s="4"/>
      <c r="U854" s="4"/>
      <c r="V854" s="4"/>
      <c r="W854" s="4"/>
      <c r="X854" s="4"/>
    </row>
    <row x14ac:dyDescent="0.25" r="855" customHeight="1" ht="12.75">
      <c r="A855" s="4"/>
      <c r="B855" s="29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29"/>
      <c r="N855" s="29"/>
      <c r="O855" s="29"/>
      <c r="P855" s="32"/>
      <c r="Q855" s="32"/>
      <c r="R855" s="4"/>
      <c r="S855" s="4"/>
      <c r="T855" s="4"/>
      <c r="U855" s="4"/>
      <c r="V855" s="4"/>
      <c r="W855" s="4"/>
      <c r="X855" s="4"/>
    </row>
    <row x14ac:dyDescent="0.25" r="856" customHeight="1" ht="12.75">
      <c r="A856" s="4"/>
      <c r="B856" s="29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29"/>
      <c r="N856" s="29"/>
      <c r="O856" s="29"/>
      <c r="P856" s="32"/>
      <c r="Q856" s="32"/>
      <c r="R856" s="4"/>
      <c r="S856" s="4"/>
      <c r="T856" s="4"/>
      <c r="U856" s="4"/>
      <c r="V856" s="4"/>
      <c r="W856" s="4"/>
      <c r="X856" s="4"/>
    </row>
    <row x14ac:dyDescent="0.25" r="857" customHeight="1" ht="12.75">
      <c r="A857" s="4"/>
      <c r="B857" s="29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29"/>
      <c r="N857" s="29"/>
      <c r="O857" s="29"/>
      <c r="P857" s="32"/>
      <c r="Q857" s="32"/>
      <c r="R857" s="4"/>
      <c r="S857" s="4"/>
      <c r="T857" s="4"/>
      <c r="U857" s="4"/>
      <c r="V857" s="4"/>
      <c r="W857" s="4"/>
      <c r="X857" s="4"/>
    </row>
    <row x14ac:dyDescent="0.25" r="858" customHeight="1" ht="12.75">
      <c r="A858" s="4"/>
      <c r="B858" s="29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29"/>
      <c r="N858" s="29"/>
      <c r="O858" s="29"/>
      <c r="P858" s="32"/>
      <c r="Q858" s="32"/>
      <c r="R858" s="4"/>
      <c r="S858" s="4"/>
      <c r="T858" s="4"/>
      <c r="U858" s="4"/>
      <c r="V858" s="4"/>
      <c r="W858" s="4"/>
      <c r="X858" s="4"/>
    </row>
    <row x14ac:dyDescent="0.25" r="859" customHeight="1" ht="12.75">
      <c r="A859" s="4"/>
      <c r="B859" s="29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29"/>
      <c r="N859" s="29"/>
      <c r="O859" s="29"/>
      <c r="P859" s="32"/>
      <c r="Q859" s="32"/>
      <c r="R859" s="4"/>
      <c r="S859" s="4"/>
      <c r="T859" s="4"/>
      <c r="U859" s="4"/>
      <c r="V859" s="4"/>
      <c r="W859" s="4"/>
      <c r="X859" s="4"/>
    </row>
    <row x14ac:dyDescent="0.25" r="860" customHeight="1" ht="12.75">
      <c r="A860" s="4"/>
      <c r="B860" s="29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29"/>
      <c r="N860" s="29"/>
      <c r="O860" s="29"/>
      <c r="P860" s="32"/>
      <c r="Q860" s="32"/>
      <c r="R860" s="4"/>
      <c r="S860" s="4"/>
      <c r="T860" s="4"/>
      <c r="U860" s="4"/>
      <c r="V860" s="4"/>
      <c r="W860" s="4"/>
      <c r="X860" s="4"/>
    </row>
    <row x14ac:dyDescent="0.25" r="861" customHeight="1" ht="12.75">
      <c r="A861" s="4"/>
      <c r="B861" s="29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29"/>
      <c r="N861" s="29"/>
      <c r="O861" s="29"/>
      <c r="P861" s="32"/>
      <c r="Q861" s="32"/>
      <c r="R861" s="4"/>
      <c r="S861" s="4"/>
      <c r="T861" s="4"/>
      <c r="U861" s="4"/>
      <c r="V861" s="4"/>
      <c r="W861" s="4"/>
      <c r="X861" s="4"/>
    </row>
    <row x14ac:dyDescent="0.25" r="862" customHeight="1" ht="12.75">
      <c r="A862" s="4"/>
      <c r="B862" s="29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29"/>
      <c r="N862" s="29"/>
      <c r="O862" s="29"/>
      <c r="P862" s="32"/>
      <c r="Q862" s="32"/>
      <c r="R862" s="4"/>
      <c r="S862" s="4"/>
      <c r="T862" s="4"/>
      <c r="U862" s="4"/>
      <c r="V862" s="4"/>
      <c r="W862" s="4"/>
      <c r="X862" s="4"/>
    </row>
    <row x14ac:dyDescent="0.25" r="863" customHeight="1" ht="12.75">
      <c r="A863" s="4"/>
      <c r="B863" s="29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29"/>
      <c r="N863" s="29"/>
      <c r="O863" s="29"/>
      <c r="P863" s="32"/>
      <c r="Q863" s="32"/>
      <c r="R863" s="4"/>
      <c r="S863" s="4"/>
      <c r="T863" s="4"/>
      <c r="U863" s="4"/>
      <c r="V863" s="4"/>
      <c r="W863" s="4"/>
      <c r="X863" s="4"/>
    </row>
    <row x14ac:dyDescent="0.25" r="864" customHeight="1" ht="12.75">
      <c r="A864" s="4"/>
      <c r="B864" s="29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29"/>
      <c r="N864" s="29"/>
      <c r="O864" s="29"/>
      <c r="P864" s="32"/>
      <c r="Q864" s="32"/>
      <c r="R864" s="4"/>
      <c r="S864" s="4"/>
      <c r="T864" s="4"/>
      <c r="U864" s="4"/>
      <c r="V864" s="4"/>
      <c r="W864" s="4"/>
      <c r="X864" s="4"/>
    </row>
    <row x14ac:dyDescent="0.25" r="865" customHeight="1" ht="12.75">
      <c r="A865" s="4"/>
      <c r="B865" s="29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29"/>
      <c r="N865" s="29"/>
      <c r="O865" s="29"/>
      <c r="P865" s="32"/>
      <c r="Q865" s="32"/>
      <c r="R865" s="4"/>
      <c r="S865" s="4"/>
      <c r="T865" s="4"/>
      <c r="U865" s="4"/>
      <c r="V865" s="4"/>
      <c r="W865" s="4"/>
      <c r="X865" s="4"/>
    </row>
    <row x14ac:dyDescent="0.25" r="866" customHeight="1" ht="12.75">
      <c r="A866" s="4"/>
      <c r="B866" s="29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29"/>
      <c r="N866" s="29"/>
      <c r="O866" s="29"/>
      <c r="P866" s="32"/>
      <c r="Q866" s="32"/>
      <c r="R866" s="4"/>
      <c r="S866" s="4"/>
      <c r="T866" s="4"/>
      <c r="U866" s="4"/>
      <c r="V866" s="4"/>
      <c r="W866" s="4"/>
      <c r="X866" s="4"/>
    </row>
    <row x14ac:dyDescent="0.25" r="867" customHeight="1" ht="12.75">
      <c r="A867" s="4"/>
      <c r="B867" s="29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29"/>
      <c r="N867" s="29"/>
      <c r="O867" s="29"/>
      <c r="P867" s="32"/>
      <c r="Q867" s="32"/>
      <c r="R867" s="4"/>
      <c r="S867" s="4"/>
      <c r="T867" s="4"/>
      <c r="U867" s="4"/>
      <c r="V867" s="4"/>
      <c r="W867" s="4"/>
      <c r="X867" s="4"/>
    </row>
    <row x14ac:dyDescent="0.25" r="868" customHeight="1" ht="12.75">
      <c r="A868" s="4"/>
      <c r="B868" s="29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29"/>
      <c r="N868" s="29"/>
      <c r="O868" s="29"/>
      <c r="P868" s="32"/>
      <c r="Q868" s="32"/>
      <c r="R868" s="4"/>
      <c r="S868" s="4"/>
      <c r="T868" s="4"/>
      <c r="U868" s="4"/>
      <c r="V868" s="4"/>
      <c r="W868" s="4"/>
      <c r="X868" s="4"/>
    </row>
    <row x14ac:dyDescent="0.25" r="869" customHeight="1" ht="12.75">
      <c r="A869" s="4"/>
      <c r="B869" s="29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29"/>
      <c r="N869" s="29"/>
      <c r="O869" s="29"/>
      <c r="P869" s="32"/>
      <c r="Q869" s="32"/>
      <c r="R869" s="4"/>
      <c r="S869" s="4"/>
      <c r="T869" s="4"/>
      <c r="U869" s="4"/>
      <c r="V869" s="4"/>
      <c r="W869" s="4"/>
      <c r="X869" s="4"/>
    </row>
    <row x14ac:dyDescent="0.25" r="870" customHeight="1" ht="12.75">
      <c r="A870" s="4"/>
      <c r="B870" s="29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29"/>
      <c r="N870" s="29"/>
      <c r="O870" s="29"/>
      <c r="P870" s="32"/>
      <c r="Q870" s="32"/>
      <c r="R870" s="4"/>
      <c r="S870" s="4"/>
      <c r="T870" s="4"/>
      <c r="U870" s="4"/>
      <c r="V870" s="4"/>
      <c r="W870" s="4"/>
      <c r="X870" s="4"/>
    </row>
    <row x14ac:dyDescent="0.25" r="871" customHeight="1" ht="12.75">
      <c r="A871" s="4"/>
      <c r="B871" s="29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29"/>
      <c r="N871" s="29"/>
      <c r="O871" s="29"/>
      <c r="P871" s="32"/>
      <c r="Q871" s="32"/>
      <c r="R871" s="4"/>
      <c r="S871" s="4"/>
      <c r="T871" s="4"/>
      <c r="U871" s="4"/>
      <c r="V871" s="4"/>
      <c r="W871" s="4"/>
      <c r="X871" s="4"/>
    </row>
    <row x14ac:dyDescent="0.25" r="872" customHeight="1" ht="12.75">
      <c r="A872" s="4"/>
      <c r="B872" s="29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29"/>
      <c r="N872" s="29"/>
      <c r="O872" s="29"/>
      <c r="P872" s="32"/>
      <c r="Q872" s="32"/>
      <c r="R872" s="4"/>
      <c r="S872" s="4"/>
      <c r="T872" s="4"/>
      <c r="U872" s="4"/>
      <c r="V872" s="4"/>
      <c r="W872" s="4"/>
      <c r="X872" s="4"/>
    </row>
    <row x14ac:dyDescent="0.25" r="873" customHeight="1" ht="12.75">
      <c r="A873" s="4"/>
      <c r="B873" s="29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29"/>
      <c r="N873" s="29"/>
      <c r="O873" s="29"/>
      <c r="P873" s="32"/>
      <c r="Q873" s="32"/>
      <c r="R873" s="4"/>
      <c r="S873" s="4"/>
      <c r="T873" s="4"/>
      <c r="U873" s="4"/>
      <c r="V873" s="4"/>
      <c r="W873" s="4"/>
      <c r="X873" s="4"/>
    </row>
    <row x14ac:dyDescent="0.25" r="874" customHeight="1" ht="12.75">
      <c r="A874" s="4"/>
      <c r="B874" s="29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29"/>
      <c r="N874" s="29"/>
      <c r="O874" s="29"/>
      <c r="P874" s="32"/>
      <c r="Q874" s="32"/>
      <c r="R874" s="4"/>
      <c r="S874" s="4"/>
      <c r="T874" s="4"/>
      <c r="U874" s="4"/>
      <c r="V874" s="4"/>
      <c r="W874" s="4"/>
      <c r="X874" s="4"/>
    </row>
    <row x14ac:dyDescent="0.25" r="875" customHeight="1" ht="12.75">
      <c r="A875" s="4"/>
      <c r="B875" s="29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29"/>
      <c r="N875" s="29"/>
      <c r="O875" s="29"/>
      <c r="P875" s="32"/>
      <c r="Q875" s="32"/>
      <c r="R875" s="4"/>
      <c r="S875" s="4"/>
      <c r="T875" s="4"/>
      <c r="U875" s="4"/>
      <c r="V875" s="4"/>
      <c r="W875" s="4"/>
      <c r="X875" s="4"/>
    </row>
    <row x14ac:dyDescent="0.25" r="876" customHeight="1" ht="12.75">
      <c r="A876" s="4"/>
      <c r="B876" s="29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29"/>
      <c r="N876" s="29"/>
      <c r="O876" s="29"/>
      <c r="P876" s="32"/>
      <c r="Q876" s="32"/>
      <c r="R876" s="4"/>
      <c r="S876" s="4"/>
      <c r="T876" s="4"/>
      <c r="U876" s="4"/>
      <c r="V876" s="4"/>
      <c r="W876" s="4"/>
      <c r="X876" s="4"/>
    </row>
    <row x14ac:dyDescent="0.25" r="877" customHeight="1" ht="12.75">
      <c r="A877" s="4"/>
      <c r="B877" s="29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29"/>
      <c r="N877" s="29"/>
      <c r="O877" s="29"/>
      <c r="P877" s="32"/>
      <c r="Q877" s="32"/>
      <c r="R877" s="4"/>
      <c r="S877" s="4"/>
      <c r="T877" s="4"/>
      <c r="U877" s="4"/>
      <c r="V877" s="4"/>
      <c r="W877" s="4"/>
      <c r="X877" s="4"/>
    </row>
    <row x14ac:dyDescent="0.25" r="878" customHeight="1" ht="12.75">
      <c r="A878" s="4"/>
      <c r="B878" s="29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29"/>
      <c r="N878" s="29"/>
      <c r="O878" s="29"/>
      <c r="P878" s="32"/>
      <c r="Q878" s="32"/>
      <c r="R878" s="4"/>
      <c r="S878" s="4"/>
      <c r="T878" s="4"/>
      <c r="U878" s="4"/>
      <c r="V878" s="4"/>
      <c r="W878" s="4"/>
      <c r="X878" s="4"/>
    </row>
    <row x14ac:dyDescent="0.25" r="879" customHeight="1" ht="12.75">
      <c r="A879" s="4"/>
      <c r="B879" s="29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29"/>
      <c r="N879" s="29"/>
      <c r="O879" s="29"/>
      <c r="P879" s="32"/>
      <c r="Q879" s="32"/>
      <c r="R879" s="4"/>
      <c r="S879" s="4"/>
      <c r="T879" s="4"/>
      <c r="U879" s="4"/>
      <c r="V879" s="4"/>
      <c r="W879" s="4"/>
      <c r="X879" s="4"/>
    </row>
    <row x14ac:dyDescent="0.25" r="880" customHeight="1" ht="12.75">
      <c r="A880" s="4"/>
      <c r="B880" s="29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29"/>
      <c r="N880" s="29"/>
      <c r="O880" s="29"/>
      <c r="P880" s="32"/>
      <c r="Q880" s="32"/>
      <c r="R880" s="4"/>
      <c r="S880" s="4"/>
      <c r="T880" s="4"/>
      <c r="U880" s="4"/>
      <c r="V880" s="4"/>
      <c r="W880" s="4"/>
      <c r="X880" s="4"/>
    </row>
    <row x14ac:dyDescent="0.25" r="881" customHeight="1" ht="12.75">
      <c r="A881" s="4"/>
      <c r="B881" s="29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29"/>
      <c r="N881" s="29"/>
      <c r="O881" s="29"/>
      <c r="P881" s="32"/>
      <c r="Q881" s="32"/>
      <c r="R881" s="4"/>
      <c r="S881" s="4"/>
      <c r="T881" s="4"/>
      <c r="U881" s="4"/>
      <c r="V881" s="4"/>
      <c r="W881" s="4"/>
      <c r="X881" s="4"/>
    </row>
    <row x14ac:dyDescent="0.25" r="882" customHeight="1" ht="12.75">
      <c r="A882" s="4"/>
      <c r="B882" s="29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29"/>
      <c r="N882" s="29"/>
      <c r="O882" s="29"/>
      <c r="P882" s="32"/>
      <c r="Q882" s="32"/>
      <c r="R882" s="4"/>
      <c r="S882" s="4"/>
      <c r="T882" s="4"/>
      <c r="U882" s="4"/>
      <c r="V882" s="4"/>
      <c r="W882" s="4"/>
      <c r="X882" s="4"/>
    </row>
    <row x14ac:dyDescent="0.25" r="883" customHeight="1" ht="12.75">
      <c r="A883" s="4"/>
      <c r="B883" s="29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29"/>
      <c r="N883" s="29"/>
      <c r="O883" s="29"/>
      <c r="P883" s="32"/>
      <c r="Q883" s="32"/>
      <c r="R883" s="4"/>
      <c r="S883" s="4"/>
      <c r="T883" s="4"/>
      <c r="U883" s="4"/>
      <c r="V883" s="4"/>
      <c r="W883" s="4"/>
      <c r="X883" s="4"/>
    </row>
    <row x14ac:dyDescent="0.25" r="884" customHeight="1" ht="12.75">
      <c r="A884" s="4"/>
      <c r="B884" s="29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29"/>
      <c r="N884" s="29"/>
      <c r="O884" s="29"/>
      <c r="P884" s="32"/>
      <c r="Q884" s="32"/>
      <c r="R884" s="4"/>
      <c r="S884" s="4"/>
      <c r="T884" s="4"/>
      <c r="U884" s="4"/>
      <c r="V884" s="4"/>
      <c r="W884" s="4"/>
      <c r="X884" s="4"/>
    </row>
    <row x14ac:dyDescent="0.25" r="885" customHeight="1" ht="12.75">
      <c r="A885" s="4"/>
      <c r="B885" s="29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29"/>
      <c r="N885" s="29"/>
      <c r="O885" s="29"/>
      <c r="P885" s="32"/>
      <c r="Q885" s="32"/>
      <c r="R885" s="4"/>
      <c r="S885" s="4"/>
      <c r="T885" s="4"/>
      <c r="U885" s="4"/>
      <c r="V885" s="4"/>
      <c r="W885" s="4"/>
      <c r="X885" s="4"/>
    </row>
    <row x14ac:dyDescent="0.25" r="886" customHeight="1" ht="12.75">
      <c r="A886" s="4"/>
      <c r="B886" s="29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29"/>
      <c r="N886" s="29"/>
      <c r="O886" s="29"/>
      <c r="P886" s="32"/>
      <c r="Q886" s="32"/>
      <c r="R886" s="4"/>
      <c r="S886" s="4"/>
      <c r="T886" s="4"/>
      <c r="U886" s="4"/>
      <c r="V886" s="4"/>
      <c r="W886" s="4"/>
      <c r="X886" s="4"/>
    </row>
    <row x14ac:dyDescent="0.25" r="887" customHeight="1" ht="12.75">
      <c r="A887" s="4"/>
      <c r="B887" s="29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29"/>
      <c r="N887" s="29"/>
      <c r="O887" s="29"/>
      <c r="P887" s="32"/>
      <c r="Q887" s="32"/>
      <c r="R887" s="4"/>
      <c r="S887" s="4"/>
      <c r="T887" s="4"/>
      <c r="U887" s="4"/>
      <c r="V887" s="4"/>
      <c r="W887" s="4"/>
      <c r="X887" s="4"/>
    </row>
    <row x14ac:dyDescent="0.25" r="888" customHeight="1" ht="12.75">
      <c r="A888" s="4"/>
      <c r="B888" s="29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29"/>
      <c r="N888" s="29"/>
      <c r="O888" s="29"/>
      <c r="P888" s="32"/>
      <c r="Q888" s="32"/>
      <c r="R888" s="4"/>
      <c r="S888" s="4"/>
      <c r="T888" s="4"/>
      <c r="U888" s="4"/>
      <c r="V888" s="4"/>
      <c r="W888" s="4"/>
      <c r="X888" s="4"/>
    </row>
    <row x14ac:dyDescent="0.25" r="889" customHeight="1" ht="12.75">
      <c r="A889" s="4"/>
      <c r="B889" s="29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29"/>
      <c r="N889" s="29"/>
      <c r="O889" s="29"/>
      <c r="P889" s="32"/>
      <c r="Q889" s="32"/>
      <c r="R889" s="4"/>
      <c r="S889" s="4"/>
      <c r="T889" s="4"/>
      <c r="U889" s="4"/>
      <c r="V889" s="4"/>
      <c r="W889" s="4"/>
      <c r="X889" s="4"/>
    </row>
    <row x14ac:dyDescent="0.25" r="890" customHeight="1" ht="12.75">
      <c r="A890" s="4"/>
      <c r="B890" s="29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29"/>
      <c r="N890" s="29"/>
      <c r="O890" s="29"/>
      <c r="P890" s="32"/>
      <c r="Q890" s="32"/>
      <c r="R890" s="4"/>
      <c r="S890" s="4"/>
      <c r="T890" s="4"/>
      <c r="U890" s="4"/>
      <c r="V890" s="4"/>
      <c r="W890" s="4"/>
      <c r="X890" s="4"/>
    </row>
    <row x14ac:dyDescent="0.25" r="891" customHeight="1" ht="12.75">
      <c r="A891" s="4"/>
      <c r="B891" s="29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29"/>
      <c r="N891" s="29"/>
      <c r="O891" s="29"/>
      <c r="P891" s="32"/>
      <c r="Q891" s="32"/>
      <c r="R891" s="4"/>
      <c r="S891" s="4"/>
      <c r="T891" s="4"/>
      <c r="U891" s="4"/>
      <c r="V891" s="4"/>
      <c r="W891" s="4"/>
      <c r="X891" s="4"/>
    </row>
    <row x14ac:dyDescent="0.25" r="892" customHeight="1" ht="12.75">
      <c r="A892" s="4"/>
      <c r="B892" s="29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29"/>
      <c r="N892" s="29"/>
      <c r="O892" s="29"/>
      <c r="P892" s="32"/>
      <c r="Q892" s="32"/>
      <c r="R892" s="4"/>
      <c r="S892" s="4"/>
      <c r="T892" s="4"/>
      <c r="U892" s="4"/>
      <c r="V892" s="4"/>
      <c r="W892" s="4"/>
      <c r="X892" s="4"/>
    </row>
    <row x14ac:dyDescent="0.25" r="893" customHeight="1" ht="12.75">
      <c r="A893" s="4"/>
      <c r="B893" s="29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29"/>
      <c r="N893" s="29"/>
      <c r="O893" s="29"/>
      <c r="P893" s="32"/>
      <c r="Q893" s="32"/>
      <c r="R893" s="4"/>
      <c r="S893" s="4"/>
      <c r="T893" s="4"/>
      <c r="U893" s="4"/>
      <c r="V893" s="4"/>
      <c r="W893" s="4"/>
      <c r="X893" s="4"/>
    </row>
    <row x14ac:dyDescent="0.25" r="894" customHeight="1" ht="12.75">
      <c r="A894" s="4"/>
      <c r="B894" s="29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29"/>
      <c r="N894" s="29"/>
      <c r="O894" s="29"/>
      <c r="P894" s="32"/>
      <c r="Q894" s="32"/>
      <c r="R894" s="4"/>
      <c r="S894" s="4"/>
      <c r="T894" s="4"/>
      <c r="U894" s="4"/>
      <c r="V894" s="4"/>
      <c r="W894" s="4"/>
      <c r="X894" s="4"/>
    </row>
    <row x14ac:dyDescent="0.25" r="895" customHeight="1" ht="12.75">
      <c r="A895" s="4"/>
      <c r="B895" s="29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29"/>
      <c r="N895" s="29"/>
      <c r="O895" s="29"/>
      <c r="P895" s="32"/>
      <c r="Q895" s="32"/>
      <c r="R895" s="4"/>
      <c r="S895" s="4"/>
      <c r="T895" s="4"/>
      <c r="U895" s="4"/>
      <c r="V895" s="4"/>
      <c r="W895" s="4"/>
      <c r="X895" s="4"/>
    </row>
    <row x14ac:dyDescent="0.25" r="896" customHeight="1" ht="12.75">
      <c r="A896" s="4"/>
      <c r="B896" s="29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29"/>
      <c r="N896" s="29"/>
      <c r="O896" s="29"/>
      <c r="P896" s="32"/>
      <c r="Q896" s="32"/>
      <c r="R896" s="4"/>
      <c r="S896" s="4"/>
      <c r="T896" s="4"/>
      <c r="U896" s="4"/>
      <c r="V896" s="4"/>
      <c r="W896" s="4"/>
      <c r="X896" s="4"/>
    </row>
    <row x14ac:dyDescent="0.25" r="897" customHeight="1" ht="12.75">
      <c r="A897" s="4"/>
      <c r="B897" s="29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29"/>
      <c r="N897" s="29"/>
      <c r="O897" s="29"/>
      <c r="P897" s="32"/>
      <c r="Q897" s="32"/>
      <c r="R897" s="4"/>
      <c r="S897" s="4"/>
      <c r="T897" s="4"/>
      <c r="U897" s="4"/>
      <c r="V897" s="4"/>
      <c r="W897" s="4"/>
      <c r="X897" s="4"/>
    </row>
    <row x14ac:dyDescent="0.25" r="898" customHeight="1" ht="12.75">
      <c r="A898" s="4"/>
      <c r="B898" s="29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29"/>
      <c r="N898" s="29"/>
      <c r="O898" s="29"/>
      <c r="P898" s="32"/>
      <c r="Q898" s="32"/>
      <c r="R898" s="4"/>
      <c r="S898" s="4"/>
      <c r="T898" s="4"/>
      <c r="U898" s="4"/>
      <c r="V898" s="4"/>
      <c r="W898" s="4"/>
      <c r="X898" s="4"/>
    </row>
    <row x14ac:dyDescent="0.25" r="899" customHeight="1" ht="12.75">
      <c r="A899" s="4"/>
      <c r="B899" s="29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29"/>
      <c r="N899" s="29"/>
      <c r="O899" s="29"/>
      <c r="P899" s="32"/>
      <c r="Q899" s="32"/>
      <c r="R899" s="4"/>
      <c r="S899" s="4"/>
      <c r="T899" s="4"/>
      <c r="U899" s="4"/>
      <c r="V899" s="4"/>
      <c r="W899" s="4"/>
      <c r="X899" s="4"/>
    </row>
    <row x14ac:dyDescent="0.25" r="900" customHeight="1" ht="12.75">
      <c r="A900" s="4"/>
      <c r="B900" s="29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29"/>
      <c r="N900" s="29"/>
      <c r="O900" s="29"/>
      <c r="P900" s="32"/>
      <c r="Q900" s="32"/>
      <c r="R900" s="4"/>
      <c r="S900" s="4"/>
      <c r="T900" s="4"/>
      <c r="U900" s="4"/>
      <c r="V900" s="4"/>
      <c r="W900" s="4"/>
      <c r="X900" s="4"/>
    </row>
    <row x14ac:dyDescent="0.25" r="901" customHeight="1" ht="12.75">
      <c r="A901" s="4"/>
      <c r="B901" s="29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29"/>
      <c r="N901" s="29"/>
      <c r="O901" s="29"/>
      <c r="P901" s="32"/>
      <c r="Q901" s="32"/>
      <c r="R901" s="4"/>
      <c r="S901" s="4"/>
      <c r="T901" s="4"/>
      <c r="U901" s="4"/>
      <c r="V901" s="4"/>
      <c r="W901" s="4"/>
      <c r="X901" s="4"/>
    </row>
    <row x14ac:dyDescent="0.25" r="902" customHeight="1" ht="12.75">
      <c r="A902" s="4"/>
      <c r="B902" s="29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29"/>
      <c r="N902" s="29"/>
      <c r="O902" s="29"/>
      <c r="P902" s="32"/>
      <c r="Q902" s="32"/>
      <c r="R902" s="4"/>
      <c r="S902" s="4"/>
      <c r="T902" s="4"/>
      <c r="U902" s="4"/>
      <c r="V902" s="4"/>
      <c r="W902" s="4"/>
      <c r="X902" s="4"/>
    </row>
    <row x14ac:dyDescent="0.25" r="903" customHeight="1" ht="12.75">
      <c r="A903" s="4"/>
      <c r="B903" s="29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29"/>
      <c r="N903" s="29"/>
      <c r="O903" s="29"/>
      <c r="P903" s="32"/>
      <c r="Q903" s="32"/>
      <c r="R903" s="4"/>
      <c r="S903" s="4"/>
      <c r="T903" s="4"/>
      <c r="U903" s="4"/>
      <c r="V903" s="4"/>
      <c r="W903" s="4"/>
      <c r="X903" s="4"/>
    </row>
    <row x14ac:dyDescent="0.25" r="904" customHeight="1" ht="12.75">
      <c r="A904" s="4"/>
      <c r="B904" s="29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29"/>
      <c r="N904" s="29"/>
      <c r="O904" s="29"/>
      <c r="P904" s="32"/>
      <c r="Q904" s="32"/>
      <c r="R904" s="4"/>
      <c r="S904" s="4"/>
      <c r="T904" s="4"/>
      <c r="U904" s="4"/>
      <c r="V904" s="4"/>
      <c r="W904" s="4"/>
      <c r="X904" s="4"/>
    </row>
    <row x14ac:dyDescent="0.25" r="905" customHeight="1" ht="12.75">
      <c r="A905" s="4"/>
      <c r="B905" s="29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29"/>
      <c r="N905" s="29"/>
      <c r="O905" s="29"/>
      <c r="P905" s="32"/>
      <c r="Q905" s="32"/>
      <c r="R905" s="4"/>
      <c r="S905" s="4"/>
      <c r="T905" s="4"/>
      <c r="U905" s="4"/>
      <c r="V905" s="4"/>
      <c r="W905" s="4"/>
      <c r="X905" s="4"/>
    </row>
    <row x14ac:dyDescent="0.25" r="906" customHeight="1" ht="12.75">
      <c r="A906" s="4"/>
      <c r="B906" s="29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29"/>
      <c r="N906" s="29"/>
      <c r="O906" s="29"/>
      <c r="P906" s="32"/>
      <c r="Q906" s="32"/>
      <c r="R906" s="4"/>
      <c r="S906" s="4"/>
      <c r="T906" s="4"/>
      <c r="U906" s="4"/>
      <c r="V906" s="4"/>
      <c r="W906" s="4"/>
      <c r="X906" s="4"/>
    </row>
    <row x14ac:dyDescent="0.25" r="907" customHeight="1" ht="12.75">
      <c r="A907" s="4"/>
      <c r="B907" s="29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29"/>
      <c r="N907" s="29"/>
      <c r="O907" s="29"/>
      <c r="P907" s="32"/>
      <c r="Q907" s="32"/>
      <c r="R907" s="4"/>
      <c r="S907" s="4"/>
      <c r="T907" s="4"/>
      <c r="U907" s="4"/>
      <c r="V907" s="4"/>
      <c r="W907" s="4"/>
      <c r="X907" s="4"/>
    </row>
    <row x14ac:dyDescent="0.25" r="908" customHeight="1" ht="12.75">
      <c r="A908" s="4"/>
      <c r="B908" s="29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29"/>
      <c r="N908" s="29"/>
      <c r="O908" s="29"/>
      <c r="P908" s="32"/>
      <c r="Q908" s="32"/>
      <c r="R908" s="4"/>
      <c r="S908" s="4"/>
      <c r="T908" s="4"/>
      <c r="U908" s="4"/>
      <c r="V908" s="4"/>
      <c r="W908" s="4"/>
      <c r="X908" s="4"/>
    </row>
    <row x14ac:dyDescent="0.25" r="909" customHeight="1" ht="12.75">
      <c r="A909" s="4"/>
      <c r="B909" s="29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29"/>
      <c r="N909" s="29"/>
      <c r="O909" s="29"/>
      <c r="P909" s="32"/>
      <c r="Q909" s="32"/>
      <c r="R909" s="4"/>
      <c r="S909" s="4"/>
      <c r="T909" s="4"/>
      <c r="U909" s="4"/>
      <c r="V909" s="4"/>
      <c r="W909" s="4"/>
      <c r="X909" s="4"/>
    </row>
    <row x14ac:dyDescent="0.25" r="910" customHeight="1" ht="12.75">
      <c r="A910" s="4"/>
      <c r="B910" s="29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29"/>
      <c r="N910" s="29"/>
      <c r="O910" s="29"/>
      <c r="P910" s="32"/>
      <c r="Q910" s="32"/>
      <c r="R910" s="4"/>
      <c r="S910" s="4"/>
      <c r="T910" s="4"/>
      <c r="U910" s="4"/>
      <c r="V910" s="4"/>
      <c r="W910" s="4"/>
      <c r="X910" s="4"/>
    </row>
    <row x14ac:dyDescent="0.25" r="911" customHeight="1" ht="12.75">
      <c r="A911" s="4"/>
      <c r="B911" s="29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29"/>
      <c r="N911" s="29"/>
      <c r="O911" s="29"/>
      <c r="P911" s="32"/>
      <c r="Q911" s="32"/>
      <c r="R911" s="4"/>
      <c r="S911" s="4"/>
      <c r="T911" s="4"/>
      <c r="U911" s="4"/>
      <c r="V911" s="4"/>
      <c r="W911" s="4"/>
      <c r="X911" s="4"/>
    </row>
    <row x14ac:dyDescent="0.25" r="912" customHeight="1" ht="12.75">
      <c r="A912" s="4"/>
      <c r="B912" s="29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29"/>
      <c r="N912" s="29"/>
      <c r="O912" s="29"/>
      <c r="P912" s="32"/>
      <c r="Q912" s="32"/>
      <c r="R912" s="4"/>
      <c r="S912" s="4"/>
      <c r="T912" s="4"/>
      <c r="U912" s="4"/>
      <c r="V912" s="4"/>
      <c r="W912" s="4"/>
      <c r="X912" s="4"/>
    </row>
    <row x14ac:dyDescent="0.25" r="913" customHeight="1" ht="12.75">
      <c r="A913" s="4"/>
      <c r="B913" s="29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29"/>
      <c r="N913" s="29"/>
      <c r="O913" s="29"/>
      <c r="P913" s="32"/>
      <c r="Q913" s="32"/>
      <c r="R913" s="4"/>
      <c r="S913" s="4"/>
      <c r="T913" s="4"/>
      <c r="U913" s="4"/>
      <c r="V913" s="4"/>
      <c r="W913" s="4"/>
      <c r="X913" s="4"/>
    </row>
    <row x14ac:dyDescent="0.25" r="914" customHeight="1" ht="12.75">
      <c r="A914" s="4"/>
      <c r="B914" s="29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29"/>
      <c r="N914" s="29"/>
      <c r="O914" s="29"/>
      <c r="P914" s="32"/>
      <c r="Q914" s="32"/>
      <c r="R914" s="4"/>
      <c r="S914" s="4"/>
      <c r="T914" s="4"/>
      <c r="U914" s="4"/>
      <c r="V914" s="4"/>
      <c r="W914" s="4"/>
      <c r="X914" s="4"/>
    </row>
    <row x14ac:dyDescent="0.25" r="915" customHeight="1" ht="12.75">
      <c r="A915" s="4"/>
      <c r="B915" s="29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29"/>
      <c r="N915" s="29"/>
      <c r="O915" s="29"/>
      <c r="P915" s="32"/>
      <c r="Q915" s="32"/>
      <c r="R915" s="4"/>
      <c r="S915" s="4"/>
      <c r="T915" s="4"/>
      <c r="U915" s="4"/>
      <c r="V915" s="4"/>
      <c r="W915" s="4"/>
      <c r="X915" s="4"/>
    </row>
    <row x14ac:dyDescent="0.25" r="916" customHeight="1" ht="12.75">
      <c r="A916" s="4"/>
      <c r="B916" s="29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29"/>
      <c r="N916" s="29"/>
      <c r="O916" s="29"/>
      <c r="P916" s="32"/>
      <c r="Q916" s="32"/>
      <c r="R916" s="4"/>
      <c r="S916" s="4"/>
      <c r="T916" s="4"/>
      <c r="U916" s="4"/>
      <c r="V916" s="4"/>
      <c r="W916" s="4"/>
      <c r="X916" s="4"/>
    </row>
    <row x14ac:dyDescent="0.25" r="917" customHeight="1" ht="12.75">
      <c r="A917" s="4"/>
      <c r="B917" s="29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29"/>
      <c r="N917" s="29"/>
      <c r="O917" s="29"/>
      <c r="P917" s="32"/>
      <c r="Q917" s="32"/>
      <c r="R917" s="4"/>
      <c r="S917" s="4"/>
      <c r="T917" s="4"/>
      <c r="U917" s="4"/>
      <c r="V917" s="4"/>
      <c r="W917" s="4"/>
      <c r="X917" s="4"/>
    </row>
    <row x14ac:dyDescent="0.25" r="918" customHeight="1" ht="12.75">
      <c r="A918" s="4"/>
      <c r="B918" s="29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29"/>
      <c r="N918" s="29"/>
      <c r="O918" s="29"/>
      <c r="P918" s="32"/>
      <c r="Q918" s="32"/>
      <c r="R918" s="4"/>
      <c r="S918" s="4"/>
      <c r="T918" s="4"/>
      <c r="U918" s="4"/>
      <c r="V918" s="4"/>
      <c r="W918" s="4"/>
      <c r="X918" s="4"/>
    </row>
    <row x14ac:dyDescent="0.25" r="919" customHeight="1" ht="12.75">
      <c r="A919" s="4"/>
      <c r="B919" s="29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29"/>
      <c r="N919" s="29"/>
      <c r="O919" s="29"/>
      <c r="P919" s="32"/>
      <c r="Q919" s="32"/>
      <c r="R919" s="4"/>
      <c r="S919" s="4"/>
      <c r="T919" s="4"/>
      <c r="U919" s="4"/>
      <c r="V919" s="4"/>
      <c r="W919" s="4"/>
      <c r="X919" s="4"/>
    </row>
    <row x14ac:dyDescent="0.25" r="920" customHeight="1" ht="12.75">
      <c r="A920" s="4"/>
      <c r="B920" s="29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29"/>
      <c r="N920" s="29"/>
      <c r="O920" s="29"/>
      <c r="P920" s="32"/>
      <c r="Q920" s="32"/>
      <c r="R920" s="4"/>
      <c r="S920" s="4"/>
      <c r="T920" s="4"/>
      <c r="U920" s="4"/>
      <c r="V920" s="4"/>
      <c r="W920" s="4"/>
      <c r="X920" s="4"/>
    </row>
    <row x14ac:dyDescent="0.25" r="921" customHeight="1" ht="12.75">
      <c r="A921" s="4"/>
      <c r="B921" s="29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29"/>
      <c r="N921" s="29"/>
      <c r="O921" s="29"/>
      <c r="P921" s="32"/>
      <c r="Q921" s="32"/>
      <c r="R921" s="4"/>
      <c r="S921" s="4"/>
      <c r="T921" s="4"/>
      <c r="U921" s="4"/>
      <c r="V921" s="4"/>
      <c r="W921" s="4"/>
      <c r="X921" s="4"/>
    </row>
    <row x14ac:dyDescent="0.25" r="922" customHeight="1" ht="12.75">
      <c r="A922" s="4"/>
      <c r="B922" s="29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29"/>
      <c r="N922" s="29"/>
      <c r="O922" s="29"/>
      <c r="P922" s="32"/>
      <c r="Q922" s="32"/>
      <c r="R922" s="4"/>
      <c r="S922" s="4"/>
      <c r="T922" s="4"/>
      <c r="U922" s="4"/>
      <c r="V922" s="4"/>
      <c r="W922" s="4"/>
      <c r="X922" s="4"/>
    </row>
    <row x14ac:dyDescent="0.25" r="923" customHeight="1" ht="12.75">
      <c r="A923" s="4"/>
      <c r="B923" s="29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29"/>
      <c r="N923" s="29"/>
      <c r="O923" s="29"/>
      <c r="P923" s="32"/>
      <c r="Q923" s="32"/>
      <c r="R923" s="4"/>
      <c r="S923" s="4"/>
      <c r="T923" s="4"/>
      <c r="U923" s="4"/>
      <c r="V923" s="4"/>
      <c r="W923" s="4"/>
      <c r="X923" s="4"/>
    </row>
    <row x14ac:dyDescent="0.25" r="924" customHeight="1" ht="12.75">
      <c r="A924" s="4"/>
      <c r="B924" s="29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29"/>
      <c r="N924" s="29"/>
      <c r="O924" s="29"/>
      <c r="P924" s="32"/>
      <c r="Q924" s="32"/>
      <c r="R924" s="4"/>
      <c r="S924" s="4"/>
      <c r="T924" s="4"/>
      <c r="U924" s="4"/>
      <c r="V924" s="4"/>
      <c r="W924" s="4"/>
      <c r="X924" s="4"/>
    </row>
    <row x14ac:dyDescent="0.25" r="925" customHeight="1" ht="12.75">
      <c r="A925" s="4"/>
      <c r="B925" s="29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29"/>
      <c r="N925" s="29"/>
      <c r="O925" s="29"/>
      <c r="P925" s="32"/>
      <c r="Q925" s="32"/>
      <c r="R925" s="4"/>
      <c r="S925" s="4"/>
      <c r="T925" s="4"/>
      <c r="U925" s="4"/>
      <c r="V925" s="4"/>
      <c r="W925" s="4"/>
      <c r="X925" s="4"/>
    </row>
    <row x14ac:dyDescent="0.25" r="926" customHeight="1" ht="12.75">
      <c r="A926" s="4"/>
      <c r="B926" s="29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29"/>
      <c r="N926" s="29"/>
      <c r="O926" s="29"/>
      <c r="P926" s="32"/>
      <c r="Q926" s="32"/>
      <c r="R926" s="4"/>
      <c r="S926" s="4"/>
      <c r="T926" s="4"/>
      <c r="U926" s="4"/>
      <c r="V926" s="4"/>
      <c r="W926" s="4"/>
      <c r="X926" s="4"/>
    </row>
    <row x14ac:dyDescent="0.25" r="927" customHeight="1" ht="12.75">
      <c r="A927" s="4"/>
      <c r="B927" s="29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29"/>
      <c r="N927" s="29"/>
      <c r="O927" s="29"/>
      <c r="P927" s="32"/>
      <c r="Q927" s="32"/>
      <c r="R927" s="4"/>
      <c r="S927" s="4"/>
      <c r="T927" s="4"/>
      <c r="U927" s="4"/>
      <c r="V927" s="4"/>
      <c r="W927" s="4"/>
      <c r="X927" s="4"/>
    </row>
    <row x14ac:dyDescent="0.25" r="928" customHeight="1" ht="12.75">
      <c r="A928" s="4"/>
      <c r="B928" s="29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29"/>
      <c r="N928" s="29"/>
      <c r="O928" s="29"/>
      <c r="P928" s="32"/>
      <c r="Q928" s="32"/>
      <c r="R928" s="4"/>
      <c r="S928" s="4"/>
      <c r="T928" s="4"/>
      <c r="U928" s="4"/>
      <c r="V928" s="4"/>
      <c r="W928" s="4"/>
      <c r="X928" s="4"/>
    </row>
    <row x14ac:dyDescent="0.25" r="929" customHeight="1" ht="12.75">
      <c r="A929" s="4"/>
      <c r="B929" s="29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29"/>
      <c r="N929" s="29"/>
      <c r="O929" s="29"/>
      <c r="P929" s="32"/>
      <c r="Q929" s="32"/>
      <c r="R929" s="4"/>
      <c r="S929" s="4"/>
      <c r="T929" s="4"/>
      <c r="U929" s="4"/>
      <c r="V929" s="4"/>
      <c r="W929" s="4"/>
      <c r="X929" s="4"/>
    </row>
    <row x14ac:dyDescent="0.25" r="930" customHeight="1" ht="12.75">
      <c r="A930" s="4"/>
      <c r="B930" s="29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29"/>
      <c r="N930" s="29"/>
      <c r="O930" s="29"/>
      <c r="P930" s="32"/>
      <c r="Q930" s="32"/>
      <c r="R930" s="4"/>
      <c r="S930" s="4"/>
      <c r="T930" s="4"/>
      <c r="U930" s="4"/>
      <c r="V930" s="4"/>
      <c r="W930" s="4"/>
      <c r="X930" s="4"/>
    </row>
    <row x14ac:dyDescent="0.25" r="931" customHeight="1" ht="12.75">
      <c r="A931" s="4"/>
      <c r="B931" s="29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29"/>
      <c r="N931" s="29"/>
      <c r="O931" s="29"/>
      <c r="P931" s="32"/>
      <c r="Q931" s="32"/>
      <c r="R931" s="4"/>
      <c r="S931" s="4"/>
      <c r="T931" s="4"/>
      <c r="U931" s="4"/>
      <c r="V931" s="4"/>
      <c r="W931" s="4"/>
      <c r="X931" s="4"/>
    </row>
    <row x14ac:dyDescent="0.25" r="932" customHeight="1" ht="12.75">
      <c r="A932" s="4"/>
      <c r="B932" s="29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29"/>
      <c r="N932" s="29"/>
      <c r="O932" s="29"/>
      <c r="P932" s="32"/>
      <c r="Q932" s="32"/>
      <c r="R932" s="4"/>
      <c r="S932" s="4"/>
      <c r="T932" s="4"/>
      <c r="U932" s="4"/>
      <c r="V932" s="4"/>
      <c r="W932" s="4"/>
      <c r="X932" s="4"/>
    </row>
    <row x14ac:dyDescent="0.25" r="933" customHeight="1" ht="12.75">
      <c r="A933" s="4"/>
      <c r="B933" s="29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29"/>
      <c r="N933" s="29"/>
      <c r="O933" s="29"/>
      <c r="P933" s="32"/>
      <c r="Q933" s="32"/>
      <c r="R933" s="4"/>
      <c r="S933" s="4"/>
      <c r="T933" s="4"/>
      <c r="U933" s="4"/>
      <c r="V933" s="4"/>
      <c r="W933" s="4"/>
      <c r="X933" s="4"/>
    </row>
    <row x14ac:dyDescent="0.25" r="934" customHeight="1" ht="12.75">
      <c r="A934" s="4"/>
      <c r="B934" s="29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29"/>
      <c r="N934" s="29"/>
      <c r="O934" s="29"/>
      <c r="P934" s="32"/>
      <c r="Q934" s="32"/>
      <c r="R934" s="4"/>
      <c r="S934" s="4"/>
      <c r="T934" s="4"/>
      <c r="U934" s="4"/>
      <c r="V934" s="4"/>
      <c r="W934" s="4"/>
      <c r="X934" s="4"/>
    </row>
    <row x14ac:dyDescent="0.25" r="935" customHeight="1" ht="12.75">
      <c r="A935" s="4"/>
      <c r="B935" s="29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29"/>
      <c r="N935" s="29"/>
      <c r="O935" s="29"/>
      <c r="P935" s="32"/>
      <c r="Q935" s="32"/>
      <c r="R935" s="4"/>
      <c r="S935" s="4"/>
      <c r="T935" s="4"/>
      <c r="U935" s="4"/>
      <c r="V935" s="4"/>
      <c r="W935" s="4"/>
      <c r="X935" s="4"/>
    </row>
    <row x14ac:dyDescent="0.25" r="936" customHeight="1" ht="12.75">
      <c r="A936" s="4"/>
      <c r="B936" s="29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29"/>
      <c r="N936" s="29"/>
      <c r="O936" s="29"/>
      <c r="P936" s="32"/>
      <c r="Q936" s="32"/>
      <c r="R936" s="4"/>
      <c r="S936" s="4"/>
      <c r="T936" s="4"/>
      <c r="U936" s="4"/>
      <c r="V936" s="4"/>
      <c r="W936" s="4"/>
      <c r="X936" s="4"/>
    </row>
    <row x14ac:dyDescent="0.25" r="937" customHeight="1" ht="12.75">
      <c r="A937" s="4"/>
      <c r="B937" s="29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29"/>
      <c r="N937" s="29"/>
      <c r="O937" s="29"/>
      <c r="P937" s="32"/>
      <c r="Q937" s="32"/>
      <c r="R937" s="4"/>
      <c r="S937" s="4"/>
      <c r="T937" s="4"/>
      <c r="U937" s="4"/>
      <c r="V937" s="4"/>
      <c r="W937" s="4"/>
      <c r="X937" s="4"/>
    </row>
    <row x14ac:dyDescent="0.25" r="938" customHeight="1" ht="12.75">
      <c r="A938" s="4"/>
      <c r="B938" s="29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29"/>
      <c r="N938" s="29"/>
      <c r="O938" s="29"/>
      <c r="P938" s="32"/>
      <c r="Q938" s="32"/>
      <c r="R938" s="4"/>
      <c r="S938" s="4"/>
      <c r="T938" s="4"/>
      <c r="U938" s="4"/>
      <c r="V938" s="4"/>
      <c r="W938" s="4"/>
      <c r="X938" s="4"/>
    </row>
    <row x14ac:dyDescent="0.25" r="939" customHeight="1" ht="12.75">
      <c r="A939" s="4"/>
      <c r="B939" s="29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29"/>
      <c r="N939" s="29"/>
      <c r="O939" s="29"/>
      <c r="P939" s="32"/>
      <c r="Q939" s="32"/>
      <c r="R939" s="4"/>
      <c r="S939" s="4"/>
      <c r="T939" s="4"/>
      <c r="U939" s="4"/>
      <c r="V939" s="4"/>
      <c r="W939" s="4"/>
      <c r="X939" s="4"/>
    </row>
    <row x14ac:dyDescent="0.25" r="940" customHeight="1" ht="12.75">
      <c r="A940" s="4"/>
      <c r="B940" s="29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29"/>
      <c r="N940" s="29"/>
      <c r="O940" s="29"/>
      <c r="P940" s="32"/>
      <c r="Q940" s="32"/>
      <c r="R940" s="4"/>
      <c r="S940" s="4"/>
      <c r="T940" s="4"/>
      <c r="U940" s="4"/>
      <c r="V940" s="4"/>
      <c r="W940" s="4"/>
      <c r="X940" s="4"/>
    </row>
    <row x14ac:dyDescent="0.25" r="941" customHeight="1" ht="12.75">
      <c r="A941" s="4"/>
      <c r="B941" s="29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29"/>
      <c r="N941" s="29"/>
      <c r="O941" s="29"/>
      <c r="P941" s="32"/>
      <c r="Q941" s="32"/>
      <c r="R941" s="4"/>
      <c r="S941" s="4"/>
      <c r="T941" s="4"/>
      <c r="U941" s="4"/>
      <c r="V941" s="4"/>
      <c r="W941" s="4"/>
      <c r="X941" s="4"/>
    </row>
    <row x14ac:dyDescent="0.25" r="942" customHeight="1" ht="12.75">
      <c r="A942" s="4"/>
      <c r="B942" s="29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29"/>
      <c r="N942" s="29"/>
      <c r="O942" s="29"/>
      <c r="P942" s="32"/>
      <c r="Q942" s="32"/>
      <c r="R942" s="4"/>
      <c r="S942" s="4"/>
      <c r="T942" s="4"/>
      <c r="U942" s="4"/>
      <c r="V942" s="4"/>
      <c r="W942" s="4"/>
      <c r="X942" s="4"/>
    </row>
    <row x14ac:dyDescent="0.25" r="943" customHeight="1" ht="12.75">
      <c r="A943" s="4"/>
      <c r="B943" s="29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29"/>
      <c r="N943" s="29"/>
      <c r="O943" s="29"/>
      <c r="P943" s="32"/>
      <c r="Q943" s="32"/>
      <c r="R943" s="4"/>
      <c r="S943" s="4"/>
      <c r="T943" s="4"/>
      <c r="U943" s="4"/>
      <c r="V943" s="4"/>
      <c r="W943" s="4"/>
      <c r="X943" s="4"/>
    </row>
    <row x14ac:dyDescent="0.25" r="944" customHeight="1" ht="12.75">
      <c r="A944" s="4"/>
      <c r="B944" s="29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29"/>
      <c r="N944" s="29"/>
      <c r="O944" s="29"/>
      <c r="P944" s="32"/>
      <c r="Q944" s="32"/>
      <c r="R944" s="4"/>
      <c r="S944" s="4"/>
      <c r="T944" s="4"/>
      <c r="U944" s="4"/>
      <c r="V944" s="4"/>
      <c r="W944" s="4"/>
      <c r="X944" s="4"/>
    </row>
    <row x14ac:dyDescent="0.25" r="945" customHeight="1" ht="12.75">
      <c r="A945" s="4"/>
      <c r="B945" s="29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29"/>
      <c r="N945" s="29"/>
      <c r="O945" s="29"/>
      <c r="P945" s="32"/>
      <c r="Q945" s="32"/>
      <c r="R945" s="4"/>
      <c r="S945" s="4"/>
      <c r="T945" s="4"/>
      <c r="U945" s="4"/>
      <c r="V945" s="4"/>
      <c r="W945" s="4"/>
      <c r="X945" s="4"/>
    </row>
    <row x14ac:dyDescent="0.25" r="946" customHeight="1" ht="12.75">
      <c r="A946" s="4"/>
      <c r="B946" s="29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29"/>
      <c r="N946" s="29"/>
      <c r="O946" s="29"/>
      <c r="P946" s="32"/>
      <c r="Q946" s="32"/>
      <c r="R946" s="4"/>
      <c r="S946" s="4"/>
      <c r="T946" s="4"/>
      <c r="U946" s="4"/>
      <c r="V946" s="4"/>
      <c r="W946" s="4"/>
      <c r="X946" s="4"/>
    </row>
    <row x14ac:dyDescent="0.25" r="947" customHeight="1" ht="12.75">
      <c r="A947" s="4"/>
      <c r="B947" s="29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29"/>
      <c r="N947" s="29"/>
      <c r="O947" s="29"/>
      <c r="P947" s="32"/>
      <c r="Q947" s="32"/>
      <c r="R947" s="4"/>
      <c r="S947" s="4"/>
      <c r="T947" s="4"/>
      <c r="U947" s="4"/>
      <c r="V947" s="4"/>
      <c r="W947" s="4"/>
      <c r="X947" s="4"/>
    </row>
    <row x14ac:dyDescent="0.25" r="948" customHeight="1" ht="12.75">
      <c r="A948" s="4"/>
      <c r="B948" s="29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29"/>
      <c r="N948" s="29"/>
      <c r="O948" s="29"/>
      <c r="P948" s="32"/>
      <c r="Q948" s="32"/>
      <c r="R948" s="4"/>
      <c r="S948" s="4"/>
      <c r="T948" s="4"/>
      <c r="U948" s="4"/>
      <c r="V948" s="4"/>
      <c r="W948" s="4"/>
      <c r="X948" s="4"/>
    </row>
    <row x14ac:dyDescent="0.25" r="949" customHeight="1" ht="12.75">
      <c r="A949" s="4"/>
      <c r="B949" s="29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29"/>
      <c r="N949" s="29"/>
      <c r="O949" s="29"/>
      <c r="P949" s="32"/>
      <c r="Q949" s="32"/>
      <c r="R949" s="4"/>
      <c r="S949" s="4"/>
      <c r="T949" s="4"/>
      <c r="U949" s="4"/>
      <c r="V949" s="4"/>
      <c r="W949" s="4"/>
      <c r="X949" s="4"/>
    </row>
    <row x14ac:dyDescent="0.25" r="950" customHeight="1" ht="12.75">
      <c r="A950" s="4"/>
      <c r="B950" s="29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29"/>
      <c r="N950" s="29"/>
      <c r="O950" s="29"/>
      <c r="P950" s="32"/>
      <c r="Q950" s="32"/>
      <c r="R950" s="4"/>
      <c r="S950" s="4"/>
      <c r="T950" s="4"/>
      <c r="U950" s="4"/>
      <c r="V950" s="4"/>
      <c r="W950" s="4"/>
      <c r="X950" s="4"/>
    </row>
    <row x14ac:dyDescent="0.25" r="951" customHeight="1" ht="12.75">
      <c r="A951" s="4"/>
      <c r="B951" s="29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29"/>
      <c r="N951" s="29"/>
      <c r="O951" s="29"/>
      <c r="P951" s="32"/>
      <c r="Q951" s="32"/>
      <c r="R951" s="4"/>
      <c r="S951" s="4"/>
      <c r="T951" s="4"/>
      <c r="U951" s="4"/>
      <c r="V951" s="4"/>
      <c r="W951" s="4"/>
      <c r="X951" s="4"/>
    </row>
    <row x14ac:dyDescent="0.25" r="952" customHeight="1" ht="12.75">
      <c r="A952" s="4"/>
      <c r="B952" s="29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29"/>
      <c r="N952" s="29"/>
      <c r="O952" s="29"/>
      <c r="P952" s="32"/>
      <c r="Q952" s="32"/>
      <c r="R952" s="4"/>
      <c r="S952" s="4"/>
      <c r="T952" s="4"/>
      <c r="U952" s="4"/>
      <c r="V952" s="4"/>
      <c r="W952" s="4"/>
      <c r="X952" s="4"/>
    </row>
    <row x14ac:dyDescent="0.25" r="953" customHeight="1" ht="12.75">
      <c r="A953" s="4"/>
      <c r="B953" s="29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29"/>
      <c r="N953" s="29"/>
      <c r="O953" s="29"/>
      <c r="P953" s="32"/>
      <c r="Q953" s="32"/>
      <c r="R953" s="4"/>
      <c r="S953" s="4"/>
      <c r="T953" s="4"/>
      <c r="U953" s="4"/>
      <c r="V953" s="4"/>
      <c r="W953" s="4"/>
      <c r="X953" s="4"/>
    </row>
    <row x14ac:dyDescent="0.25" r="954" customHeight="1" ht="12.75">
      <c r="A954" s="4"/>
      <c r="B954" s="29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29"/>
      <c r="N954" s="29"/>
      <c r="O954" s="29"/>
      <c r="P954" s="32"/>
      <c r="Q954" s="32"/>
      <c r="R954" s="4"/>
      <c r="S954" s="4"/>
      <c r="T954" s="4"/>
      <c r="U954" s="4"/>
      <c r="V954" s="4"/>
      <c r="W954" s="4"/>
      <c r="X954" s="4"/>
    </row>
    <row x14ac:dyDescent="0.25" r="955" customHeight="1" ht="12.75">
      <c r="A955" s="4"/>
      <c r="B955" s="29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29"/>
      <c r="N955" s="29"/>
      <c r="O955" s="29"/>
      <c r="P955" s="32"/>
      <c r="Q955" s="32"/>
      <c r="R955" s="4"/>
      <c r="S955" s="4"/>
      <c r="T955" s="4"/>
      <c r="U955" s="4"/>
      <c r="V955" s="4"/>
      <c r="W955" s="4"/>
      <c r="X955" s="4"/>
    </row>
    <row x14ac:dyDescent="0.25" r="956" customHeight="1" ht="12.75">
      <c r="A956" s="4"/>
      <c r="B956" s="29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29"/>
      <c r="N956" s="29"/>
      <c r="O956" s="29"/>
      <c r="P956" s="32"/>
      <c r="Q956" s="32"/>
      <c r="R956" s="4"/>
      <c r="S956" s="4"/>
      <c r="T956" s="4"/>
      <c r="U956" s="4"/>
      <c r="V956" s="4"/>
      <c r="W956" s="4"/>
      <c r="X956" s="4"/>
    </row>
    <row x14ac:dyDescent="0.25" r="957" customHeight="1" ht="12.75">
      <c r="A957" s="4"/>
      <c r="B957" s="29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29"/>
      <c r="N957" s="29"/>
      <c r="O957" s="29"/>
      <c r="P957" s="32"/>
      <c r="Q957" s="32"/>
      <c r="R957" s="4"/>
      <c r="S957" s="4"/>
      <c r="T957" s="4"/>
      <c r="U957" s="4"/>
      <c r="V957" s="4"/>
      <c r="W957" s="4"/>
      <c r="X957" s="4"/>
    </row>
    <row x14ac:dyDescent="0.25" r="958" customHeight="1" ht="12.75">
      <c r="A958" s="4"/>
      <c r="B958" s="29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29"/>
      <c r="N958" s="29"/>
      <c r="O958" s="29"/>
      <c r="P958" s="32"/>
      <c r="Q958" s="32"/>
      <c r="R958" s="4"/>
      <c r="S958" s="4"/>
      <c r="T958" s="4"/>
      <c r="U958" s="4"/>
      <c r="V958" s="4"/>
      <c r="W958" s="4"/>
      <c r="X958" s="4"/>
    </row>
    <row x14ac:dyDescent="0.25" r="959" customHeight="1" ht="12.75">
      <c r="A959" s="4"/>
      <c r="B959" s="29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29"/>
      <c r="N959" s="29"/>
      <c r="O959" s="29"/>
      <c r="P959" s="32"/>
      <c r="Q959" s="32"/>
      <c r="R959" s="4"/>
      <c r="S959" s="4"/>
      <c r="T959" s="4"/>
      <c r="U959" s="4"/>
      <c r="V959" s="4"/>
      <c r="W959" s="4"/>
      <c r="X959" s="4"/>
    </row>
    <row x14ac:dyDescent="0.25" r="960" customHeight="1" ht="12.75">
      <c r="A960" s="4"/>
      <c r="B960" s="29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29"/>
      <c r="N960" s="29"/>
      <c r="O960" s="29"/>
      <c r="P960" s="32"/>
      <c r="Q960" s="32"/>
      <c r="R960" s="4"/>
      <c r="S960" s="4"/>
      <c r="T960" s="4"/>
      <c r="U960" s="4"/>
      <c r="V960" s="4"/>
      <c r="W960" s="4"/>
      <c r="X960" s="4"/>
    </row>
    <row x14ac:dyDescent="0.25" r="961" customHeight="1" ht="12.75">
      <c r="A961" s="4"/>
      <c r="B961" s="29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29"/>
      <c r="N961" s="29"/>
      <c r="O961" s="29"/>
      <c r="P961" s="32"/>
      <c r="Q961" s="32"/>
      <c r="R961" s="4"/>
      <c r="S961" s="4"/>
      <c r="T961" s="4"/>
      <c r="U961" s="4"/>
      <c r="V961" s="4"/>
      <c r="W961" s="4"/>
      <c r="X961" s="4"/>
    </row>
    <row x14ac:dyDescent="0.25" r="962" customHeight="1" ht="12.75">
      <c r="A962" s="4"/>
      <c r="B962" s="29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29"/>
      <c r="N962" s="29"/>
      <c r="O962" s="29"/>
      <c r="P962" s="32"/>
      <c r="Q962" s="32"/>
      <c r="R962" s="4"/>
      <c r="S962" s="4"/>
      <c r="T962" s="4"/>
      <c r="U962" s="4"/>
      <c r="V962" s="4"/>
      <c r="W962" s="4"/>
      <c r="X962" s="4"/>
    </row>
    <row x14ac:dyDescent="0.25" r="963" customHeight="1" ht="12.75">
      <c r="A963" s="4"/>
      <c r="B963" s="29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29"/>
      <c r="N963" s="29"/>
      <c r="O963" s="29"/>
      <c r="P963" s="32"/>
      <c r="Q963" s="32"/>
      <c r="R963" s="4"/>
      <c r="S963" s="4"/>
      <c r="T963" s="4"/>
      <c r="U963" s="4"/>
      <c r="V963" s="4"/>
      <c r="W963" s="4"/>
      <c r="X963" s="4"/>
    </row>
    <row x14ac:dyDescent="0.25" r="964" customHeight="1" ht="12.75">
      <c r="A964" s="4"/>
      <c r="B964" s="29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29"/>
      <c r="N964" s="29"/>
      <c r="O964" s="29"/>
      <c r="P964" s="32"/>
      <c r="Q964" s="32"/>
      <c r="R964" s="4"/>
      <c r="S964" s="4"/>
      <c r="T964" s="4"/>
      <c r="U964" s="4"/>
      <c r="V964" s="4"/>
      <c r="W964" s="4"/>
      <c r="X964" s="4"/>
    </row>
    <row x14ac:dyDescent="0.25" r="965" customHeight="1" ht="12.75">
      <c r="A965" s="4"/>
      <c r="B965" s="29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29"/>
      <c r="N965" s="29"/>
      <c r="O965" s="29"/>
      <c r="P965" s="32"/>
      <c r="Q965" s="32"/>
      <c r="R965" s="4"/>
      <c r="S965" s="4"/>
      <c r="T965" s="4"/>
      <c r="U965" s="4"/>
      <c r="V965" s="4"/>
      <c r="W965" s="4"/>
      <c r="X965" s="4"/>
    </row>
    <row x14ac:dyDescent="0.25" r="966" customHeight="1" ht="12.75">
      <c r="A966" s="4"/>
      <c r="B966" s="29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29"/>
      <c r="N966" s="29"/>
      <c r="O966" s="29"/>
      <c r="P966" s="32"/>
      <c r="Q966" s="32"/>
      <c r="R966" s="4"/>
      <c r="S966" s="4"/>
      <c r="T966" s="4"/>
      <c r="U966" s="4"/>
      <c r="V966" s="4"/>
      <c r="W966" s="4"/>
      <c r="X966" s="4"/>
    </row>
    <row x14ac:dyDescent="0.25" r="967" customHeight="1" ht="12.75">
      <c r="A967" s="4"/>
      <c r="B967" s="29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29"/>
      <c r="N967" s="29"/>
      <c r="O967" s="29"/>
      <c r="P967" s="32"/>
      <c r="Q967" s="32"/>
      <c r="R967" s="4"/>
      <c r="S967" s="4"/>
      <c r="T967" s="4"/>
      <c r="U967" s="4"/>
      <c r="V967" s="4"/>
      <c r="W967" s="4"/>
      <c r="X967" s="4"/>
    </row>
    <row x14ac:dyDescent="0.25" r="968" customHeight="1" ht="12.75">
      <c r="A968" s="4"/>
      <c r="B968" s="29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29"/>
      <c r="N968" s="29"/>
      <c r="O968" s="29"/>
      <c r="P968" s="32"/>
      <c r="Q968" s="32"/>
      <c r="R968" s="4"/>
      <c r="S968" s="4"/>
      <c r="T968" s="4"/>
      <c r="U968" s="4"/>
      <c r="V968" s="4"/>
      <c r="W968" s="4"/>
      <c r="X968" s="4"/>
    </row>
    <row x14ac:dyDescent="0.25" r="969" customHeight="1" ht="12.75">
      <c r="A969" s="4"/>
      <c r="B969" s="29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29"/>
      <c r="N969" s="29"/>
      <c r="O969" s="29"/>
      <c r="P969" s="32"/>
      <c r="Q969" s="32"/>
      <c r="R969" s="4"/>
      <c r="S969" s="4"/>
      <c r="T969" s="4"/>
      <c r="U969" s="4"/>
      <c r="V969" s="4"/>
      <c r="W969" s="4"/>
      <c r="X969" s="4"/>
    </row>
    <row x14ac:dyDescent="0.25" r="970" customHeight="1" ht="12.75">
      <c r="A970" s="4"/>
      <c r="B970" s="29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29"/>
      <c r="N970" s="29"/>
      <c r="O970" s="29"/>
      <c r="P970" s="32"/>
      <c r="Q970" s="32"/>
      <c r="R970" s="4"/>
      <c r="S970" s="4"/>
      <c r="T970" s="4"/>
      <c r="U970" s="4"/>
      <c r="V970" s="4"/>
      <c r="W970" s="4"/>
      <c r="X970" s="4"/>
    </row>
    <row x14ac:dyDescent="0.25" r="971" customHeight="1" ht="12.75">
      <c r="A971" s="4"/>
      <c r="B971" s="29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29"/>
      <c r="N971" s="29"/>
      <c r="O971" s="29"/>
      <c r="P971" s="32"/>
      <c r="Q971" s="32"/>
      <c r="R971" s="4"/>
      <c r="S971" s="4"/>
      <c r="T971" s="4"/>
      <c r="U971" s="4"/>
      <c r="V971" s="4"/>
      <c r="W971" s="4"/>
      <c r="X971" s="4"/>
    </row>
    <row x14ac:dyDescent="0.25" r="972" customHeight="1" ht="12.75">
      <c r="A972" s="4"/>
      <c r="B972" s="29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29"/>
      <c r="N972" s="29"/>
      <c r="O972" s="29"/>
      <c r="P972" s="32"/>
      <c r="Q972" s="32"/>
      <c r="R972" s="4"/>
      <c r="S972" s="4"/>
      <c r="T972" s="4"/>
      <c r="U972" s="4"/>
      <c r="V972" s="4"/>
      <c r="W972" s="4"/>
      <c r="X972" s="4"/>
    </row>
    <row x14ac:dyDescent="0.25" r="973" customHeight="1" ht="12.75">
      <c r="A973" s="4"/>
      <c r="B973" s="29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29"/>
      <c r="N973" s="29"/>
      <c r="O973" s="29"/>
      <c r="P973" s="32"/>
      <c r="Q973" s="32"/>
      <c r="R973" s="4"/>
      <c r="S973" s="4"/>
      <c r="T973" s="4"/>
      <c r="U973" s="4"/>
      <c r="V973" s="4"/>
      <c r="W973" s="4"/>
      <c r="X973" s="4"/>
    </row>
    <row x14ac:dyDescent="0.25" r="974" customHeight="1" ht="12.75">
      <c r="A974" s="4"/>
      <c r="B974" s="29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29"/>
      <c r="N974" s="29"/>
      <c r="O974" s="29"/>
      <c r="P974" s="32"/>
      <c r="Q974" s="32"/>
      <c r="R974" s="4"/>
      <c r="S974" s="4"/>
      <c r="T974" s="4"/>
      <c r="U974" s="4"/>
      <c r="V974" s="4"/>
      <c r="W974" s="4"/>
      <c r="X974" s="4"/>
    </row>
    <row x14ac:dyDescent="0.25" r="975" customHeight="1" ht="12.75">
      <c r="A975" s="4"/>
      <c r="B975" s="29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29"/>
      <c r="N975" s="29"/>
      <c r="O975" s="29"/>
      <c r="P975" s="32"/>
      <c r="Q975" s="32"/>
      <c r="R975" s="4"/>
      <c r="S975" s="4"/>
      <c r="T975" s="4"/>
      <c r="U975" s="4"/>
      <c r="V975" s="4"/>
      <c r="W975" s="4"/>
      <c r="X975" s="4"/>
    </row>
    <row x14ac:dyDescent="0.25" r="976" customHeight="1" ht="12.75">
      <c r="A976" s="4"/>
      <c r="B976" s="29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29"/>
      <c r="N976" s="29"/>
      <c r="O976" s="29"/>
      <c r="P976" s="32"/>
      <c r="Q976" s="32"/>
      <c r="R976" s="4"/>
      <c r="S976" s="4"/>
      <c r="T976" s="4"/>
      <c r="U976" s="4"/>
      <c r="V976" s="4"/>
      <c r="W976" s="4"/>
      <c r="X976" s="4"/>
    </row>
    <row x14ac:dyDescent="0.25" r="977" customHeight="1" ht="12.75">
      <c r="A977" s="4"/>
      <c r="B977" s="29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29"/>
      <c r="N977" s="29"/>
      <c r="O977" s="29"/>
      <c r="P977" s="32"/>
      <c r="Q977" s="32"/>
      <c r="R977" s="4"/>
      <c r="S977" s="4"/>
      <c r="T977" s="4"/>
      <c r="U977" s="4"/>
      <c r="V977" s="4"/>
      <c r="W977" s="4"/>
      <c r="X977" s="4"/>
    </row>
    <row x14ac:dyDescent="0.25" r="978" customHeight="1" ht="12.75">
      <c r="A978" s="4"/>
      <c r="B978" s="29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29"/>
      <c r="N978" s="29"/>
      <c r="O978" s="29"/>
      <c r="P978" s="32"/>
      <c r="Q978" s="32"/>
      <c r="R978" s="4"/>
      <c r="S978" s="4"/>
      <c r="T978" s="4"/>
      <c r="U978" s="4"/>
      <c r="V978" s="4"/>
      <c r="W978" s="4"/>
      <c r="X978" s="4"/>
    </row>
    <row x14ac:dyDescent="0.25" r="979" customHeight="1" ht="12.75">
      <c r="A979" s="4"/>
      <c r="B979" s="29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29"/>
      <c r="N979" s="29"/>
      <c r="O979" s="29"/>
      <c r="P979" s="32"/>
      <c r="Q979" s="32"/>
      <c r="R979" s="4"/>
      <c r="S979" s="4"/>
      <c r="T979" s="4"/>
      <c r="U979" s="4"/>
      <c r="V979" s="4"/>
      <c r="W979" s="4"/>
      <c r="X979" s="4"/>
    </row>
    <row x14ac:dyDescent="0.25" r="980" customHeight="1" ht="12.75">
      <c r="A980" s="4"/>
      <c r="B980" s="29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29"/>
      <c r="N980" s="29"/>
      <c r="O980" s="29"/>
      <c r="P980" s="32"/>
      <c r="Q980" s="32"/>
      <c r="R980" s="4"/>
      <c r="S980" s="4"/>
      <c r="T980" s="4"/>
      <c r="U980" s="4"/>
      <c r="V980" s="4"/>
      <c r="W980" s="4"/>
      <c r="X980" s="4"/>
    </row>
    <row x14ac:dyDescent="0.25" r="981" customHeight="1" ht="12.75">
      <c r="A981" s="4"/>
      <c r="B981" s="29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29"/>
      <c r="N981" s="29"/>
      <c r="O981" s="29"/>
      <c r="P981" s="32"/>
      <c r="Q981" s="32"/>
      <c r="R981" s="4"/>
      <c r="S981" s="4"/>
      <c r="T981" s="4"/>
      <c r="U981" s="4"/>
      <c r="V981" s="4"/>
      <c r="W981" s="4"/>
      <c r="X981" s="4"/>
    </row>
    <row x14ac:dyDescent="0.25" r="982" customHeight="1" ht="12.75">
      <c r="A982" s="4"/>
      <c r="B982" s="29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29"/>
      <c r="N982" s="29"/>
      <c r="O982" s="29"/>
      <c r="P982" s="32"/>
      <c r="Q982" s="32"/>
      <c r="R982" s="4"/>
      <c r="S982" s="4"/>
      <c r="T982" s="4"/>
      <c r="U982" s="4"/>
      <c r="V982" s="4"/>
      <c r="W982" s="4"/>
      <c r="X982" s="4"/>
    </row>
    <row x14ac:dyDescent="0.25" r="983" customHeight="1" ht="12.75">
      <c r="A983" s="4"/>
      <c r="B983" s="29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29"/>
      <c r="N983" s="29"/>
      <c r="O983" s="29"/>
      <c r="P983" s="32"/>
      <c r="Q983" s="32"/>
      <c r="R983" s="4"/>
      <c r="S983" s="4"/>
      <c r="T983" s="4"/>
      <c r="U983" s="4"/>
      <c r="V983" s="4"/>
      <c r="W983" s="4"/>
      <c r="X983" s="4"/>
    </row>
    <row x14ac:dyDescent="0.25" r="984" customHeight="1" ht="12.75">
      <c r="A984" s="4"/>
      <c r="B984" s="29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29"/>
      <c r="N984" s="29"/>
      <c r="O984" s="29"/>
      <c r="P984" s="32"/>
      <c r="Q984" s="32"/>
      <c r="R984" s="4"/>
      <c r="S984" s="4"/>
      <c r="T984" s="4"/>
      <c r="U984" s="4"/>
      <c r="V984" s="4"/>
      <c r="W984" s="4"/>
      <c r="X984" s="4"/>
    </row>
    <row x14ac:dyDescent="0.25" r="985" customHeight="1" ht="12.75">
      <c r="A985" s="4"/>
      <c r="B985" s="29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29"/>
      <c r="N985" s="29"/>
      <c r="O985" s="29"/>
      <c r="P985" s="32"/>
      <c r="Q985" s="32"/>
      <c r="R985" s="4"/>
      <c r="S985" s="4"/>
      <c r="T985" s="4"/>
      <c r="U985" s="4"/>
      <c r="V985" s="4"/>
      <c r="W985" s="4"/>
      <c r="X985" s="4"/>
    </row>
    <row x14ac:dyDescent="0.25" r="986" customHeight="1" ht="12.75">
      <c r="A986" s="4"/>
      <c r="B986" s="29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29"/>
      <c r="N986" s="29"/>
      <c r="O986" s="29"/>
      <c r="P986" s="32"/>
      <c r="Q986" s="32"/>
      <c r="R986" s="4"/>
      <c r="S986" s="4"/>
      <c r="T986" s="4"/>
      <c r="U986" s="4"/>
      <c r="V986" s="4"/>
      <c r="W986" s="4"/>
      <c r="X986" s="4"/>
    </row>
    <row x14ac:dyDescent="0.25" r="987" customHeight="1" ht="12.75">
      <c r="A987" s="4"/>
      <c r="B987" s="29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29"/>
      <c r="N987" s="29"/>
      <c r="O987" s="29"/>
      <c r="P987" s="32"/>
      <c r="Q987" s="32"/>
      <c r="R987" s="4"/>
      <c r="S987" s="4"/>
      <c r="T987" s="4"/>
      <c r="U987" s="4"/>
      <c r="V987" s="4"/>
      <c r="W987" s="4"/>
      <c r="X987" s="4"/>
    </row>
    <row x14ac:dyDescent="0.25" r="988" customHeight="1" ht="12.75">
      <c r="A988" s="4"/>
      <c r="B988" s="29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29"/>
      <c r="N988" s="29"/>
      <c r="O988" s="29"/>
      <c r="P988" s="32"/>
      <c r="Q988" s="32"/>
      <c r="R988" s="4"/>
      <c r="S988" s="4"/>
      <c r="T988" s="4"/>
      <c r="U988" s="4"/>
      <c r="V988" s="4"/>
      <c r="W988" s="4"/>
      <c r="X988" s="4"/>
    </row>
    <row x14ac:dyDescent="0.25" r="989" customHeight="1" ht="12.75">
      <c r="A989" s="4"/>
      <c r="B989" s="29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29"/>
      <c r="N989" s="29"/>
      <c r="O989" s="29"/>
      <c r="P989" s="32"/>
      <c r="Q989" s="32"/>
      <c r="R989" s="4"/>
      <c r="S989" s="4"/>
      <c r="T989" s="4"/>
      <c r="U989" s="4"/>
      <c r="V989" s="4"/>
      <c r="W989" s="4"/>
      <c r="X989" s="4"/>
    </row>
    <row x14ac:dyDescent="0.25" r="990" customHeight="1" ht="12.75">
      <c r="A990" s="4"/>
      <c r="B990" s="29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29"/>
      <c r="N990" s="29"/>
      <c r="O990" s="29"/>
      <c r="P990" s="32"/>
      <c r="Q990" s="32"/>
      <c r="R990" s="4"/>
      <c r="S990" s="4"/>
      <c r="T990" s="4"/>
      <c r="U990" s="4"/>
      <c r="V990" s="4"/>
      <c r="W990" s="4"/>
      <c r="X990" s="4"/>
    </row>
    <row x14ac:dyDescent="0.25" r="991" customHeight="1" ht="12.75">
      <c r="A991" s="4"/>
      <c r="B991" s="29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29"/>
      <c r="N991" s="29"/>
      <c r="O991" s="29"/>
      <c r="P991" s="32"/>
      <c r="Q991" s="32"/>
      <c r="R991" s="4"/>
      <c r="S991" s="4"/>
      <c r="T991" s="4"/>
      <c r="U991" s="4"/>
      <c r="V991" s="4"/>
      <c r="W991" s="4"/>
      <c r="X991" s="4"/>
    </row>
    <row x14ac:dyDescent="0.25" r="992" customHeight="1" ht="12.75">
      <c r="A992" s="4"/>
      <c r="B992" s="29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29"/>
      <c r="N992" s="29"/>
      <c r="O992" s="29"/>
      <c r="P992" s="32"/>
      <c r="Q992" s="32"/>
      <c r="R992" s="4"/>
      <c r="S992" s="4"/>
      <c r="T992" s="4"/>
      <c r="U992" s="4"/>
      <c r="V992" s="4"/>
      <c r="W992" s="4"/>
      <c r="X992" s="4"/>
    </row>
    <row x14ac:dyDescent="0.25" r="993" customHeight="1" ht="12.75">
      <c r="A993" s="4"/>
      <c r="B993" s="29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29"/>
      <c r="N993" s="29"/>
      <c r="O993" s="29"/>
      <c r="P993" s="32"/>
      <c r="Q993" s="32"/>
      <c r="R993" s="4"/>
      <c r="S993" s="4"/>
      <c r="T993" s="4"/>
      <c r="U993" s="4"/>
      <c r="V993" s="4"/>
      <c r="W993" s="4"/>
      <c r="X993" s="4"/>
    </row>
    <row x14ac:dyDescent="0.25" r="994" customHeight="1" ht="12.75">
      <c r="A994" s="4"/>
      <c r="B994" s="29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29"/>
      <c r="N994" s="29"/>
      <c r="O994" s="29"/>
      <c r="P994" s="32"/>
      <c r="Q994" s="32"/>
      <c r="R994" s="4"/>
      <c r="S994" s="4"/>
      <c r="T994" s="4"/>
      <c r="U994" s="4"/>
      <c r="V994" s="4"/>
      <c r="W994" s="4"/>
      <c r="X994" s="4"/>
    </row>
    <row x14ac:dyDescent="0.25" r="995" customHeight="1" ht="12.75">
      <c r="A995" s="4"/>
      <c r="B995" s="29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29"/>
      <c r="N995" s="29"/>
      <c r="O995" s="29"/>
      <c r="P995" s="32"/>
      <c r="Q995" s="32"/>
      <c r="R995" s="4"/>
      <c r="S995" s="4"/>
      <c r="T995" s="4"/>
      <c r="U995" s="4"/>
      <c r="V995" s="4"/>
      <c r="W995" s="4"/>
      <c r="X995" s="4"/>
    </row>
    <row x14ac:dyDescent="0.25" r="996" customHeight="1" ht="12.75">
      <c r="A996" s="4"/>
      <c r="B996" s="29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29"/>
      <c r="N996" s="29"/>
      <c r="O996" s="29"/>
      <c r="P996" s="32"/>
      <c r="Q996" s="32"/>
      <c r="R996" s="4"/>
      <c r="S996" s="4"/>
      <c r="T996" s="4"/>
      <c r="U996" s="4"/>
      <c r="V996" s="4"/>
      <c r="W996" s="4"/>
      <c r="X996" s="4"/>
    </row>
    <row x14ac:dyDescent="0.25" r="997" customHeight="1" ht="12.75">
      <c r="A997" s="4"/>
      <c r="B997" s="29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29"/>
      <c r="N997" s="29"/>
      <c r="O997" s="29"/>
      <c r="P997" s="32"/>
      <c r="Q997" s="32"/>
      <c r="R997" s="4"/>
      <c r="S997" s="4"/>
      <c r="T997" s="4"/>
      <c r="U997" s="4"/>
      <c r="V997" s="4"/>
      <c r="W997" s="4"/>
      <c r="X997" s="4"/>
    </row>
    <row x14ac:dyDescent="0.25" r="998" customHeight="1" ht="12.75">
      <c r="A998" s="4"/>
      <c r="B998" s="29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29"/>
      <c r="N998" s="29"/>
      <c r="O998" s="29"/>
      <c r="P998" s="32"/>
      <c r="Q998" s="32"/>
      <c r="R998" s="4"/>
      <c r="S998" s="4"/>
      <c r="T998" s="4"/>
      <c r="U998" s="4"/>
      <c r="V998" s="4"/>
      <c r="W998" s="4"/>
      <c r="X998" s="4"/>
    </row>
    <row x14ac:dyDescent="0.25" r="999" customHeight="1" ht="12.75">
      <c r="A999" s="4"/>
      <c r="B999" s="29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29"/>
      <c r="N999" s="29"/>
      <c r="O999" s="29"/>
      <c r="P999" s="32"/>
      <c r="Q999" s="32"/>
      <c r="R999" s="4"/>
      <c r="S999" s="4"/>
      <c r="T999" s="4"/>
      <c r="U999" s="4"/>
      <c r="V999" s="4"/>
      <c r="W999" s="4"/>
      <c r="X999" s="4"/>
    </row>
    <row x14ac:dyDescent="0.25" r="1000" customHeight="1" ht="12.75">
      <c r="A1000" s="4"/>
      <c r="B1000" s="29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29"/>
      <c r="N1000" s="29"/>
      <c r="O1000" s="29"/>
      <c r="P1000" s="32"/>
      <c r="Q1000" s="32"/>
      <c r="R1000" s="4"/>
      <c r="S1000" s="4"/>
      <c r="T1000" s="4"/>
      <c r="U1000" s="4"/>
      <c r="V1000" s="4"/>
      <c r="W1000" s="4"/>
      <c r="X1000" s="4"/>
    </row>
    <row x14ac:dyDescent="0.25" r="1001" customHeight="1" ht="12.75">
      <c r="A1001" s="4"/>
      <c r="B1001" s="29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29"/>
      <c r="N1001" s="29"/>
      <c r="O1001" s="29"/>
      <c r="P1001" s="32"/>
      <c r="Q1001" s="32"/>
      <c r="R1001" s="4"/>
      <c r="S1001" s="4"/>
      <c r="T1001" s="4"/>
      <c r="U1001" s="4"/>
      <c r="V1001" s="4"/>
      <c r="W1001" s="4"/>
      <c r="X1001" s="4"/>
    </row>
    <row x14ac:dyDescent="0.25" r="1002" customHeight="1" ht="12.75">
      <c r="A1002" s="4"/>
      <c r="B1002" s="29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29"/>
      <c r="N1002" s="29"/>
      <c r="O1002" s="29"/>
      <c r="P1002" s="32"/>
      <c r="Q1002" s="32"/>
      <c r="R1002" s="4"/>
      <c r="S1002" s="4"/>
      <c r="T1002" s="4"/>
      <c r="U1002" s="4"/>
      <c r="V1002" s="4"/>
      <c r="W1002" s="4"/>
      <c r="X1002" s="4"/>
    </row>
    <row x14ac:dyDescent="0.25" r="1003" customHeight="1" ht="12.75">
      <c r="A1003" s="4"/>
      <c r="B1003" s="29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29"/>
      <c r="N1003" s="29"/>
      <c r="O1003" s="29"/>
      <c r="P1003" s="32"/>
      <c r="Q1003" s="32"/>
      <c r="R1003" s="4"/>
      <c r="S1003" s="4"/>
      <c r="T1003" s="4"/>
      <c r="U1003" s="4"/>
      <c r="V1003" s="4"/>
      <c r="W1003" s="4"/>
      <c r="X1003" s="4"/>
    </row>
    <row x14ac:dyDescent="0.25" r="1004" customHeight="1" ht="12.75">
      <c r="A1004" s="4"/>
      <c r="B1004" s="29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29"/>
      <c r="N1004" s="29"/>
      <c r="O1004" s="29"/>
      <c r="P1004" s="32"/>
      <c r="Q1004" s="32"/>
      <c r="R1004" s="4"/>
      <c r="S1004" s="4"/>
      <c r="T1004" s="4"/>
      <c r="U1004" s="4"/>
      <c r="V1004" s="4"/>
      <c r="W1004" s="4"/>
      <c r="X1004" s="4"/>
    </row>
    <row x14ac:dyDescent="0.25" r="1005" customHeight="1" ht="12.75">
      <c r="A1005" s="4"/>
      <c r="B1005" s="29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29"/>
      <c r="N1005" s="29"/>
      <c r="O1005" s="29"/>
      <c r="P1005" s="32"/>
      <c r="Q1005" s="32"/>
      <c r="R1005" s="4"/>
      <c r="S1005" s="4"/>
      <c r="T1005" s="4"/>
      <c r="U1005" s="4"/>
      <c r="V1005" s="4"/>
      <c r="W1005" s="4"/>
      <c r="X1005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43" width="13.576428571428572" customWidth="1" bestFit="1"/>
    <col min="3" max="3" style="44" width="13.576428571428572" customWidth="1" bestFit="1"/>
    <col min="4" max="4" style="44" width="13.576428571428572" customWidth="1" bestFit="1"/>
    <col min="5" max="5" style="44" width="13.576428571428572" customWidth="1" bestFit="1"/>
    <col min="6" max="6" style="44" width="13.576428571428572" customWidth="1" bestFit="1"/>
    <col min="7" max="7" style="44" width="13.576428571428572" customWidth="1" bestFit="1"/>
    <col min="8" max="8" style="44" width="13.576428571428572" customWidth="1" bestFit="1"/>
    <col min="9" max="9" style="44" width="13.576428571428572" customWidth="1" bestFit="1"/>
    <col min="10" max="10" style="44" width="13.576428571428572" customWidth="1" bestFit="1"/>
    <col min="11" max="11" style="44" width="13.576428571428572" customWidth="1" bestFit="1"/>
    <col min="12" max="12" style="44" width="13.576428571428572" customWidth="1" bestFit="1"/>
    <col min="13" max="13" style="43" width="13.43357142857143" customWidth="1" bestFit="1"/>
    <col min="14" max="14" style="43" width="13.576428571428572" customWidth="1" bestFit="1"/>
    <col min="15" max="15" style="43" width="13.576428571428572" customWidth="1" bestFit="1"/>
    <col min="16" max="16" style="45" width="13.576428571428572" customWidth="1" bestFit="1"/>
    <col min="17" max="17" style="45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</cols>
  <sheetData>
    <row x14ac:dyDescent="0.25" r="1" customHeight="1" ht="12.75">
      <c r="A1" s="10" t="s">
        <v>0</v>
      </c>
      <c r="B1" s="11" t="s">
        <v>13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1" t="s">
        <v>14</v>
      </c>
      <c r="N1" s="11" t="s">
        <v>15</v>
      </c>
      <c r="O1" s="11" t="s">
        <v>16</v>
      </c>
      <c r="P1" s="12" t="s">
        <v>63</v>
      </c>
      <c r="Q1" s="12" t="s">
        <v>64</v>
      </c>
      <c r="R1" s="13" t="s">
        <v>65</v>
      </c>
      <c r="S1" s="4"/>
      <c r="T1" s="4"/>
      <c r="U1" s="4"/>
      <c r="V1" s="4"/>
      <c r="W1" s="4"/>
      <c r="X1" s="4"/>
      <c r="Y1" s="4"/>
      <c r="Z1" s="4"/>
    </row>
    <row x14ac:dyDescent="0.25" r="2" customHeight="1" ht="15.75">
      <c r="A2" s="15" t="s">
        <v>41</v>
      </c>
      <c r="B2" s="16">
        <f>$D$1:$D$84/$C$1:$C$84</f>
      </c>
      <c r="C2" s="17">
        <v>3</v>
      </c>
      <c r="D2" s="17">
        <v>2</v>
      </c>
      <c r="E2" s="17">
        <v>2</v>
      </c>
      <c r="F2" s="17">
        <v>0</v>
      </c>
      <c r="G2" s="17">
        <v>0</v>
      </c>
      <c r="H2" s="17">
        <v>0</v>
      </c>
      <c r="I2" s="17">
        <v>2</v>
      </c>
      <c r="J2" s="17">
        <v>2</v>
      </c>
      <c r="K2" s="17">
        <v>0</v>
      </c>
      <c r="L2" s="17">
        <v>0</v>
      </c>
      <c r="M2" s="16">
        <f>(($E2:$E16 + 2 * $F2:$F16 + 3 * $G2:$G16 + 4 * $H2:$H16) / $C2:$C16)</f>
      </c>
      <c r="N2" s="16">
        <f>(($D$1:$D$84 + $K$1:$K$84) / ($C$1:$C$84 + $K$1:$K$84))</f>
      </c>
      <c r="O2" s="16">
        <f>(($D$1:$D$73 + $K$1:$K$73) / ($C$1:$C$73 + $K$1:$K$102)) + ((($E$1:$E$114) + (2 * $F$1:$F$114) + (3 * $G$1:$G$114) + (4 * $H$1:$H$114)) / $C$1:$C$73)</f>
      </c>
      <c r="P2" s="17">
        <v>2</v>
      </c>
      <c r="Q2" s="17">
        <v>2</v>
      </c>
      <c r="R2" s="18">
        <f>$Q$1:$Q$84/$P$1:$P$84</f>
      </c>
      <c r="S2" s="14"/>
      <c r="T2" s="4"/>
      <c r="U2" s="4"/>
      <c r="V2" s="4"/>
      <c r="W2" s="4"/>
      <c r="X2" s="4"/>
      <c r="Y2" s="4"/>
      <c r="Z2" s="4"/>
    </row>
    <row x14ac:dyDescent="0.25" r="3" customHeight="1" ht="15.75">
      <c r="A3" s="19" t="s">
        <v>62</v>
      </c>
      <c r="B3" s="20">
        <f>$D$1:$D$84/$C$1:$C$84</f>
      </c>
      <c r="C3" s="21">
        <v>3</v>
      </c>
      <c r="D3" s="21">
        <v>2</v>
      </c>
      <c r="E3" s="21">
        <v>2</v>
      </c>
      <c r="F3" s="21">
        <v>0</v>
      </c>
      <c r="G3" s="21">
        <v>0</v>
      </c>
      <c r="H3" s="21">
        <v>0</v>
      </c>
      <c r="I3" s="21">
        <v>2</v>
      </c>
      <c r="J3" s="21">
        <v>1</v>
      </c>
      <c r="K3" s="21">
        <v>0</v>
      </c>
      <c r="L3" s="21">
        <v>0</v>
      </c>
      <c r="M3" s="20">
        <f>(($E3:$E15 + 2 * $F3:$F15 + 3 * $G3:$G15 + 4 * $H3:$H15) / $C3:$C15)</f>
      </c>
      <c r="N3" s="20">
        <f>(($D$1:$D$84 + $K$1:$K$84) / ($C$1:$C$84 + $K$1:$K$84))</f>
      </c>
      <c r="O3" s="20">
        <f>(($D$1:$D$73 + $K$1:$K$73) / ($C$1:$C$73 + $K$1:$K$102)) + ((($E$1:$E$114) + (2 * $F$1:$F$114) + (3 * $G$1:$G$114) + (4 * $H$1:$H$114)) / $C$1:$C$73)</f>
      </c>
      <c r="P3" s="21">
        <v>1</v>
      </c>
      <c r="Q3" s="21">
        <v>1</v>
      </c>
      <c r="R3" s="22">
        <f>$Q$1:$Q$84/$P$1:$P$84</f>
      </c>
      <c r="S3" s="14"/>
      <c r="T3" s="4"/>
      <c r="U3" s="4"/>
      <c r="V3" s="4"/>
      <c r="W3" s="4"/>
      <c r="X3" s="4"/>
      <c r="Y3" s="4"/>
      <c r="Z3" s="4"/>
    </row>
    <row x14ac:dyDescent="0.25" r="4" customHeight="1" ht="14.25">
      <c r="A4" s="15" t="s">
        <v>49</v>
      </c>
      <c r="B4" s="16">
        <f>$D$1:$D$84/$C$1:$C$84</f>
      </c>
      <c r="C4" s="17">
        <v>3</v>
      </c>
      <c r="D4" s="17">
        <v>2</v>
      </c>
      <c r="E4" s="17">
        <v>1</v>
      </c>
      <c r="F4" s="17">
        <v>0</v>
      </c>
      <c r="G4" s="17">
        <v>1</v>
      </c>
      <c r="H4" s="17">
        <v>0</v>
      </c>
      <c r="I4" s="17">
        <v>2</v>
      </c>
      <c r="J4" s="17">
        <v>1</v>
      </c>
      <c r="K4" s="17">
        <v>0</v>
      </c>
      <c r="L4" s="17">
        <v>0</v>
      </c>
      <c r="M4" s="16">
        <f>(($E4:$E14 + 2 * $F4:$F14 + 3 * $G4:$G14 + 4 * $H4:$H14) / $C4:$C14)</f>
      </c>
      <c r="N4" s="16">
        <f>(($D$1:$D$84 + $K$1:$K$84) / ($C$1:$C$84 + $K$1:$K$84))</f>
      </c>
      <c r="O4" s="16">
        <f>(($D$1:$D$73 + $K$1:$K$73) / ($C$1:$C$73 + $K$1:$K$102)) + ((($E$1:$E$114) + (2 * $F$1:$F$114) + (3 * $G$1:$G$114) + (4 * $H$1:$H$114)) / $C$1:$C$73)</f>
      </c>
      <c r="P4" s="17">
        <v>2</v>
      </c>
      <c r="Q4" s="17">
        <v>2</v>
      </c>
      <c r="R4" s="18">
        <f>$Q$1:$Q$84/$P$1:$P$84</f>
      </c>
      <c r="S4" s="14"/>
      <c r="T4" s="4"/>
      <c r="U4" s="4"/>
      <c r="V4" s="4"/>
      <c r="W4" s="4"/>
      <c r="X4" s="4"/>
      <c r="Y4" s="4"/>
      <c r="Z4" s="4"/>
    </row>
    <row x14ac:dyDescent="0.25" r="5" customHeight="1" ht="14.25">
      <c r="A5" s="19" t="s">
        <v>43</v>
      </c>
      <c r="B5" s="20">
        <f>$D$1:$D$84/$C$1:$C$84</f>
      </c>
      <c r="C5" s="21">
        <v>3</v>
      </c>
      <c r="D5" s="21">
        <v>2</v>
      </c>
      <c r="E5" s="21">
        <v>2</v>
      </c>
      <c r="F5" s="21">
        <v>0</v>
      </c>
      <c r="G5" s="21">
        <v>0</v>
      </c>
      <c r="H5" s="21">
        <v>0</v>
      </c>
      <c r="I5" s="21">
        <v>1</v>
      </c>
      <c r="J5" s="21">
        <v>1</v>
      </c>
      <c r="K5" s="21">
        <v>0</v>
      </c>
      <c r="L5" s="21">
        <v>0</v>
      </c>
      <c r="M5" s="20">
        <f>(($E5:$E17 + 2 * $F5:$F17 + 3 * $G5:$G17 + 4 * $H5:$H17) / $C5:$C17)</f>
      </c>
      <c r="N5" s="20">
        <f>(($D$1:$D$84 + $K$1:$K$84) / ($C$1:$C$84 + $K$1:$K$84))</f>
      </c>
      <c r="O5" s="20">
        <f>(($D$1:$D$73 + $K$1:$K$73) / ($C$1:$C$73 + $K$1:$K$102)) + ((($E$1:$E$114) + (2 * $F$1:$F$114) + (3 * $G$1:$G$114) + (4 * $H$1:$H$114)) / $C$1:$C$73)</f>
      </c>
      <c r="P5" s="21">
        <v>2</v>
      </c>
      <c r="Q5" s="21">
        <v>2</v>
      </c>
      <c r="R5" s="22">
        <f>$Q$1:$Q$84/$P$1:$P$84</f>
      </c>
      <c r="S5" s="14"/>
      <c r="T5" s="4"/>
      <c r="U5" s="4"/>
      <c r="V5" s="4"/>
      <c r="W5" s="4"/>
      <c r="X5" s="4"/>
      <c r="Y5" s="4"/>
      <c r="Z5" s="4"/>
    </row>
    <row x14ac:dyDescent="0.25" r="6" customHeight="1" ht="12.75">
      <c r="A6" s="15" t="s">
        <v>53</v>
      </c>
      <c r="B6" s="16">
        <f>$D$1:$D$84/$C$1:$C$84</f>
      </c>
      <c r="C6" s="17">
        <v>3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6">
        <f>(($E6:$E18 + 2 * $F6:$F18 + 3 * $G6:$G18 + 4 * $H6:$H18) / $C6:$C18)</f>
      </c>
      <c r="N6" s="16">
        <f>(($D$1:$D$84 + $K$1:$K$84) / ($C$1:$C$84 + $K$1:$K$84))</f>
      </c>
      <c r="O6" s="16">
        <f>(($D$1:$D$73 + $K$1:$K$73) / ($C$1:$C$73 + $K$1:$K$102)) + ((($E$1:$E$114) + (2 * $F$1:$F$114) + (3 * $G$1:$G$114) + (4 * $H$1:$H$114)) / $C$1:$C$73)</f>
      </c>
      <c r="P6" s="17">
        <v>1</v>
      </c>
      <c r="Q6" s="17">
        <v>0</v>
      </c>
      <c r="R6" s="18">
        <f>$Q$1:$Q$84/$P$1:$P$84</f>
      </c>
      <c r="S6" s="4"/>
      <c r="T6" s="4"/>
      <c r="U6" s="4"/>
      <c r="V6" s="4"/>
      <c r="W6" s="4"/>
      <c r="X6" s="4"/>
      <c r="Y6" s="4"/>
      <c r="Z6" s="4"/>
    </row>
    <row x14ac:dyDescent="0.25" r="7" customHeight="1" ht="12.75">
      <c r="A7" s="19" t="s">
        <v>25</v>
      </c>
      <c r="B7" s="20">
        <f>$D$1:$D$84/$C$1:$C$84</f>
      </c>
      <c r="C7" s="21">
        <v>3</v>
      </c>
      <c r="D7" s="21">
        <v>1</v>
      </c>
      <c r="E7" s="21">
        <v>1</v>
      </c>
      <c r="F7" s="21">
        <v>0</v>
      </c>
      <c r="G7" s="21">
        <v>0</v>
      </c>
      <c r="H7" s="21">
        <v>0</v>
      </c>
      <c r="I7" s="21">
        <v>0</v>
      </c>
      <c r="J7" s="21">
        <v>1</v>
      </c>
      <c r="K7" s="21">
        <v>0</v>
      </c>
      <c r="L7" s="21">
        <v>0</v>
      </c>
      <c r="M7" s="20">
        <f>(($E7:$E21 + 2 * $F7:$F21 + 3 * $G7:$G21 + 4 * $H7:$H21) / $C7:$C21)</f>
      </c>
      <c r="N7" s="20">
        <f>(($D$1:$D$84 + $K$1:$K$84) / ($C$1:$C$84 + $K$1:$K$84))</f>
      </c>
      <c r="O7" s="20">
        <f>(($D$1:$D$73 + $K$1:$K$73) / ($C$1:$C$73 + $K$1:$K$102)) + ((($E$1:$E$114) + (2 * $F$1:$F$114) + (3 * $G$1:$G$114) + (4 * $H$1:$H$114)) / $C$1:$C$73)</f>
      </c>
      <c r="P7" s="21">
        <v>1</v>
      </c>
      <c r="Q7" s="21">
        <v>0</v>
      </c>
      <c r="R7" s="22">
        <f>$Q$1:$Q$84/$P$1:$P$84</f>
      </c>
      <c r="S7" s="4"/>
      <c r="T7" s="4"/>
      <c r="U7" s="4"/>
      <c r="V7" s="4"/>
      <c r="W7" s="4"/>
      <c r="X7" s="4"/>
      <c r="Y7" s="4"/>
      <c r="Z7" s="4"/>
    </row>
    <row x14ac:dyDescent="0.25" r="8" customHeight="1" ht="12.75">
      <c r="A8" s="15" t="s">
        <v>57</v>
      </c>
      <c r="B8" s="16">
        <f>$D$1:$D$84/$C$1:$C$84</f>
      </c>
      <c r="C8" s="17">
        <v>3</v>
      </c>
      <c r="D8" s="17">
        <v>2</v>
      </c>
      <c r="E8" s="17">
        <v>2</v>
      </c>
      <c r="F8" s="17">
        <v>0</v>
      </c>
      <c r="G8" s="17">
        <v>0</v>
      </c>
      <c r="H8" s="17">
        <v>0</v>
      </c>
      <c r="I8" s="17">
        <v>0</v>
      </c>
      <c r="J8" s="17">
        <v>1</v>
      </c>
      <c r="K8" s="17">
        <v>0</v>
      </c>
      <c r="L8" s="17">
        <v>0</v>
      </c>
      <c r="M8" s="16">
        <f>(($E8:$E14 + 2 * $F8:$F14 + 3 * $G8:$G14 + 4 * $H8:$H14) / $C8:$C14)</f>
      </c>
      <c r="N8" s="16">
        <f>(($D$1:$D$84 + $K$1:$K$84) / ($C$1:$C$84 + $K$1:$K$84))</f>
      </c>
      <c r="O8" s="16">
        <f>(($D$1:$D$73 + $K$1:$K$73) / ($C$1:$C$73 + $K$1:$K$102)) + ((($E$1:$E$114) + (2 * $F$1:$F$114) + (3 * $G$1:$G$114) + (4 * $H$1:$H$114)) / $C$1:$C$73)</f>
      </c>
      <c r="P8" s="17">
        <v>1</v>
      </c>
      <c r="Q8" s="17">
        <v>0</v>
      </c>
      <c r="R8" s="18">
        <f>$Q$1:$Q$84/$P$1:$P$84</f>
      </c>
      <c r="S8" s="4"/>
      <c r="T8" s="4"/>
      <c r="U8" s="4"/>
      <c r="V8" s="4"/>
      <c r="W8" s="4"/>
      <c r="X8" s="4"/>
      <c r="Y8" s="4"/>
      <c r="Z8" s="4"/>
    </row>
    <row x14ac:dyDescent="0.25" r="9" customHeight="1" ht="12.75">
      <c r="A9" s="19" t="s">
        <v>37</v>
      </c>
      <c r="B9" s="20">
        <f>$D$1:$D$84/$C$1:$C$84</f>
      </c>
      <c r="C9" s="21">
        <v>3</v>
      </c>
      <c r="D9" s="21">
        <v>2</v>
      </c>
      <c r="E9" s="21">
        <v>2</v>
      </c>
      <c r="F9" s="21">
        <v>0</v>
      </c>
      <c r="G9" s="21">
        <v>0</v>
      </c>
      <c r="H9" s="21">
        <v>0</v>
      </c>
      <c r="I9" s="21">
        <v>0</v>
      </c>
      <c r="J9" s="21">
        <v>1</v>
      </c>
      <c r="K9" s="21">
        <v>0</v>
      </c>
      <c r="L9" s="21">
        <v>0</v>
      </c>
      <c r="M9" s="20">
        <f>(($E9:$E22 + 2 * $F9:$F22 + 3 * $G9:$G22 + 4 * $H9:$H22) / $C9:$C22)</f>
      </c>
      <c r="N9" s="20">
        <f>(($D$1:$D$84 + $K$1:$K$84) / ($C$1:$C$84 + $K$1:$K$84))</f>
      </c>
      <c r="O9" s="20">
        <f>(($D$1:$D$73 + $K$1:$K$73) / ($C$1:$C$73 + $K$1:$K$102)) + ((($E$1:$E$114) + (2 * $F$1:$F$114) + (3 * $G$1:$G$114) + (4 * $H$1:$H$114)) / $C$1:$C$73)</f>
      </c>
      <c r="P9" s="21">
        <v>1</v>
      </c>
      <c r="Q9" s="21">
        <v>0</v>
      </c>
      <c r="R9" s="22">
        <f>$Q$1:$Q$84/$P$1:$P$84</f>
      </c>
      <c r="S9" s="4"/>
      <c r="T9" s="4"/>
      <c r="U9" s="4"/>
      <c r="V9" s="4"/>
      <c r="W9" s="4"/>
      <c r="X9" s="4"/>
      <c r="Y9" s="4"/>
      <c r="Z9" s="4"/>
    </row>
    <row x14ac:dyDescent="0.25" r="10" customHeight="1" ht="12.75">
      <c r="A10" s="15" t="s">
        <v>47</v>
      </c>
      <c r="B10" s="16">
        <f>$D$1:$D$84/$C$1:$C$84</f>
      </c>
      <c r="C10" s="17">
        <v>2</v>
      </c>
      <c r="D10" s="17">
        <v>2</v>
      </c>
      <c r="E10" s="17">
        <v>2</v>
      </c>
      <c r="F10" s="17">
        <v>0</v>
      </c>
      <c r="G10" s="17">
        <v>0</v>
      </c>
      <c r="H10" s="17">
        <v>0</v>
      </c>
      <c r="I10" s="17">
        <v>2</v>
      </c>
      <c r="J10" s="17">
        <v>1</v>
      </c>
      <c r="K10" s="17">
        <v>0</v>
      </c>
      <c r="L10" s="17">
        <v>0</v>
      </c>
      <c r="M10" s="16">
        <f>(($E10:$E14 + 2 * $F10:$F14 + 3 * $G10:$G14 + 4 * $H10:$H14) / $C10:$C14)</f>
      </c>
      <c r="N10" s="16">
        <f>(($D$1:$D$84 + $K$1:$K$84) / ($C$1:$C$84 + $K$1:$K$84))</f>
      </c>
      <c r="O10" s="16">
        <f>(($D$1:$D$73 + $K$1:$K$73) / ($C$1:$C$73 + $K$1:$K$102)) + ((($E$1:$E$114) + (2 * $F$1:$F$114) + (3 * $G$1:$G$114) + (4 * $H$1:$H$114)) / $C$1:$C$73)</f>
      </c>
      <c r="P10" s="17">
        <v>1</v>
      </c>
      <c r="Q10" s="17">
        <v>1</v>
      </c>
      <c r="R10" s="18">
        <f>$Q$1:$Q$84/$P$1:$P$84</f>
      </c>
      <c r="S10" s="4"/>
      <c r="T10" s="4"/>
      <c r="U10" s="4"/>
      <c r="V10" s="4"/>
      <c r="W10" s="4"/>
      <c r="X10" s="4"/>
      <c r="Y10" s="4"/>
      <c r="Z10" s="4"/>
    </row>
    <row x14ac:dyDescent="0.25" r="11" customHeight="1" ht="12.75">
      <c r="A11" s="19" t="s">
        <v>46</v>
      </c>
      <c r="B11" s="20">
        <f>$D$1:$D$84/$C$1:$C$84</f>
      </c>
      <c r="C11" s="21">
        <v>2</v>
      </c>
      <c r="D11" s="21">
        <v>1</v>
      </c>
      <c r="E11" s="21">
        <v>1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0">
        <f>(($E11:$E14 + 2 * $F11:$F14 + 3 * $G11:$G14 + 4 * $H11:$H14) / $C11:$C14)</f>
      </c>
      <c r="N11" s="20">
        <f>(($D$1:$D$84 + $K$1:$K$84) / ($C$1:$C$84 + $K$1:$K$84))</f>
      </c>
      <c r="O11" s="20">
        <f>(($D$1:$D$73 + $K$1:$K$73) / ($C$1:$C$73 + $K$1:$K$102)) + ((($E$1:$E$114) + (2 * $F$1:$F$114) + (3 * $G$1:$G$114) + (4 * $H$1:$H$114)) / $C$1:$C$73)</f>
      </c>
      <c r="P11" s="21">
        <v>1</v>
      </c>
      <c r="Q11" s="21">
        <v>1</v>
      </c>
      <c r="R11" s="22">
        <f>$Q$1:$Q$84/$P$1:$P$84</f>
      </c>
      <c r="S11" s="4"/>
      <c r="T11" s="4"/>
      <c r="U11" s="4"/>
      <c r="V11" s="4"/>
      <c r="W11" s="4"/>
      <c r="X11" s="4"/>
      <c r="Y11" s="4"/>
      <c r="Z11" s="4"/>
    </row>
    <row x14ac:dyDescent="0.25" r="12" customHeight="1" ht="12.75">
      <c r="A12" s="15" t="s">
        <v>21</v>
      </c>
      <c r="B12" s="16">
        <f>$D$1:$D$84/$C$1:$C$84</f>
      </c>
      <c r="C12" s="17">
        <v>2</v>
      </c>
      <c r="D12" s="17">
        <v>1</v>
      </c>
      <c r="E12" s="17">
        <v>1</v>
      </c>
      <c r="F12" s="17">
        <v>0</v>
      </c>
      <c r="G12" s="17">
        <v>0</v>
      </c>
      <c r="H12" s="17">
        <v>0</v>
      </c>
      <c r="I12" s="17">
        <v>1</v>
      </c>
      <c r="J12" s="17">
        <v>0</v>
      </c>
      <c r="K12" s="17">
        <v>0</v>
      </c>
      <c r="L12" s="17">
        <v>0</v>
      </c>
      <c r="M12" s="16">
        <f>(($E12:$E21 + 2 * $F12:$F21 + 3 * $G12:$G21 + 4 * $H12:$H21) / $C12:$C21)</f>
      </c>
      <c r="N12" s="16">
        <f>(($D$1:$D$84 + $K$1:$K$84) / ($C$1:$C$84 + $K$1:$K$84))</f>
      </c>
      <c r="O12" s="16">
        <f>(($D$1:$D$73 + $K$1:$K$73) / ($C$1:$C$73 + $K$1:$K$102)) + ((($E$1:$E$114) + (2 * $F$1:$F$114) + (3 * $G$1:$G$114) + (4 * $H$1:$H$114)) / $C$1:$C$73)</f>
      </c>
      <c r="P12" s="17">
        <v>1</v>
      </c>
      <c r="Q12" s="17">
        <v>1</v>
      </c>
      <c r="R12" s="18">
        <f>$Q$1:$Q$84/$P$1:$P$84</f>
      </c>
      <c r="S12" s="4"/>
      <c r="T12" s="4"/>
      <c r="U12" s="4"/>
      <c r="V12" s="4"/>
      <c r="W12" s="4"/>
      <c r="X12" s="4"/>
      <c r="Y12" s="4"/>
      <c r="Z12" s="4"/>
    </row>
    <row x14ac:dyDescent="0.25" r="13" customHeight="1" ht="12.75">
      <c r="A13" s="19" t="s">
        <v>31</v>
      </c>
      <c r="B13" s="20">
        <f>$D$1:$D$84/$C$1:$C$84</f>
      </c>
      <c r="C13" s="21">
        <v>2</v>
      </c>
      <c r="D13" s="21">
        <v>1</v>
      </c>
      <c r="E13" s="21">
        <v>1</v>
      </c>
      <c r="F13" s="21">
        <v>0</v>
      </c>
      <c r="G13" s="21">
        <v>0</v>
      </c>
      <c r="H13" s="21">
        <v>0</v>
      </c>
      <c r="I13" s="21">
        <v>1</v>
      </c>
      <c r="J13" s="21">
        <v>0</v>
      </c>
      <c r="K13" s="21">
        <v>0</v>
      </c>
      <c r="L13" s="21">
        <v>0</v>
      </c>
      <c r="M13" s="20">
        <f>(($E13:$E22 + 2 * $F13:$F22 + 3 * $G13:$G22 + 4 * $H13:$H22) / $C13:$C22)</f>
      </c>
      <c r="N13" s="20">
        <f>(($D$1:$D$84 + $K$1:$K$84) / ($C$1:$C$84 + $K$1:$K$84))</f>
      </c>
      <c r="O13" s="20">
        <f>(($D$1:$D$73 + $K$1:$K$73) / ($C$1:$C$73 + $K$1:$K$102)) + ((($E$1:$E$114) + (2 * $F$1:$F$114) + (3 * $G$1:$G$114) + (4 * $H$1:$H$114)) / $C$1:$C$73)</f>
      </c>
      <c r="P13" s="21">
        <v>1</v>
      </c>
      <c r="Q13" s="21">
        <v>1</v>
      </c>
      <c r="R13" s="22">
        <f>$Q$1:$Q$84/$P$1:$P$84</f>
      </c>
      <c r="S13" s="4"/>
      <c r="T13" s="4"/>
      <c r="U13" s="4"/>
      <c r="V13" s="4"/>
      <c r="W13" s="4"/>
      <c r="X13" s="4"/>
      <c r="Y13" s="4"/>
      <c r="Z13" s="4"/>
    </row>
    <row x14ac:dyDescent="0.25" r="14" customHeight="1" ht="12.75">
      <c r="A14" s="15" t="s">
        <v>22</v>
      </c>
      <c r="B14" s="16">
        <f>$D$1:$D$84/$C$1:$C$84</f>
      </c>
      <c r="C14" s="17">
        <v>2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6">
        <f>(($E14:$E23 + 2 * $F14:$F23 + 3 * $G14:$G23 + 4 * $H14:$H23) / $C14:$C23)</f>
      </c>
      <c r="N14" s="16">
        <f>(($D$1:$D$84 + $K$1:$K$84) / ($C$1:$C$84 + $K$1:$K$84))</f>
      </c>
      <c r="O14" s="16">
        <f>(($D$1:$D$73 + $K$1:$K$73) / ($C$1:$C$73 + $K$1:$K$102)) + ((($E$1:$E$114) + (2 * $F$1:$F$114) + (3 * $G$1:$G$114) + (4 * $H$1:$H$114)) / $C$1:$C$73)</f>
      </c>
      <c r="P14" s="17">
        <v>1</v>
      </c>
      <c r="Q14" s="17">
        <v>0</v>
      </c>
      <c r="R14" s="18">
        <f>$Q$1:$Q$84/$P$1:$P$84</f>
      </c>
      <c r="S14" s="4"/>
      <c r="T14" s="4"/>
      <c r="U14" s="4"/>
      <c r="V14" s="4"/>
      <c r="W14" s="4"/>
      <c r="X14" s="4"/>
      <c r="Y14" s="4"/>
      <c r="Z14" s="4"/>
    </row>
    <row x14ac:dyDescent="0.25" r="15" customHeight="1" ht="12.75">
      <c r="A15" s="19" t="s">
        <v>30</v>
      </c>
      <c r="B15" s="20">
        <f>$D$1:$D$84/$C$1:$C$84</f>
      </c>
      <c r="C15" s="21">
        <v>2</v>
      </c>
      <c r="D15" s="21">
        <v>2</v>
      </c>
      <c r="E15" s="21">
        <v>2</v>
      </c>
      <c r="F15" s="21">
        <v>0</v>
      </c>
      <c r="G15" s="21">
        <v>0</v>
      </c>
      <c r="H15" s="21">
        <v>0</v>
      </c>
      <c r="I15" s="21">
        <v>0</v>
      </c>
      <c r="J15" s="21">
        <v>1</v>
      </c>
      <c r="K15" s="21">
        <v>0</v>
      </c>
      <c r="L15" s="21">
        <v>0</v>
      </c>
      <c r="M15" s="20">
        <f>(($E15:$E24 + 2 * $F15:$F24 + 3 * $G15:$G24 + 4 * $H15:$H24) / $C15:$C24)</f>
      </c>
      <c r="N15" s="20">
        <f>(($D$1:$D$84 + $K$1:$K$84) / ($C$1:$C$84 + $K$1:$K$84))</f>
      </c>
      <c r="O15" s="20">
        <f>(($D$1:$D$73 + $K$1:$K$73) / ($C$1:$C$73 + $K$1:$K$102)) + ((($E$1:$E$114) + (2 * $F$1:$F$114) + (3 * $G$1:$G$114) + (4 * $H$1:$H$114)) / $C$1:$C$73)</f>
      </c>
      <c r="P15" s="21">
        <v>0</v>
      </c>
      <c r="Q15" s="21">
        <v>0</v>
      </c>
      <c r="R15" s="22"/>
      <c r="S15" s="4"/>
      <c r="T15" s="4"/>
      <c r="U15" s="4"/>
      <c r="V15" s="4"/>
      <c r="W15" s="4"/>
      <c r="X15" s="4"/>
      <c r="Y15" s="4"/>
      <c r="Z15" s="4"/>
    </row>
    <row x14ac:dyDescent="0.25" r="16" customHeight="1" ht="12.75">
      <c r="A16" s="15" t="s">
        <v>45</v>
      </c>
      <c r="B16" s="16">
        <f>$D$1:$D$84/$C$1:$C$84</f>
      </c>
      <c r="C16" s="17">
        <v>2</v>
      </c>
      <c r="D16" s="17">
        <v>1</v>
      </c>
      <c r="E16" s="17">
        <v>0</v>
      </c>
      <c r="F16" s="17">
        <v>1</v>
      </c>
      <c r="G16" s="17">
        <v>0</v>
      </c>
      <c r="H16" s="17">
        <v>0</v>
      </c>
      <c r="I16" s="17">
        <v>1</v>
      </c>
      <c r="J16" s="17">
        <v>1</v>
      </c>
      <c r="K16" s="17">
        <v>0</v>
      </c>
      <c r="L16" s="17">
        <v>0</v>
      </c>
      <c r="M16" s="16">
        <f>(($E16:$E25 + 2 * $F16:$F25 + 3 * $G16:$G25 + 4 * $H16:$H25) / $C16:$C25)</f>
      </c>
      <c r="N16" s="16">
        <f>(($D$1:$D$84 + $K$1:$K$84) / ($C$1:$C$84 + $K$1:$K$84))</f>
      </c>
      <c r="O16" s="16">
        <f>(($D$1:$D$73 + $K$1:$K$73) / ($C$1:$C$73 + $K$1:$K$102)) + ((($E$1:$E$114) + (2 * $F$1:$F$114) + (3 * $G$1:$G$114) + (4 * $H$1:$H$114)) / $C$1:$C$73)</f>
      </c>
      <c r="P16" s="17">
        <v>0</v>
      </c>
      <c r="Q16" s="17">
        <v>0</v>
      </c>
      <c r="R16" s="18"/>
      <c r="S16" s="4"/>
      <c r="T16" s="4"/>
      <c r="U16" s="4"/>
      <c r="V16" s="4"/>
      <c r="W16" s="4"/>
      <c r="X16" s="4"/>
      <c r="Y16" s="4"/>
      <c r="Z16" s="4"/>
    </row>
    <row x14ac:dyDescent="0.25" r="17" customHeight="1" ht="12.75">
      <c r="A17" s="51" t="s">
        <v>52</v>
      </c>
      <c r="B17" s="25">
        <f>$D$1:$D$84/$C$1:$C$84</f>
      </c>
      <c r="C17" s="26">
        <v>2</v>
      </c>
      <c r="D17" s="26">
        <v>1</v>
      </c>
      <c r="E17" s="26">
        <v>1</v>
      </c>
      <c r="F17" s="26">
        <v>0</v>
      </c>
      <c r="G17" s="26">
        <v>0</v>
      </c>
      <c r="H17" s="26">
        <v>0</v>
      </c>
      <c r="I17" s="26">
        <v>0</v>
      </c>
      <c r="J17" s="26">
        <v>1</v>
      </c>
      <c r="K17" s="26">
        <v>0</v>
      </c>
      <c r="L17" s="26">
        <v>0</v>
      </c>
      <c r="M17" s="25">
        <f>(($E17:$E26 + 2 * $F17:$F26 + 3 * $G17:$G26 + 4 * $H17:$H26) / $C17:$C26)</f>
      </c>
      <c r="N17" s="25">
        <f>(($D$1:$D$84 + $K$1:$K$84) / ($C$1:$C$84 + $K$1:$K$84))</f>
      </c>
      <c r="O17" s="25">
        <f>(($D$1:$D$73 + $K$1:$K$73) / ($C$1:$C$73 + $K$1:$K$102)) + ((($E$1:$E$114) + (2 * $F$1:$F$114) + (3 * $G$1:$G$114) + (4 * $H$1:$H$114)) / $C$1:$C$73)</f>
      </c>
      <c r="P17" s="26">
        <v>1</v>
      </c>
      <c r="Q17" s="26">
        <v>0</v>
      </c>
      <c r="R17" s="27">
        <f>$Q$1:$Q$84/$P$1:$P$84</f>
      </c>
      <c r="S17" s="4"/>
      <c r="T17" s="4"/>
      <c r="U17" s="4"/>
      <c r="V17" s="4"/>
      <c r="W17" s="4"/>
      <c r="X17" s="4"/>
      <c r="Y17" s="4"/>
      <c r="Z17" s="4"/>
    </row>
    <row x14ac:dyDescent="0.25" r="18" customHeight="1" ht="12.75">
      <c r="A18" s="4"/>
      <c r="B18" s="29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29"/>
      <c r="N18" s="29"/>
      <c r="O18" s="29"/>
      <c r="P18" s="32"/>
      <c r="Q18" s="32"/>
      <c r="R18" s="4"/>
      <c r="S18" s="4"/>
      <c r="T18" s="4"/>
      <c r="U18" s="4"/>
      <c r="V18" s="4"/>
      <c r="W18" s="4"/>
      <c r="X18" s="4"/>
      <c r="Y18" s="4"/>
      <c r="Z18" s="4"/>
    </row>
    <row x14ac:dyDescent="0.25" r="19" customHeight="1" ht="14.25">
      <c r="A19" s="29"/>
      <c r="B19" s="29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29"/>
      <c r="N19" s="29"/>
      <c r="O19" s="29"/>
      <c r="P19" s="28"/>
      <c r="Q19" s="28"/>
      <c r="R19" s="14"/>
      <c r="S19" s="29"/>
      <c r="T19" s="29"/>
      <c r="U19" s="29"/>
      <c r="V19" s="4"/>
      <c r="W19" s="4"/>
      <c r="X19" s="4"/>
      <c r="Y19" s="4"/>
      <c r="Z19" s="4"/>
    </row>
    <row x14ac:dyDescent="0.25" r="20" customHeight="1" ht="14.25">
      <c r="A20" s="14"/>
      <c r="B20" s="14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14"/>
      <c r="N20" s="14"/>
      <c r="O20" s="14"/>
      <c r="P20" s="28"/>
      <c r="Q20" s="28"/>
      <c r="R20" s="14"/>
      <c r="S20" s="14"/>
      <c r="T20" s="14"/>
      <c r="U20" s="14"/>
      <c r="V20" s="14"/>
      <c r="W20" s="14"/>
      <c r="X20" s="14"/>
      <c r="Y20" s="14"/>
      <c r="Z20" s="14"/>
    </row>
    <row x14ac:dyDescent="0.25" r="21" customHeight="1" ht="14.25">
      <c r="A21" s="14"/>
      <c r="B21" s="14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14"/>
      <c r="N21" s="14"/>
      <c r="O21" s="14"/>
      <c r="P21" s="28"/>
      <c r="Q21" s="28"/>
      <c r="R21" s="14"/>
      <c r="S21" s="14"/>
      <c r="T21" s="14"/>
      <c r="U21" s="14"/>
      <c r="V21" s="14"/>
      <c r="W21" s="14"/>
      <c r="X21" s="14"/>
      <c r="Y21" s="14"/>
      <c r="Z21" s="14"/>
    </row>
    <row x14ac:dyDescent="0.25" r="22" customHeight="1" ht="14.25">
      <c r="A22" s="14"/>
      <c r="B22" s="14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14"/>
      <c r="N22" s="14"/>
      <c r="O22" s="14"/>
      <c r="P22" s="28"/>
      <c r="Q22" s="28"/>
      <c r="R22" s="14"/>
      <c r="S22" s="14"/>
      <c r="T22" s="14"/>
      <c r="U22" s="14"/>
      <c r="V22" s="14"/>
      <c r="W22" s="14"/>
      <c r="X22" s="14"/>
      <c r="Y22" s="14"/>
      <c r="Z22" s="14"/>
    </row>
    <row x14ac:dyDescent="0.25" r="23" customHeight="1" ht="14.25">
      <c r="A23" s="14"/>
      <c r="B23" s="14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4"/>
      <c r="N23" s="14"/>
      <c r="O23" s="14"/>
      <c r="P23" s="28"/>
      <c r="Q23" s="28"/>
      <c r="R23" s="14"/>
      <c r="S23" s="14"/>
      <c r="T23" s="14"/>
      <c r="U23" s="14"/>
      <c r="V23" s="14"/>
      <c r="W23" s="14"/>
      <c r="X23" s="14"/>
      <c r="Y23" s="14"/>
      <c r="Z23" s="14"/>
    </row>
    <row x14ac:dyDescent="0.25" r="24" customHeight="1" ht="14.25">
      <c r="A24" s="14"/>
      <c r="B24" s="14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14"/>
      <c r="N24" s="14"/>
      <c r="O24" s="14"/>
      <c r="P24" s="28"/>
      <c r="Q24" s="28"/>
      <c r="R24" s="14"/>
      <c r="S24" s="14"/>
      <c r="T24" s="14"/>
      <c r="U24" s="14"/>
      <c r="V24" s="14"/>
      <c r="W24" s="14"/>
      <c r="X24" s="14"/>
      <c r="Y24" s="14"/>
      <c r="Z24" s="14"/>
    </row>
    <row x14ac:dyDescent="0.25" r="25" customHeight="1" ht="14.25">
      <c r="A25" s="14"/>
      <c r="B25" s="14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4"/>
      <c r="N25" s="14"/>
      <c r="O25" s="14"/>
      <c r="P25" s="28"/>
      <c r="Q25" s="28"/>
      <c r="R25" s="14"/>
      <c r="S25" s="14"/>
      <c r="T25" s="14"/>
      <c r="U25" s="14"/>
      <c r="V25" s="14"/>
      <c r="W25" s="14"/>
      <c r="X25" s="14"/>
      <c r="Y25" s="14"/>
      <c r="Z25" s="14"/>
    </row>
    <row x14ac:dyDescent="0.25" r="26" customHeight="1" ht="14.25">
      <c r="A26" s="14"/>
      <c r="B26" s="14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14"/>
      <c r="N26" s="14"/>
      <c r="O26" s="14"/>
      <c r="P26" s="28"/>
      <c r="Q26" s="28"/>
      <c r="R26" s="14"/>
      <c r="S26" s="14"/>
      <c r="T26" s="14"/>
      <c r="U26" s="14"/>
      <c r="V26" s="14"/>
      <c r="W26" s="14"/>
      <c r="X26" s="14"/>
      <c r="Y26" s="14"/>
      <c r="Z26" s="14"/>
    </row>
    <row x14ac:dyDescent="0.25" r="27" customHeight="1" ht="14.25">
      <c r="A27" s="14"/>
      <c r="B27" s="14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14"/>
      <c r="N27" s="14"/>
      <c r="O27" s="14"/>
      <c r="P27" s="28"/>
      <c r="Q27" s="28"/>
      <c r="R27" s="14"/>
      <c r="S27" s="14"/>
      <c r="T27" s="14"/>
      <c r="U27" s="14"/>
      <c r="V27" s="14"/>
      <c r="W27" s="14"/>
      <c r="X27" s="14"/>
      <c r="Y27" s="14"/>
      <c r="Z27" s="14"/>
    </row>
    <row x14ac:dyDescent="0.25" r="28" customHeight="1" ht="14.25">
      <c r="A28" s="14"/>
      <c r="B28" s="14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4"/>
      <c r="N28" s="14"/>
      <c r="O28" s="14"/>
      <c r="P28" s="28"/>
      <c r="Q28" s="28"/>
      <c r="R28" s="14"/>
      <c r="S28" s="14"/>
      <c r="T28" s="14"/>
      <c r="U28" s="14"/>
      <c r="V28" s="14"/>
      <c r="W28" s="14"/>
      <c r="X28" s="14"/>
      <c r="Y28" s="14"/>
      <c r="Z28" s="14"/>
    </row>
    <row x14ac:dyDescent="0.25" r="29" customHeight="1" ht="14.25">
      <c r="A29" s="14"/>
      <c r="B29" s="14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4"/>
      <c r="N29" s="14"/>
      <c r="O29" s="14"/>
      <c r="P29" s="28"/>
      <c r="Q29" s="28"/>
      <c r="R29" s="14"/>
      <c r="S29" s="14"/>
      <c r="T29" s="14"/>
      <c r="U29" s="14"/>
      <c r="V29" s="14"/>
      <c r="W29" s="14"/>
      <c r="X29" s="14"/>
      <c r="Y29" s="14"/>
      <c r="Z29" s="14"/>
    </row>
    <row x14ac:dyDescent="0.25" r="30" customHeight="1" ht="14.25">
      <c r="A30" s="14"/>
      <c r="B30" s="14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4"/>
      <c r="N30" s="14"/>
      <c r="O30" s="14"/>
      <c r="P30" s="28"/>
      <c r="Q30" s="28"/>
      <c r="R30" s="14"/>
      <c r="S30" s="14"/>
      <c r="T30" s="14"/>
      <c r="U30" s="14"/>
      <c r="V30" s="14"/>
      <c r="W30" s="14"/>
      <c r="X30" s="14"/>
      <c r="Y30" s="14"/>
      <c r="Z30" s="14"/>
    </row>
    <row x14ac:dyDescent="0.25" r="31" customHeight="1" ht="14.25">
      <c r="A31" s="14"/>
      <c r="B31" s="14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14"/>
      <c r="N31" s="14"/>
      <c r="O31" s="14"/>
      <c r="P31" s="28"/>
      <c r="Q31" s="28"/>
      <c r="R31" s="14"/>
      <c r="S31" s="14"/>
      <c r="T31" s="14"/>
      <c r="U31" s="14"/>
      <c r="V31" s="14"/>
      <c r="W31" s="14"/>
      <c r="X31" s="14"/>
      <c r="Y31" s="14"/>
      <c r="Z31" s="14"/>
    </row>
    <row x14ac:dyDescent="0.25" r="32" customHeight="1" ht="14.25">
      <c r="A32" s="14"/>
      <c r="B32" s="14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14"/>
      <c r="N32" s="14"/>
      <c r="O32" s="14"/>
      <c r="P32" s="28"/>
      <c r="Q32" s="28"/>
      <c r="R32" s="14"/>
      <c r="S32" s="14"/>
      <c r="T32" s="14"/>
      <c r="U32" s="14"/>
      <c r="V32" s="14"/>
      <c r="W32" s="14"/>
      <c r="X32" s="14"/>
      <c r="Y32" s="14"/>
      <c r="Z32" s="14"/>
    </row>
    <row x14ac:dyDescent="0.25" r="33" customHeight="1" ht="14.25">
      <c r="A33" s="14"/>
      <c r="B33" s="14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14"/>
      <c r="N33" s="14"/>
      <c r="O33" s="14"/>
      <c r="P33" s="28"/>
      <c r="Q33" s="28"/>
      <c r="R33" s="14"/>
      <c r="S33" s="14"/>
      <c r="T33" s="14"/>
      <c r="U33" s="14"/>
      <c r="V33" s="14"/>
      <c r="W33" s="14"/>
      <c r="X33" s="14"/>
      <c r="Y33" s="14"/>
      <c r="Z33" s="14"/>
    </row>
    <row x14ac:dyDescent="0.25" r="34" customHeight="1" ht="14.25">
      <c r="A34" s="14"/>
      <c r="B34" s="14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14"/>
      <c r="N34" s="14"/>
      <c r="O34" s="14"/>
      <c r="P34" s="28"/>
      <c r="Q34" s="28"/>
      <c r="R34" s="14"/>
      <c r="S34" s="14"/>
      <c r="T34" s="14"/>
      <c r="U34" s="14"/>
      <c r="V34" s="14"/>
      <c r="W34" s="14"/>
      <c r="X34" s="14"/>
      <c r="Y34" s="14"/>
      <c r="Z34" s="14"/>
    </row>
    <row x14ac:dyDescent="0.25" r="35" customHeight="1" ht="14.25">
      <c r="A35" s="14"/>
      <c r="B35" s="14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14"/>
      <c r="N35" s="14"/>
      <c r="O35" s="14"/>
      <c r="P35" s="28"/>
      <c r="Q35" s="28"/>
      <c r="R35" s="14"/>
      <c r="S35" s="14"/>
      <c r="T35" s="14"/>
      <c r="U35" s="14"/>
      <c r="V35" s="14"/>
      <c r="W35" s="14"/>
      <c r="X35" s="14"/>
      <c r="Y35" s="14"/>
      <c r="Z35" s="14"/>
    </row>
    <row x14ac:dyDescent="0.25" r="36" customHeight="1" ht="14.25">
      <c r="A36" s="14"/>
      <c r="B36" s="14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14"/>
      <c r="N36" s="14"/>
      <c r="O36" s="14"/>
      <c r="P36" s="28"/>
      <c r="Q36" s="28"/>
      <c r="R36" s="14"/>
      <c r="S36" s="14"/>
      <c r="T36" s="14"/>
      <c r="U36" s="14"/>
      <c r="V36" s="14"/>
      <c r="W36" s="14"/>
      <c r="X36" s="14"/>
      <c r="Y36" s="14"/>
      <c r="Z36" s="14"/>
    </row>
    <row x14ac:dyDescent="0.25" r="37" customHeight="1" ht="14.25">
      <c r="A37" s="14"/>
      <c r="B37" s="14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14"/>
      <c r="N37" s="14"/>
      <c r="O37" s="14"/>
      <c r="P37" s="28"/>
      <c r="Q37" s="28"/>
      <c r="R37" s="14"/>
      <c r="S37" s="14"/>
      <c r="T37" s="14"/>
      <c r="U37" s="14"/>
      <c r="V37" s="14"/>
      <c r="W37" s="14"/>
      <c r="X37" s="14"/>
      <c r="Y37" s="14"/>
      <c r="Z37" s="14"/>
    </row>
    <row x14ac:dyDescent="0.25" r="38" customHeight="1" ht="14.25">
      <c r="A38" s="14"/>
      <c r="B38" s="14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14"/>
      <c r="N38" s="14"/>
      <c r="O38" s="14"/>
      <c r="P38" s="28"/>
      <c r="Q38" s="28"/>
      <c r="R38" s="14"/>
      <c r="S38" s="14"/>
      <c r="T38" s="14"/>
      <c r="U38" s="14"/>
      <c r="V38" s="14"/>
      <c r="W38" s="14"/>
      <c r="X38" s="14"/>
      <c r="Y38" s="14"/>
      <c r="Z38" s="14"/>
    </row>
    <row x14ac:dyDescent="0.25" r="39" customHeight="1" ht="14.25">
      <c r="A39" s="14"/>
      <c r="B39" s="14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14"/>
      <c r="N39" s="14"/>
      <c r="O39" s="14"/>
      <c r="P39" s="28"/>
      <c r="Q39" s="28"/>
      <c r="R39" s="14"/>
      <c r="S39" s="14"/>
      <c r="T39" s="14"/>
      <c r="U39" s="14"/>
      <c r="V39" s="14"/>
      <c r="W39" s="14"/>
      <c r="X39" s="14"/>
      <c r="Y39" s="14"/>
      <c r="Z39" s="14"/>
    </row>
    <row x14ac:dyDescent="0.25" r="40" customHeight="1" ht="14.25">
      <c r="A40" s="14"/>
      <c r="B40" s="14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14"/>
      <c r="N40" s="14"/>
      <c r="O40" s="14"/>
      <c r="P40" s="28"/>
      <c r="Q40" s="28"/>
      <c r="R40" s="14"/>
      <c r="S40" s="14"/>
      <c r="T40" s="14"/>
      <c r="U40" s="14"/>
      <c r="V40" s="14"/>
      <c r="W40" s="14"/>
      <c r="X40" s="14"/>
      <c r="Y40" s="14"/>
      <c r="Z40" s="14"/>
    </row>
    <row x14ac:dyDescent="0.25" r="41" customHeight="1" ht="14.25">
      <c r="A41" s="14"/>
      <c r="B41" s="14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14"/>
      <c r="N41" s="14"/>
      <c r="O41" s="14"/>
      <c r="P41" s="28"/>
      <c r="Q41" s="28"/>
      <c r="R41" s="14"/>
      <c r="S41" s="14"/>
      <c r="T41" s="14"/>
      <c r="U41" s="14"/>
      <c r="V41" s="14"/>
      <c r="W41" s="14"/>
      <c r="X41" s="14"/>
      <c r="Y41" s="14"/>
      <c r="Z41" s="14"/>
    </row>
    <row x14ac:dyDescent="0.25" r="42" customHeight="1" ht="14.25">
      <c r="A42" s="14"/>
      <c r="B42" s="14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14"/>
      <c r="N42" s="14"/>
      <c r="O42" s="14"/>
      <c r="P42" s="28"/>
      <c r="Q42" s="28"/>
      <c r="R42" s="14"/>
      <c r="S42" s="14"/>
      <c r="T42" s="14"/>
      <c r="U42" s="14"/>
      <c r="V42" s="14"/>
      <c r="W42" s="14"/>
      <c r="X42" s="14"/>
      <c r="Y42" s="14"/>
      <c r="Z42" s="14"/>
    </row>
    <row x14ac:dyDescent="0.25" r="43" customHeight="1" ht="14.25">
      <c r="A43" s="14"/>
      <c r="B43" s="1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14"/>
      <c r="N43" s="14"/>
      <c r="O43" s="14"/>
      <c r="P43" s="28"/>
      <c r="Q43" s="28"/>
      <c r="R43" s="14"/>
      <c r="S43" s="14"/>
      <c r="T43" s="14"/>
      <c r="U43" s="14"/>
      <c r="V43" s="14"/>
      <c r="W43" s="14"/>
      <c r="X43" s="14"/>
      <c r="Y43" s="14"/>
      <c r="Z43" s="14"/>
    </row>
    <row x14ac:dyDescent="0.25" r="44" customHeight="1" ht="14.25">
      <c r="A44" s="14"/>
      <c r="B44" s="14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14"/>
      <c r="N44" s="14"/>
      <c r="O44" s="14"/>
      <c r="P44" s="28"/>
      <c r="Q44" s="28"/>
      <c r="R44" s="14"/>
      <c r="S44" s="14"/>
      <c r="T44" s="14"/>
      <c r="U44" s="14"/>
      <c r="V44" s="14"/>
      <c r="W44" s="14"/>
      <c r="X44" s="14"/>
      <c r="Y44" s="14"/>
      <c r="Z44" s="14"/>
    </row>
    <row x14ac:dyDescent="0.25" r="45" customHeight="1" ht="14.25">
      <c r="A45" s="14"/>
      <c r="B45" s="14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14"/>
      <c r="N45" s="14"/>
      <c r="O45" s="14"/>
      <c r="P45" s="28"/>
      <c r="Q45" s="28"/>
      <c r="R45" s="14"/>
      <c r="S45" s="14"/>
      <c r="T45" s="14"/>
      <c r="U45" s="14"/>
      <c r="V45" s="14"/>
      <c r="W45" s="14"/>
      <c r="X45" s="14"/>
      <c r="Y45" s="14"/>
      <c r="Z45" s="14"/>
    </row>
    <row x14ac:dyDescent="0.25" r="46" customHeight="1" ht="14.25">
      <c r="A46" s="14"/>
      <c r="B46" s="14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14"/>
      <c r="N46" s="14"/>
      <c r="O46" s="14"/>
      <c r="P46" s="28"/>
      <c r="Q46" s="28"/>
      <c r="R46" s="14"/>
      <c r="S46" s="14"/>
      <c r="T46" s="14"/>
      <c r="U46" s="14"/>
      <c r="V46" s="14"/>
      <c r="W46" s="14"/>
      <c r="X46" s="14"/>
      <c r="Y46" s="14"/>
      <c r="Z46" s="14"/>
    </row>
    <row x14ac:dyDescent="0.25" r="47" customHeight="1" ht="14.25">
      <c r="A47" s="14"/>
      <c r="B47" s="14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14"/>
      <c r="N47" s="14"/>
      <c r="O47" s="14"/>
      <c r="P47" s="28"/>
      <c r="Q47" s="28"/>
      <c r="R47" s="14"/>
      <c r="S47" s="14"/>
      <c r="T47" s="14"/>
      <c r="U47" s="14"/>
      <c r="V47" s="14"/>
      <c r="W47" s="14"/>
      <c r="X47" s="14"/>
      <c r="Y47" s="14"/>
      <c r="Z47" s="14"/>
    </row>
    <row x14ac:dyDescent="0.25" r="48" customHeight="1" ht="14.25">
      <c r="A48" s="14"/>
      <c r="B48" s="14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14"/>
      <c r="N48" s="14"/>
      <c r="O48" s="14"/>
      <c r="P48" s="28"/>
      <c r="Q48" s="28"/>
      <c r="R48" s="14"/>
      <c r="S48" s="14"/>
      <c r="T48" s="14"/>
      <c r="U48" s="14"/>
      <c r="V48" s="14"/>
      <c r="W48" s="14"/>
      <c r="X48" s="14"/>
      <c r="Y48" s="14"/>
      <c r="Z48" s="14"/>
    </row>
    <row x14ac:dyDescent="0.25" r="49" customHeight="1" ht="14.25">
      <c r="A49" s="14"/>
      <c r="B49" s="14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14"/>
      <c r="N49" s="14"/>
      <c r="O49" s="14"/>
      <c r="P49" s="28"/>
      <c r="Q49" s="28"/>
      <c r="R49" s="14"/>
      <c r="S49" s="14"/>
      <c r="T49" s="14"/>
      <c r="U49" s="14"/>
      <c r="V49" s="14"/>
      <c r="W49" s="14"/>
      <c r="X49" s="14"/>
      <c r="Y49" s="14"/>
      <c r="Z49" s="14"/>
    </row>
    <row x14ac:dyDescent="0.25" r="50" customHeight="1" ht="14.25">
      <c r="A50" s="14"/>
      <c r="B50" s="14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14"/>
      <c r="N50" s="14"/>
      <c r="O50" s="14"/>
      <c r="P50" s="28"/>
      <c r="Q50" s="28"/>
      <c r="R50" s="14"/>
      <c r="S50" s="14"/>
      <c r="T50" s="14"/>
      <c r="U50" s="14"/>
      <c r="V50" s="14"/>
      <c r="W50" s="14"/>
      <c r="X50" s="14"/>
      <c r="Y50" s="14"/>
      <c r="Z50" s="14"/>
    </row>
    <row x14ac:dyDescent="0.25" r="51" customHeight="1" ht="14.25">
      <c r="A51" s="14"/>
      <c r="B51" s="14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14"/>
      <c r="N51" s="14"/>
      <c r="O51" s="14"/>
      <c r="P51" s="28"/>
      <c r="Q51" s="28"/>
      <c r="R51" s="14"/>
      <c r="S51" s="14"/>
      <c r="T51" s="14"/>
      <c r="U51" s="14"/>
      <c r="V51" s="14"/>
      <c r="W51" s="14"/>
      <c r="X51" s="14"/>
      <c r="Y51" s="14"/>
      <c r="Z51" s="14"/>
    </row>
    <row x14ac:dyDescent="0.25" r="52" customHeight="1" ht="14.25">
      <c r="A52" s="14"/>
      <c r="B52" s="14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14"/>
      <c r="N52" s="14"/>
      <c r="O52" s="14"/>
      <c r="P52" s="28"/>
      <c r="Q52" s="28"/>
      <c r="R52" s="14"/>
      <c r="S52" s="14"/>
      <c r="T52" s="14"/>
      <c r="U52" s="14"/>
      <c r="V52" s="14"/>
      <c r="W52" s="14"/>
      <c r="X52" s="14"/>
      <c r="Y52" s="14"/>
      <c r="Z52" s="14"/>
    </row>
    <row x14ac:dyDescent="0.25" r="53" customHeight="1" ht="14.25">
      <c r="A53" s="14"/>
      <c r="B53" s="14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14"/>
      <c r="N53" s="14"/>
      <c r="O53" s="14"/>
      <c r="P53" s="28"/>
      <c r="Q53" s="28"/>
      <c r="R53" s="14"/>
      <c r="S53" s="14"/>
      <c r="T53" s="14"/>
      <c r="U53" s="14"/>
      <c r="V53" s="14"/>
      <c r="W53" s="14"/>
      <c r="X53" s="14"/>
      <c r="Y53" s="14"/>
      <c r="Z53" s="14"/>
    </row>
    <row x14ac:dyDescent="0.25" r="54" customHeight="1" ht="14.25">
      <c r="A54" s="14"/>
      <c r="B54" s="14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14"/>
      <c r="N54" s="14"/>
      <c r="O54" s="14"/>
      <c r="P54" s="28"/>
      <c r="Q54" s="28"/>
      <c r="R54" s="14"/>
      <c r="S54" s="14"/>
      <c r="T54" s="14"/>
      <c r="U54" s="14"/>
      <c r="V54" s="14"/>
      <c r="W54" s="14"/>
      <c r="X54" s="14"/>
      <c r="Y54" s="14"/>
      <c r="Z54" s="14"/>
    </row>
    <row x14ac:dyDescent="0.25" r="55" customHeight="1" ht="14.25">
      <c r="A55" s="14"/>
      <c r="B55" s="14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14"/>
      <c r="N55" s="14"/>
      <c r="O55" s="14"/>
      <c r="P55" s="28"/>
      <c r="Q55" s="28"/>
      <c r="R55" s="14"/>
      <c r="S55" s="14"/>
      <c r="T55" s="14"/>
      <c r="U55" s="14"/>
      <c r="V55" s="14"/>
      <c r="W55" s="14"/>
      <c r="X55" s="14"/>
      <c r="Y55" s="14"/>
      <c r="Z55" s="14"/>
    </row>
    <row x14ac:dyDescent="0.25" r="56" customHeight="1" ht="14.25">
      <c r="A56" s="14"/>
      <c r="B56" s="14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14"/>
      <c r="N56" s="14"/>
      <c r="O56" s="14"/>
      <c r="P56" s="28"/>
      <c r="Q56" s="28"/>
      <c r="R56" s="14"/>
      <c r="S56" s="14"/>
      <c r="T56" s="14"/>
      <c r="U56" s="14"/>
      <c r="V56" s="14"/>
      <c r="W56" s="14"/>
      <c r="X56" s="14"/>
      <c r="Y56" s="14"/>
      <c r="Z56" s="14"/>
    </row>
    <row x14ac:dyDescent="0.25" r="57" customHeight="1" ht="14.25">
      <c r="A57" s="14"/>
      <c r="B57" s="14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14"/>
      <c r="N57" s="14"/>
      <c r="O57" s="14"/>
      <c r="P57" s="28"/>
      <c r="Q57" s="28"/>
      <c r="R57" s="14"/>
      <c r="S57" s="14"/>
      <c r="T57" s="14"/>
      <c r="U57" s="14"/>
      <c r="V57" s="14"/>
      <c r="W57" s="14"/>
      <c r="X57" s="14"/>
      <c r="Y57" s="14"/>
      <c r="Z57" s="14"/>
    </row>
    <row x14ac:dyDescent="0.25" r="58" customHeight="1" ht="14.25">
      <c r="A58" s="14"/>
      <c r="B58" s="14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14"/>
      <c r="N58" s="14"/>
      <c r="O58" s="14"/>
      <c r="P58" s="28"/>
      <c r="Q58" s="28"/>
      <c r="R58" s="14"/>
      <c r="S58" s="14"/>
      <c r="T58" s="14"/>
      <c r="U58" s="14"/>
      <c r="V58" s="14"/>
      <c r="W58" s="14"/>
      <c r="X58" s="14"/>
      <c r="Y58" s="14"/>
      <c r="Z58" s="14"/>
    </row>
    <row x14ac:dyDescent="0.25" r="59" customHeight="1" ht="14.25">
      <c r="A59" s="14"/>
      <c r="B59" s="14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14"/>
      <c r="N59" s="14"/>
      <c r="O59" s="14"/>
      <c r="P59" s="28"/>
      <c r="Q59" s="28"/>
      <c r="R59" s="14"/>
      <c r="S59" s="14"/>
      <c r="T59" s="14"/>
      <c r="U59" s="14"/>
      <c r="V59" s="14"/>
      <c r="W59" s="14"/>
      <c r="X59" s="14"/>
      <c r="Y59" s="14"/>
      <c r="Z59" s="14"/>
    </row>
    <row x14ac:dyDescent="0.25" r="60" customHeight="1" ht="14.25">
      <c r="A60" s="14"/>
      <c r="B60" s="14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14"/>
      <c r="N60" s="14"/>
      <c r="O60" s="14"/>
      <c r="P60" s="28"/>
      <c r="Q60" s="28"/>
      <c r="R60" s="14"/>
      <c r="S60" s="14"/>
      <c r="T60" s="14"/>
      <c r="U60" s="14"/>
      <c r="V60" s="14"/>
      <c r="W60" s="14"/>
      <c r="X60" s="14"/>
      <c r="Y60" s="14"/>
      <c r="Z60" s="14"/>
    </row>
    <row x14ac:dyDescent="0.25" r="61" customHeight="1" ht="14.25">
      <c r="A61" s="14"/>
      <c r="B61" s="14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14"/>
      <c r="N61" s="14"/>
      <c r="O61" s="14"/>
      <c r="P61" s="28"/>
      <c r="Q61" s="28"/>
      <c r="R61" s="14"/>
      <c r="S61" s="14"/>
      <c r="T61" s="14"/>
      <c r="U61" s="14"/>
      <c r="V61" s="14"/>
      <c r="W61" s="14"/>
      <c r="X61" s="14"/>
      <c r="Y61" s="14"/>
      <c r="Z61" s="14"/>
    </row>
    <row x14ac:dyDescent="0.25" r="62" customHeight="1" ht="14.25">
      <c r="A62" s="14"/>
      <c r="B62" s="14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14"/>
      <c r="N62" s="14"/>
      <c r="O62" s="14"/>
      <c r="P62" s="28"/>
      <c r="Q62" s="28"/>
      <c r="R62" s="14"/>
      <c r="S62" s="14"/>
      <c r="T62" s="14"/>
      <c r="U62" s="14"/>
      <c r="V62" s="14"/>
      <c r="W62" s="14"/>
      <c r="X62" s="14"/>
      <c r="Y62" s="14"/>
      <c r="Z62" s="14"/>
    </row>
    <row x14ac:dyDescent="0.25" r="63" customHeight="1" ht="14.25">
      <c r="A63" s="14"/>
      <c r="B63" s="14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14"/>
      <c r="N63" s="14"/>
      <c r="O63" s="14"/>
      <c r="P63" s="28"/>
      <c r="Q63" s="28"/>
      <c r="R63" s="14"/>
      <c r="S63" s="14"/>
      <c r="T63" s="14"/>
      <c r="U63" s="14"/>
      <c r="V63" s="14"/>
      <c r="W63" s="14"/>
      <c r="X63" s="14"/>
      <c r="Y63" s="14"/>
      <c r="Z63" s="14"/>
    </row>
    <row x14ac:dyDescent="0.25" r="64" customHeight="1" ht="14.25">
      <c r="A64" s="14"/>
      <c r="B64" s="14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14"/>
      <c r="N64" s="14"/>
      <c r="O64" s="14"/>
      <c r="P64" s="28"/>
      <c r="Q64" s="28"/>
      <c r="R64" s="14"/>
      <c r="S64" s="14"/>
      <c r="T64" s="14"/>
      <c r="U64" s="14"/>
      <c r="V64" s="14"/>
      <c r="W64" s="14"/>
      <c r="X64" s="14"/>
      <c r="Y64" s="14"/>
      <c r="Z64" s="14"/>
    </row>
    <row x14ac:dyDescent="0.25" r="65" customHeight="1" ht="14.25">
      <c r="A65" s="14"/>
      <c r="B65" s="14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14"/>
      <c r="N65" s="14"/>
      <c r="O65" s="14"/>
      <c r="P65" s="28"/>
      <c r="Q65" s="28"/>
      <c r="R65" s="14"/>
      <c r="S65" s="14"/>
      <c r="T65" s="14"/>
      <c r="U65" s="14"/>
      <c r="V65" s="14"/>
      <c r="W65" s="14"/>
      <c r="X65" s="14"/>
      <c r="Y65" s="14"/>
      <c r="Z65" s="14"/>
    </row>
    <row x14ac:dyDescent="0.25" r="66" customHeight="1" ht="14.25">
      <c r="A66" s="14"/>
      <c r="B66" s="14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14"/>
      <c r="N66" s="14"/>
      <c r="O66" s="14"/>
      <c r="P66" s="28"/>
      <c r="Q66" s="28"/>
      <c r="R66" s="14"/>
      <c r="S66" s="14"/>
      <c r="T66" s="14"/>
      <c r="U66" s="14"/>
      <c r="V66" s="14"/>
      <c r="W66" s="14"/>
      <c r="X66" s="14"/>
      <c r="Y66" s="14"/>
      <c r="Z66" s="14"/>
    </row>
    <row x14ac:dyDescent="0.25" r="67" customHeight="1" ht="14.25">
      <c r="A67" s="14"/>
      <c r="B67" s="14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14"/>
      <c r="N67" s="14"/>
      <c r="O67" s="14"/>
      <c r="P67" s="28"/>
      <c r="Q67" s="28"/>
      <c r="R67" s="14"/>
      <c r="S67" s="14"/>
      <c r="T67" s="14"/>
      <c r="U67" s="14"/>
      <c r="V67" s="14"/>
      <c r="W67" s="14"/>
      <c r="X67" s="14"/>
      <c r="Y67" s="14"/>
      <c r="Z67" s="14"/>
    </row>
    <row x14ac:dyDescent="0.25" r="68" customHeight="1" ht="14.25">
      <c r="A68" s="14"/>
      <c r="B68" s="14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14"/>
      <c r="N68" s="14"/>
      <c r="O68" s="14"/>
      <c r="P68" s="28"/>
      <c r="Q68" s="28"/>
      <c r="R68" s="14"/>
      <c r="S68" s="14"/>
      <c r="T68" s="14"/>
      <c r="U68" s="14"/>
      <c r="V68" s="14"/>
      <c r="W68" s="14"/>
      <c r="X68" s="14"/>
      <c r="Y68" s="14"/>
      <c r="Z68" s="14"/>
    </row>
    <row x14ac:dyDescent="0.25" r="69" customHeight="1" ht="14.25">
      <c r="A69" s="14"/>
      <c r="B69" s="14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14"/>
      <c r="N69" s="14"/>
      <c r="O69" s="14"/>
      <c r="P69" s="28"/>
      <c r="Q69" s="28"/>
      <c r="R69" s="14"/>
      <c r="S69" s="14"/>
      <c r="T69" s="14"/>
      <c r="U69" s="14"/>
      <c r="V69" s="14"/>
      <c r="W69" s="14"/>
      <c r="X69" s="14"/>
      <c r="Y69" s="14"/>
      <c r="Z69" s="14"/>
    </row>
    <row x14ac:dyDescent="0.25" r="70" customHeight="1" ht="14.25">
      <c r="A70" s="14"/>
      <c r="B70" s="14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14"/>
      <c r="N70" s="14"/>
      <c r="O70" s="14"/>
      <c r="P70" s="28"/>
      <c r="Q70" s="28"/>
      <c r="R70" s="14"/>
      <c r="S70" s="14"/>
      <c r="T70" s="14"/>
      <c r="U70" s="14"/>
      <c r="V70" s="14"/>
      <c r="W70" s="14"/>
      <c r="X70" s="14"/>
      <c r="Y70" s="14"/>
      <c r="Z70" s="14"/>
    </row>
    <row x14ac:dyDescent="0.25" r="71" customHeight="1" ht="14.25">
      <c r="A71" s="14"/>
      <c r="B71" s="14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14"/>
      <c r="N71" s="14"/>
      <c r="O71" s="14"/>
      <c r="P71" s="28"/>
      <c r="Q71" s="28"/>
      <c r="R71" s="14"/>
      <c r="S71" s="14"/>
      <c r="T71" s="14"/>
      <c r="U71" s="14"/>
      <c r="V71" s="14"/>
      <c r="W71" s="14"/>
      <c r="X71" s="14"/>
      <c r="Y71" s="14"/>
      <c r="Z71" s="14"/>
    </row>
    <row x14ac:dyDescent="0.25" r="72" customHeight="1" ht="14.25">
      <c r="A72" s="14"/>
      <c r="B72" s="14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14"/>
      <c r="N72" s="14"/>
      <c r="O72" s="14"/>
      <c r="P72" s="28"/>
      <c r="Q72" s="28"/>
      <c r="R72" s="14"/>
      <c r="S72" s="14"/>
      <c r="T72" s="14"/>
      <c r="U72" s="14"/>
      <c r="V72" s="14"/>
      <c r="W72" s="14"/>
      <c r="X72" s="14"/>
      <c r="Y72" s="14"/>
      <c r="Z72" s="14"/>
    </row>
    <row x14ac:dyDescent="0.25" r="73" customHeight="1" ht="14.25">
      <c r="A73" s="14"/>
      <c r="B73" s="14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14"/>
      <c r="N73" s="14"/>
      <c r="O73" s="14"/>
      <c r="P73" s="28"/>
      <c r="Q73" s="28"/>
      <c r="R73" s="14"/>
      <c r="S73" s="14"/>
      <c r="T73" s="14"/>
      <c r="U73" s="14"/>
      <c r="V73" s="14"/>
      <c r="W73" s="14"/>
      <c r="X73" s="14"/>
      <c r="Y73" s="14"/>
      <c r="Z73" s="14"/>
    </row>
    <row x14ac:dyDescent="0.25" r="74" customHeight="1" ht="14.25">
      <c r="A74" s="14"/>
      <c r="B74" s="14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14"/>
      <c r="N74" s="14"/>
      <c r="O74" s="14"/>
      <c r="P74" s="28"/>
      <c r="Q74" s="28"/>
      <c r="R74" s="14"/>
      <c r="S74" s="14"/>
      <c r="T74" s="14"/>
      <c r="U74" s="14"/>
      <c r="V74" s="14"/>
      <c r="W74" s="14"/>
      <c r="X74" s="14"/>
      <c r="Y74" s="14"/>
      <c r="Z74" s="14"/>
    </row>
    <row x14ac:dyDescent="0.25" r="75" customHeight="1" ht="14.25">
      <c r="A75" s="14"/>
      <c r="B75" s="14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14"/>
      <c r="N75" s="14"/>
      <c r="O75" s="14"/>
      <c r="P75" s="28"/>
      <c r="Q75" s="28"/>
      <c r="R75" s="14"/>
      <c r="S75" s="14"/>
      <c r="T75" s="14"/>
      <c r="U75" s="14"/>
      <c r="V75" s="14"/>
      <c r="W75" s="14"/>
      <c r="X75" s="14"/>
      <c r="Y75" s="14"/>
      <c r="Z75" s="14"/>
    </row>
    <row x14ac:dyDescent="0.25" r="76" customHeight="1" ht="14.25">
      <c r="A76" s="14"/>
      <c r="B76" s="14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14"/>
      <c r="N76" s="14"/>
      <c r="O76" s="14"/>
      <c r="P76" s="28"/>
      <c r="Q76" s="28"/>
      <c r="R76" s="14"/>
      <c r="S76" s="14"/>
      <c r="T76" s="14"/>
      <c r="U76" s="14"/>
      <c r="V76" s="14"/>
      <c r="W76" s="14"/>
      <c r="X76" s="14"/>
      <c r="Y76" s="14"/>
      <c r="Z76" s="14"/>
    </row>
    <row x14ac:dyDescent="0.25" r="77" customHeight="1" ht="14.25">
      <c r="A77" s="14"/>
      <c r="B77" s="14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14"/>
      <c r="N77" s="14"/>
      <c r="O77" s="14"/>
      <c r="P77" s="28"/>
      <c r="Q77" s="28"/>
      <c r="R77" s="14"/>
      <c r="S77" s="14"/>
      <c r="T77" s="14"/>
      <c r="U77" s="14"/>
      <c r="V77" s="14"/>
      <c r="W77" s="14"/>
      <c r="X77" s="14"/>
      <c r="Y77" s="14"/>
      <c r="Z77" s="14"/>
    </row>
    <row x14ac:dyDescent="0.25" r="78" customHeight="1" ht="14.25">
      <c r="A78" s="14"/>
      <c r="B78" s="14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14"/>
      <c r="N78" s="14"/>
      <c r="O78" s="14"/>
      <c r="P78" s="28"/>
      <c r="Q78" s="28"/>
      <c r="R78" s="14"/>
      <c r="S78" s="14"/>
      <c r="T78" s="14"/>
      <c r="U78" s="14"/>
      <c r="V78" s="14"/>
      <c r="W78" s="14"/>
      <c r="X78" s="14"/>
      <c r="Y78" s="14"/>
      <c r="Z78" s="14"/>
    </row>
    <row x14ac:dyDescent="0.25" r="79" customHeight="1" ht="14.25">
      <c r="A79" s="14"/>
      <c r="B79" s="14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14"/>
      <c r="N79" s="14"/>
      <c r="O79" s="14"/>
      <c r="P79" s="28"/>
      <c r="Q79" s="28"/>
      <c r="R79" s="14"/>
      <c r="S79" s="14"/>
      <c r="T79" s="14"/>
      <c r="U79" s="14"/>
      <c r="V79" s="14"/>
      <c r="W79" s="14"/>
      <c r="X79" s="14"/>
      <c r="Y79" s="14"/>
      <c r="Z79" s="14"/>
    </row>
    <row x14ac:dyDescent="0.25" r="80" customHeight="1" ht="14.25">
      <c r="A80" s="14"/>
      <c r="B80" s="14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14"/>
      <c r="N80" s="14"/>
      <c r="O80" s="14"/>
      <c r="P80" s="28"/>
      <c r="Q80" s="28"/>
      <c r="R80" s="14"/>
      <c r="S80" s="14"/>
      <c r="T80" s="14"/>
      <c r="U80" s="14"/>
      <c r="V80" s="14"/>
      <c r="W80" s="14"/>
      <c r="X80" s="14"/>
      <c r="Y80" s="14"/>
      <c r="Z80" s="14"/>
    </row>
    <row x14ac:dyDescent="0.25" r="81" customHeight="1" ht="14.25">
      <c r="A81" s="14"/>
      <c r="B81" s="14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14"/>
      <c r="N81" s="14"/>
      <c r="O81" s="14"/>
      <c r="P81" s="28"/>
      <c r="Q81" s="28"/>
      <c r="R81" s="14"/>
      <c r="S81" s="14"/>
      <c r="T81" s="14"/>
      <c r="U81" s="14"/>
      <c r="V81" s="14"/>
      <c r="W81" s="14"/>
      <c r="X81" s="14"/>
      <c r="Y81" s="14"/>
      <c r="Z81" s="14"/>
    </row>
    <row x14ac:dyDescent="0.25" r="82" customHeight="1" ht="14.25">
      <c r="A82" s="14"/>
      <c r="B82" s="14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14"/>
      <c r="N82" s="14"/>
      <c r="O82" s="14"/>
      <c r="P82" s="28"/>
      <c r="Q82" s="28"/>
      <c r="R82" s="14"/>
      <c r="S82" s="14"/>
      <c r="T82" s="14"/>
      <c r="U82" s="14"/>
      <c r="V82" s="14"/>
      <c r="W82" s="14"/>
      <c r="X82" s="14"/>
      <c r="Y82" s="14"/>
      <c r="Z82" s="14"/>
    </row>
    <row x14ac:dyDescent="0.25" r="83" customHeight="1" ht="14.25">
      <c r="A83" s="14"/>
      <c r="B83" s="14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14"/>
      <c r="N83" s="14"/>
      <c r="O83" s="14"/>
      <c r="P83" s="28"/>
      <c r="Q83" s="28"/>
      <c r="R83" s="14"/>
      <c r="S83" s="14"/>
      <c r="T83" s="14"/>
      <c r="U83" s="14"/>
      <c r="V83" s="14"/>
      <c r="W83" s="14"/>
      <c r="X83" s="14"/>
      <c r="Y83" s="14"/>
      <c r="Z83" s="14"/>
    </row>
    <row x14ac:dyDescent="0.25" r="84" customHeight="1" ht="14.25">
      <c r="A84" s="14"/>
      <c r="B84" s="14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14"/>
      <c r="N84" s="14"/>
      <c r="O84" s="14"/>
      <c r="P84" s="28"/>
      <c r="Q84" s="28"/>
      <c r="R84" s="14"/>
      <c r="S84" s="14"/>
      <c r="T84" s="14"/>
      <c r="U84" s="14"/>
      <c r="V84" s="14"/>
      <c r="W84" s="14"/>
      <c r="X84" s="14"/>
      <c r="Y84" s="14"/>
      <c r="Z84" s="14"/>
    </row>
    <row x14ac:dyDescent="0.25" r="85" customHeight="1" ht="14.25">
      <c r="A85" s="14"/>
      <c r="B85" s="14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14"/>
      <c r="N85" s="14"/>
      <c r="O85" s="14"/>
      <c r="P85" s="28"/>
      <c r="Q85" s="28"/>
      <c r="R85" s="14"/>
      <c r="S85" s="14"/>
      <c r="T85" s="14"/>
      <c r="U85" s="14"/>
      <c r="V85" s="14"/>
      <c r="W85" s="14"/>
      <c r="X85" s="14"/>
      <c r="Y85" s="14"/>
      <c r="Z85" s="14"/>
    </row>
    <row x14ac:dyDescent="0.25" r="86" customHeight="1" ht="14.25">
      <c r="A86" s="14"/>
      <c r="B86" s="14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14"/>
      <c r="N86" s="14"/>
      <c r="O86" s="14"/>
      <c r="P86" s="28"/>
      <c r="Q86" s="28"/>
      <c r="R86" s="14"/>
      <c r="S86" s="14"/>
      <c r="T86" s="14"/>
      <c r="U86" s="14"/>
      <c r="V86" s="14"/>
      <c r="W86" s="14"/>
      <c r="X86" s="14"/>
      <c r="Y86" s="14"/>
      <c r="Z86" s="14"/>
    </row>
    <row x14ac:dyDescent="0.25" r="87" customHeight="1" ht="14.25">
      <c r="A87" s="14"/>
      <c r="B87" s="14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14"/>
      <c r="N87" s="14"/>
      <c r="O87" s="14"/>
      <c r="P87" s="28"/>
      <c r="Q87" s="28"/>
      <c r="R87" s="14"/>
      <c r="S87" s="14"/>
      <c r="T87" s="14"/>
      <c r="U87" s="14"/>
      <c r="V87" s="14"/>
      <c r="W87" s="14"/>
      <c r="X87" s="14"/>
      <c r="Y87" s="14"/>
      <c r="Z87" s="14"/>
    </row>
    <row x14ac:dyDescent="0.25" r="88" customHeight="1" ht="14.25">
      <c r="A88" s="14"/>
      <c r="B88" s="14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14"/>
      <c r="N88" s="14"/>
      <c r="O88" s="14"/>
      <c r="P88" s="28"/>
      <c r="Q88" s="28"/>
      <c r="R88" s="14"/>
      <c r="S88" s="14"/>
      <c r="T88" s="14"/>
      <c r="U88" s="14"/>
      <c r="V88" s="14"/>
      <c r="W88" s="14"/>
      <c r="X88" s="14"/>
      <c r="Y88" s="14"/>
      <c r="Z88" s="14"/>
    </row>
    <row x14ac:dyDescent="0.25" r="89" customHeight="1" ht="14.25">
      <c r="A89" s="14"/>
      <c r="B89" s="14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14"/>
      <c r="N89" s="14"/>
      <c r="O89" s="14"/>
      <c r="P89" s="28"/>
      <c r="Q89" s="28"/>
      <c r="R89" s="14"/>
      <c r="S89" s="14"/>
      <c r="T89" s="14"/>
      <c r="U89" s="14"/>
      <c r="V89" s="14"/>
      <c r="W89" s="14"/>
      <c r="X89" s="14"/>
      <c r="Y89" s="14"/>
      <c r="Z89" s="14"/>
    </row>
    <row x14ac:dyDescent="0.25" r="90" customHeight="1" ht="14.25">
      <c r="A90" s="14"/>
      <c r="B90" s="14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14"/>
      <c r="N90" s="14"/>
      <c r="O90" s="14"/>
      <c r="P90" s="28"/>
      <c r="Q90" s="28"/>
      <c r="R90" s="14"/>
      <c r="S90" s="14"/>
      <c r="T90" s="14"/>
      <c r="U90" s="14"/>
      <c r="V90" s="14"/>
      <c r="W90" s="14"/>
      <c r="X90" s="14"/>
      <c r="Y90" s="14"/>
      <c r="Z90" s="14"/>
    </row>
    <row x14ac:dyDescent="0.25" r="91" customHeight="1" ht="14.25">
      <c r="A91" s="14"/>
      <c r="B91" s="14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14"/>
      <c r="N91" s="14"/>
      <c r="O91" s="14"/>
      <c r="P91" s="28"/>
      <c r="Q91" s="28"/>
      <c r="R91" s="14"/>
      <c r="S91" s="14"/>
      <c r="T91" s="14"/>
      <c r="U91" s="14"/>
      <c r="V91" s="14"/>
      <c r="W91" s="14"/>
      <c r="X91" s="14"/>
      <c r="Y91" s="14"/>
      <c r="Z91" s="14"/>
    </row>
    <row x14ac:dyDescent="0.25" r="92" customHeight="1" ht="14.25">
      <c r="A92" s="14"/>
      <c r="B92" s="14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14"/>
      <c r="N92" s="14"/>
      <c r="O92" s="14"/>
      <c r="P92" s="28"/>
      <c r="Q92" s="28"/>
      <c r="R92" s="14"/>
      <c r="S92" s="14"/>
      <c r="T92" s="14"/>
      <c r="U92" s="14"/>
      <c r="V92" s="14"/>
      <c r="W92" s="14"/>
      <c r="X92" s="14"/>
      <c r="Y92" s="14"/>
      <c r="Z92" s="14"/>
    </row>
    <row x14ac:dyDescent="0.25" r="93" customHeight="1" ht="14.25">
      <c r="A93" s="14"/>
      <c r="B93" s="14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14"/>
      <c r="N93" s="14"/>
      <c r="O93" s="14"/>
      <c r="P93" s="28"/>
      <c r="Q93" s="28"/>
      <c r="R93" s="14"/>
      <c r="S93" s="14"/>
      <c r="T93" s="14"/>
      <c r="U93" s="14"/>
      <c r="V93" s="14"/>
      <c r="W93" s="14"/>
      <c r="X93" s="14"/>
      <c r="Y93" s="14"/>
      <c r="Z93" s="14"/>
    </row>
    <row x14ac:dyDescent="0.25" r="94" customHeight="1" ht="14.25">
      <c r="A94" s="14"/>
      <c r="B94" s="14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14"/>
      <c r="N94" s="14"/>
      <c r="O94" s="14"/>
      <c r="P94" s="28"/>
      <c r="Q94" s="28"/>
      <c r="R94" s="14"/>
      <c r="S94" s="14"/>
      <c r="T94" s="14"/>
      <c r="U94" s="14"/>
      <c r="V94" s="14"/>
      <c r="W94" s="14"/>
      <c r="X94" s="14"/>
      <c r="Y94" s="14"/>
      <c r="Z94" s="14"/>
    </row>
    <row x14ac:dyDescent="0.25" r="95" customHeight="1" ht="14.25">
      <c r="A95" s="14"/>
      <c r="B95" s="14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14"/>
      <c r="N95" s="14"/>
      <c r="O95" s="14"/>
      <c r="P95" s="28"/>
      <c r="Q95" s="28"/>
      <c r="R95" s="14"/>
      <c r="S95" s="14"/>
      <c r="T95" s="14"/>
      <c r="U95" s="14"/>
      <c r="V95" s="14"/>
      <c r="W95" s="14"/>
      <c r="X95" s="14"/>
      <c r="Y95" s="14"/>
      <c r="Z95" s="14"/>
    </row>
    <row x14ac:dyDescent="0.25" r="96" customHeight="1" ht="14.25">
      <c r="A96" s="14"/>
      <c r="B96" s="14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14"/>
      <c r="N96" s="14"/>
      <c r="O96" s="14"/>
      <c r="P96" s="28"/>
      <c r="Q96" s="28"/>
      <c r="R96" s="14"/>
      <c r="S96" s="14"/>
      <c r="T96" s="14"/>
      <c r="U96" s="14"/>
      <c r="V96" s="14"/>
      <c r="W96" s="14"/>
      <c r="X96" s="14"/>
      <c r="Y96" s="14"/>
      <c r="Z96" s="14"/>
    </row>
    <row x14ac:dyDescent="0.25" r="97" customHeight="1" ht="14.25">
      <c r="A97" s="14"/>
      <c r="B97" s="14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14"/>
      <c r="N97" s="14"/>
      <c r="O97" s="14"/>
      <c r="P97" s="28"/>
      <c r="Q97" s="28"/>
      <c r="R97" s="14"/>
      <c r="S97" s="14"/>
      <c r="T97" s="14"/>
      <c r="U97" s="14"/>
      <c r="V97" s="14"/>
      <c r="W97" s="14"/>
      <c r="X97" s="14"/>
      <c r="Y97" s="14"/>
      <c r="Z97" s="14"/>
    </row>
    <row x14ac:dyDescent="0.25" r="98" customHeight="1" ht="14.25">
      <c r="A98" s="14"/>
      <c r="B98" s="14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14"/>
      <c r="N98" s="14"/>
      <c r="O98" s="14"/>
      <c r="P98" s="28"/>
      <c r="Q98" s="28"/>
      <c r="R98" s="14"/>
      <c r="S98" s="14"/>
      <c r="T98" s="14"/>
      <c r="U98" s="14"/>
      <c r="V98" s="14"/>
      <c r="W98" s="14"/>
      <c r="X98" s="14"/>
      <c r="Y98" s="14"/>
      <c r="Z98" s="14"/>
    </row>
    <row x14ac:dyDescent="0.25" r="99" customHeight="1" ht="14.25">
      <c r="A99" s="14"/>
      <c r="B99" s="14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14"/>
      <c r="N99" s="14"/>
      <c r="O99" s="14"/>
      <c r="P99" s="28"/>
      <c r="Q99" s="28"/>
      <c r="R99" s="14"/>
      <c r="S99" s="14"/>
      <c r="T99" s="14"/>
      <c r="U99" s="14"/>
      <c r="V99" s="14"/>
      <c r="W99" s="14"/>
      <c r="X99" s="14"/>
      <c r="Y99" s="14"/>
      <c r="Z99" s="14"/>
    </row>
    <row x14ac:dyDescent="0.25" r="100" customHeight="1" ht="14.25">
      <c r="A100" s="14"/>
      <c r="B100" s="14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14"/>
      <c r="N100" s="14"/>
      <c r="O100" s="14"/>
      <c r="P100" s="28"/>
      <c r="Q100" s="28"/>
      <c r="R100" s="14"/>
      <c r="S100" s="14"/>
      <c r="T100" s="14"/>
      <c r="U100" s="14"/>
      <c r="V100" s="14"/>
      <c r="W100" s="14"/>
      <c r="X100" s="14"/>
      <c r="Y100" s="14"/>
      <c r="Z100" s="14"/>
    </row>
    <row x14ac:dyDescent="0.25" r="101" customHeight="1" ht="14.25">
      <c r="A101" s="14"/>
      <c r="B101" s="14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14"/>
      <c r="N101" s="14"/>
      <c r="O101" s="14"/>
      <c r="P101" s="28"/>
      <c r="Q101" s="28"/>
      <c r="R101" s="14"/>
      <c r="S101" s="14"/>
      <c r="T101" s="14"/>
      <c r="U101" s="14"/>
      <c r="V101" s="14"/>
      <c r="W101" s="14"/>
      <c r="X101" s="14"/>
      <c r="Y101" s="14"/>
      <c r="Z101" s="14"/>
    </row>
    <row x14ac:dyDescent="0.25" r="102" customHeight="1" ht="14.25">
      <c r="A102" s="14"/>
      <c r="B102" s="14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14"/>
      <c r="N102" s="14"/>
      <c r="O102" s="14"/>
      <c r="P102" s="28"/>
      <c r="Q102" s="28"/>
      <c r="R102" s="14"/>
      <c r="S102" s="14"/>
      <c r="T102" s="14"/>
      <c r="U102" s="14"/>
      <c r="V102" s="14"/>
      <c r="W102" s="14"/>
      <c r="X102" s="14"/>
      <c r="Y102" s="14"/>
      <c r="Z102" s="14"/>
    </row>
    <row x14ac:dyDescent="0.25" r="103" customHeight="1" ht="14.25">
      <c r="A103" s="14"/>
      <c r="B103" s="14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14"/>
      <c r="N103" s="14"/>
      <c r="O103" s="14"/>
      <c r="P103" s="28"/>
      <c r="Q103" s="28"/>
      <c r="R103" s="14"/>
      <c r="S103" s="14"/>
      <c r="T103" s="14"/>
      <c r="U103" s="14"/>
      <c r="V103" s="14"/>
      <c r="W103" s="14"/>
      <c r="X103" s="14"/>
      <c r="Y103" s="14"/>
      <c r="Z103" s="14"/>
    </row>
    <row x14ac:dyDescent="0.25" r="104" customHeight="1" ht="14.25">
      <c r="A104" s="14"/>
      <c r="B104" s="14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14"/>
      <c r="N104" s="14"/>
      <c r="O104" s="14"/>
      <c r="P104" s="28"/>
      <c r="Q104" s="28"/>
      <c r="R104" s="14"/>
      <c r="S104" s="14"/>
      <c r="T104" s="14"/>
      <c r="U104" s="14"/>
      <c r="V104" s="14"/>
      <c r="W104" s="14"/>
      <c r="X104" s="14"/>
      <c r="Y104" s="14"/>
      <c r="Z104" s="14"/>
    </row>
    <row x14ac:dyDescent="0.25" r="105" customHeight="1" ht="14.25">
      <c r="A105" s="14"/>
      <c r="B105" s="14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14"/>
      <c r="N105" s="14"/>
      <c r="O105" s="14"/>
      <c r="P105" s="28"/>
      <c r="Q105" s="28"/>
      <c r="R105" s="14"/>
      <c r="S105" s="14"/>
      <c r="T105" s="14"/>
      <c r="U105" s="14"/>
      <c r="V105" s="14"/>
      <c r="W105" s="14"/>
      <c r="X105" s="14"/>
      <c r="Y105" s="14"/>
      <c r="Z105" s="14"/>
    </row>
    <row x14ac:dyDescent="0.25" r="106" customHeight="1" ht="14.25">
      <c r="A106" s="14"/>
      <c r="B106" s="14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14"/>
      <c r="N106" s="14"/>
      <c r="O106" s="14"/>
      <c r="P106" s="28"/>
      <c r="Q106" s="28"/>
      <c r="R106" s="14"/>
      <c r="S106" s="14"/>
      <c r="T106" s="14"/>
      <c r="U106" s="14"/>
      <c r="V106" s="14"/>
      <c r="W106" s="14"/>
      <c r="X106" s="14"/>
      <c r="Y106" s="14"/>
      <c r="Z106" s="14"/>
    </row>
    <row x14ac:dyDescent="0.25" r="107" customHeight="1" ht="14.25">
      <c r="A107" s="14"/>
      <c r="B107" s="14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14"/>
      <c r="N107" s="14"/>
      <c r="O107" s="14"/>
      <c r="P107" s="28"/>
      <c r="Q107" s="28"/>
      <c r="R107" s="14"/>
      <c r="S107" s="14"/>
      <c r="T107" s="14"/>
      <c r="U107" s="14"/>
      <c r="V107" s="14"/>
      <c r="W107" s="14"/>
      <c r="X107" s="14"/>
      <c r="Y107" s="14"/>
      <c r="Z107" s="14"/>
    </row>
    <row x14ac:dyDescent="0.25" r="108" customHeight="1" ht="14.25">
      <c r="A108" s="14"/>
      <c r="B108" s="14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14"/>
      <c r="N108" s="14"/>
      <c r="O108" s="14"/>
      <c r="P108" s="28"/>
      <c r="Q108" s="28"/>
      <c r="R108" s="14"/>
      <c r="S108" s="14"/>
      <c r="T108" s="14"/>
      <c r="U108" s="14"/>
      <c r="V108" s="14"/>
      <c r="W108" s="14"/>
      <c r="X108" s="14"/>
      <c r="Y108" s="14"/>
      <c r="Z108" s="14"/>
    </row>
    <row x14ac:dyDescent="0.25" r="109" customHeight="1" ht="14.25">
      <c r="A109" s="14"/>
      <c r="B109" s="14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14"/>
      <c r="N109" s="14"/>
      <c r="O109" s="14"/>
      <c r="P109" s="28"/>
      <c r="Q109" s="28"/>
      <c r="R109" s="14"/>
      <c r="S109" s="14"/>
      <c r="T109" s="14"/>
      <c r="U109" s="14"/>
      <c r="V109" s="14"/>
      <c r="W109" s="14"/>
      <c r="X109" s="14"/>
      <c r="Y109" s="14"/>
      <c r="Z109" s="14"/>
    </row>
    <row x14ac:dyDescent="0.25" r="110" customHeight="1" ht="12.75">
      <c r="A110" s="4"/>
      <c r="B110" s="29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29"/>
      <c r="N110" s="29"/>
      <c r="O110" s="29"/>
      <c r="P110" s="32"/>
      <c r="Q110" s="32"/>
      <c r="R110" s="4"/>
      <c r="S110" s="4"/>
      <c r="T110" s="4"/>
      <c r="U110" s="4"/>
      <c r="V110" s="4"/>
      <c r="W110" s="4"/>
      <c r="X110" s="4"/>
      <c r="Y110" s="4"/>
      <c r="Z110" s="4"/>
    </row>
    <row x14ac:dyDescent="0.25" r="111" customHeight="1" ht="12.75">
      <c r="A111" s="4"/>
      <c r="B111" s="29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29"/>
      <c r="N111" s="29"/>
      <c r="O111" s="29"/>
      <c r="P111" s="32"/>
      <c r="Q111" s="32"/>
      <c r="R111" s="4"/>
      <c r="S111" s="4"/>
      <c r="T111" s="4"/>
      <c r="U111" s="4"/>
      <c r="V111" s="4"/>
      <c r="W111" s="4"/>
      <c r="X111" s="4"/>
      <c r="Y111" s="4"/>
      <c r="Z111" s="4"/>
    </row>
    <row x14ac:dyDescent="0.25" r="112" customHeight="1" ht="12.75">
      <c r="A112" s="4"/>
      <c r="B112" s="29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29"/>
      <c r="N112" s="29"/>
      <c r="O112" s="29"/>
      <c r="P112" s="32"/>
      <c r="Q112" s="32"/>
      <c r="R112" s="4"/>
      <c r="S112" s="4"/>
      <c r="T112" s="4"/>
      <c r="U112" s="4"/>
      <c r="V112" s="4"/>
      <c r="W112" s="4"/>
      <c r="X112" s="4"/>
      <c r="Y112" s="4"/>
      <c r="Z112" s="4"/>
    </row>
    <row x14ac:dyDescent="0.25" r="113" customHeight="1" ht="12.75">
      <c r="A113" s="4"/>
      <c r="B113" s="29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29"/>
      <c r="N113" s="29"/>
      <c r="O113" s="29"/>
      <c r="P113" s="32"/>
      <c r="Q113" s="32"/>
      <c r="R113" s="4"/>
      <c r="S113" s="4"/>
      <c r="T113" s="4"/>
      <c r="U113" s="4"/>
      <c r="V113" s="4"/>
      <c r="W113" s="4"/>
      <c r="X113" s="4"/>
      <c r="Y113" s="4"/>
      <c r="Z113" s="4"/>
    </row>
    <row x14ac:dyDescent="0.25" r="114" customHeight="1" ht="12.75">
      <c r="A114" s="4"/>
      <c r="B114" s="29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29"/>
      <c r="N114" s="29"/>
      <c r="O114" s="29"/>
      <c r="P114" s="32"/>
      <c r="Q114" s="32"/>
      <c r="R114" s="4"/>
      <c r="S114" s="4"/>
      <c r="T114" s="4"/>
      <c r="U114" s="4"/>
      <c r="V114" s="4"/>
      <c r="W114" s="4"/>
      <c r="X114" s="4"/>
      <c r="Y114" s="4"/>
      <c r="Z114" s="4"/>
    </row>
    <row x14ac:dyDescent="0.25" r="115" customHeight="1" ht="12.75">
      <c r="A115" s="4"/>
      <c r="B115" s="29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29"/>
      <c r="N115" s="29"/>
      <c r="O115" s="29"/>
      <c r="P115" s="32"/>
      <c r="Q115" s="32"/>
      <c r="R115" s="4"/>
      <c r="S115" s="4"/>
      <c r="T115" s="4"/>
      <c r="U115" s="4"/>
      <c r="V115" s="4"/>
      <c r="W115" s="4"/>
      <c r="X115" s="4"/>
      <c r="Y115" s="4"/>
      <c r="Z115" s="4"/>
    </row>
    <row x14ac:dyDescent="0.25" r="116" customHeight="1" ht="12.75">
      <c r="A116" s="4"/>
      <c r="B116" s="29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29"/>
      <c r="N116" s="29"/>
      <c r="O116" s="29"/>
      <c r="P116" s="32"/>
      <c r="Q116" s="32"/>
      <c r="R116" s="4"/>
      <c r="S116" s="4"/>
      <c r="T116" s="4"/>
      <c r="U116" s="4"/>
      <c r="V116" s="4"/>
      <c r="W116" s="4"/>
      <c r="X116" s="4"/>
      <c r="Y116" s="4"/>
      <c r="Z116" s="4"/>
    </row>
    <row x14ac:dyDescent="0.25" r="117" customHeight="1" ht="12.75">
      <c r="A117" s="4"/>
      <c r="B117" s="29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29"/>
      <c r="N117" s="29"/>
      <c r="O117" s="29"/>
      <c r="P117" s="32"/>
      <c r="Q117" s="32"/>
      <c r="R117" s="4"/>
      <c r="S117" s="4"/>
      <c r="T117" s="4"/>
      <c r="U117" s="4"/>
      <c r="V117" s="4"/>
      <c r="W117" s="4"/>
      <c r="X117" s="4"/>
      <c r="Y117" s="4"/>
      <c r="Z117" s="4"/>
    </row>
    <row x14ac:dyDescent="0.25" r="118" customHeight="1" ht="12.75">
      <c r="A118" s="4"/>
      <c r="B118" s="29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29"/>
      <c r="N118" s="29"/>
      <c r="O118" s="29"/>
      <c r="P118" s="32"/>
      <c r="Q118" s="32"/>
      <c r="R118" s="4"/>
      <c r="S118" s="4"/>
      <c r="T118" s="4"/>
      <c r="U118" s="4"/>
      <c r="V118" s="4"/>
      <c r="W118" s="4"/>
      <c r="X118" s="4"/>
      <c r="Y118" s="4"/>
      <c r="Z118" s="4"/>
    </row>
    <row x14ac:dyDescent="0.25" r="119" customHeight="1" ht="12.75">
      <c r="A119" s="4"/>
      <c r="B119" s="29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29"/>
      <c r="N119" s="29"/>
      <c r="O119" s="29"/>
      <c r="P119" s="32"/>
      <c r="Q119" s="32"/>
      <c r="R119" s="4"/>
      <c r="S119" s="4"/>
      <c r="T119" s="4"/>
      <c r="U119" s="4"/>
      <c r="V119" s="4"/>
      <c r="W119" s="4"/>
      <c r="X119" s="4"/>
      <c r="Y119" s="4"/>
      <c r="Z119" s="4"/>
    </row>
    <row x14ac:dyDescent="0.25" r="120" customHeight="1" ht="12.75">
      <c r="A120" s="4"/>
      <c r="B120" s="29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29"/>
      <c r="N120" s="29"/>
      <c r="O120" s="29"/>
      <c r="P120" s="32"/>
      <c r="Q120" s="32"/>
      <c r="R120" s="4"/>
      <c r="S120" s="4"/>
      <c r="T120" s="4"/>
      <c r="U120" s="4"/>
      <c r="V120" s="4"/>
      <c r="W120" s="4"/>
      <c r="X120" s="4"/>
      <c r="Y120" s="4"/>
      <c r="Z120" s="4"/>
    </row>
    <row x14ac:dyDescent="0.25" r="121" customHeight="1" ht="12.75">
      <c r="A121" s="4"/>
      <c r="B121" s="29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29"/>
      <c r="N121" s="29"/>
      <c r="O121" s="29"/>
      <c r="P121" s="32"/>
      <c r="Q121" s="32"/>
      <c r="R121" s="4"/>
      <c r="S121" s="4"/>
      <c r="T121" s="4"/>
      <c r="U121" s="4"/>
      <c r="V121" s="4"/>
      <c r="W121" s="4"/>
      <c r="X121" s="4"/>
      <c r="Y121" s="4"/>
      <c r="Z121" s="4"/>
    </row>
    <row x14ac:dyDescent="0.25" r="122" customHeight="1" ht="12.75">
      <c r="A122" s="4"/>
      <c r="B122" s="29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29"/>
      <c r="N122" s="29"/>
      <c r="O122" s="29"/>
      <c r="P122" s="32"/>
      <c r="Q122" s="32"/>
      <c r="R122" s="4"/>
      <c r="S122" s="4"/>
      <c r="T122" s="4"/>
      <c r="U122" s="4"/>
      <c r="V122" s="4"/>
      <c r="W122" s="4"/>
      <c r="X122" s="4"/>
      <c r="Y122" s="4"/>
      <c r="Z122" s="4"/>
    </row>
    <row x14ac:dyDescent="0.25" r="123" customHeight="1" ht="12.75">
      <c r="A123" s="4"/>
      <c r="B123" s="29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29"/>
      <c r="N123" s="29"/>
      <c r="O123" s="29"/>
      <c r="P123" s="32"/>
      <c r="Q123" s="32"/>
      <c r="R123" s="4"/>
      <c r="S123" s="4"/>
      <c r="T123" s="4"/>
      <c r="U123" s="4"/>
      <c r="V123" s="4"/>
      <c r="W123" s="4"/>
      <c r="X123" s="4"/>
      <c r="Y123" s="4"/>
      <c r="Z123" s="4"/>
    </row>
    <row x14ac:dyDescent="0.25" r="124" customHeight="1" ht="12.75">
      <c r="A124" s="4"/>
      <c r="B124" s="29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29"/>
      <c r="N124" s="29"/>
      <c r="O124" s="29"/>
      <c r="P124" s="32"/>
      <c r="Q124" s="32"/>
      <c r="R124" s="4"/>
      <c r="S124" s="4"/>
      <c r="T124" s="4"/>
      <c r="U124" s="4"/>
      <c r="V124" s="4"/>
      <c r="W124" s="4"/>
      <c r="X124" s="4"/>
      <c r="Y124" s="4"/>
      <c r="Z124" s="4"/>
    </row>
    <row x14ac:dyDescent="0.25" r="125" customHeight="1" ht="12.75">
      <c r="A125" s="4"/>
      <c r="B125" s="29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29"/>
      <c r="N125" s="29"/>
      <c r="O125" s="29"/>
      <c r="P125" s="32"/>
      <c r="Q125" s="32"/>
      <c r="R125" s="4"/>
      <c r="S125" s="4"/>
      <c r="T125" s="4"/>
      <c r="U125" s="4"/>
      <c r="V125" s="4"/>
      <c r="W125" s="4"/>
      <c r="X125" s="4"/>
      <c r="Y125" s="4"/>
      <c r="Z125" s="4"/>
    </row>
    <row x14ac:dyDescent="0.25" r="126" customHeight="1" ht="12.75">
      <c r="A126" s="4"/>
      <c r="B126" s="29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29"/>
      <c r="N126" s="29"/>
      <c r="O126" s="29"/>
      <c r="P126" s="32"/>
      <c r="Q126" s="32"/>
      <c r="R126" s="4"/>
      <c r="S126" s="4"/>
      <c r="T126" s="4"/>
      <c r="U126" s="4"/>
      <c r="V126" s="4"/>
      <c r="W126" s="4"/>
      <c r="X126" s="4"/>
      <c r="Y126" s="4"/>
      <c r="Z126" s="4"/>
    </row>
    <row x14ac:dyDescent="0.25" r="127" customHeight="1" ht="12.75">
      <c r="A127" s="4"/>
      <c r="B127" s="29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29"/>
      <c r="N127" s="29"/>
      <c r="O127" s="29"/>
      <c r="P127" s="32"/>
      <c r="Q127" s="32"/>
      <c r="R127" s="4"/>
      <c r="S127" s="4"/>
      <c r="T127" s="4"/>
      <c r="U127" s="4"/>
      <c r="V127" s="4"/>
      <c r="W127" s="4"/>
      <c r="X127" s="4"/>
      <c r="Y127" s="4"/>
      <c r="Z127" s="4"/>
    </row>
    <row x14ac:dyDescent="0.25" r="128" customHeight="1" ht="12.75">
      <c r="A128" s="4"/>
      <c r="B128" s="29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29"/>
      <c r="N128" s="29"/>
      <c r="O128" s="29"/>
      <c r="P128" s="32"/>
      <c r="Q128" s="32"/>
      <c r="R128" s="4"/>
      <c r="S128" s="4"/>
      <c r="T128" s="4"/>
      <c r="U128" s="4"/>
      <c r="V128" s="4"/>
      <c r="W128" s="4"/>
      <c r="X128" s="4"/>
      <c r="Y128" s="4"/>
      <c r="Z128" s="4"/>
    </row>
    <row x14ac:dyDescent="0.25" r="129" customHeight="1" ht="12.75">
      <c r="A129" s="4"/>
      <c r="B129" s="29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29"/>
      <c r="N129" s="29"/>
      <c r="O129" s="29"/>
      <c r="P129" s="32"/>
      <c r="Q129" s="32"/>
      <c r="R129" s="4"/>
      <c r="S129" s="4"/>
      <c r="T129" s="4"/>
      <c r="U129" s="4"/>
      <c r="V129" s="4"/>
      <c r="W129" s="4"/>
      <c r="X129" s="4"/>
      <c r="Y129" s="4"/>
      <c r="Z129" s="4"/>
    </row>
    <row x14ac:dyDescent="0.25" r="130" customHeight="1" ht="12.75">
      <c r="A130" s="4"/>
      <c r="B130" s="29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29"/>
      <c r="N130" s="29"/>
      <c r="O130" s="29"/>
      <c r="P130" s="32"/>
      <c r="Q130" s="32"/>
      <c r="R130" s="4"/>
      <c r="S130" s="4"/>
      <c r="T130" s="4"/>
      <c r="U130" s="4"/>
      <c r="V130" s="4"/>
      <c r="W130" s="4"/>
      <c r="X130" s="4"/>
      <c r="Y130" s="4"/>
      <c r="Z130" s="4"/>
    </row>
    <row x14ac:dyDescent="0.25" r="131" customHeight="1" ht="12.75">
      <c r="A131" s="4"/>
      <c r="B131" s="29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29"/>
      <c r="N131" s="29"/>
      <c r="O131" s="29"/>
      <c r="P131" s="32"/>
      <c r="Q131" s="32"/>
      <c r="R131" s="4"/>
      <c r="S131" s="4"/>
      <c r="T131" s="4"/>
      <c r="U131" s="4"/>
      <c r="V131" s="4"/>
      <c r="W131" s="4"/>
      <c r="X131" s="4"/>
      <c r="Y131" s="4"/>
      <c r="Z131" s="4"/>
    </row>
    <row x14ac:dyDescent="0.25" r="132" customHeight="1" ht="12.75">
      <c r="A132" s="4"/>
      <c r="B132" s="29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29"/>
      <c r="N132" s="29"/>
      <c r="O132" s="29"/>
      <c r="P132" s="32"/>
      <c r="Q132" s="32"/>
      <c r="R132" s="4"/>
      <c r="S132" s="4"/>
      <c r="T132" s="4"/>
      <c r="U132" s="4"/>
      <c r="V132" s="4"/>
      <c r="W132" s="4"/>
      <c r="X132" s="4"/>
      <c r="Y132" s="4"/>
      <c r="Z132" s="4"/>
    </row>
    <row x14ac:dyDescent="0.25" r="133" customHeight="1" ht="12.75">
      <c r="A133" s="4"/>
      <c r="B133" s="29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29"/>
      <c r="N133" s="29"/>
      <c r="O133" s="29"/>
      <c r="P133" s="32"/>
      <c r="Q133" s="32"/>
      <c r="R133" s="4"/>
      <c r="S133" s="4"/>
      <c r="T133" s="4"/>
      <c r="U133" s="4"/>
      <c r="V133" s="4"/>
      <c r="W133" s="4"/>
      <c r="X133" s="4"/>
      <c r="Y133" s="4"/>
      <c r="Z133" s="4"/>
    </row>
    <row x14ac:dyDescent="0.25" r="134" customHeight="1" ht="12.75">
      <c r="A134" s="4"/>
      <c r="B134" s="29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29"/>
      <c r="N134" s="29"/>
      <c r="O134" s="29"/>
      <c r="P134" s="32"/>
      <c r="Q134" s="32"/>
      <c r="R134" s="4"/>
      <c r="S134" s="4"/>
      <c r="T134" s="4"/>
      <c r="U134" s="4"/>
      <c r="V134" s="4"/>
      <c r="W134" s="4"/>
      <c r="X134" s="4"/>
      <c r="Y134" s="4"/>
      <c r="Z134" s="4"/>
    </row>
    <row x14ac:dyDescent="0.25" r="135" customHeight="1" ht="12.75">
      <c r="A135" s="4"/>
      <c r="B135" s="29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29"/>
      <c r="N135" s="29"/>
      <c r="O135" s="29"/>
      <c r="P135" s="32"/>
      <c r="Q135" s="32"/>
      <c r="R135" s="4"/>
      <c r="S135" s="4"/>
      <c r="T135" s="4"/>
      <c r="U135" s="4"/>
      <c r="V135" s="4"/>
      <c r="W135" s="4"/>
      <c r="X135" s="4"/>
      <c r="Y135" s="4"/>
      <c r="Z135" s="4"/>
    </row>
    <row x14ac:dyDescent="0.25" r="136" customHeight="1" ht="12.75">
      <c r="A136" s="4"/>
      <c r="B136" s="29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29"/>
      <c r="N136" s="29"/>
      <c r="O136" s="29"/>
      <c r="P136" s="32"/>
      <c r="Q136" s="32"/>
      <c r="R136" s="4"/>
      <c r="S136" s="4"/>
      <c r="T136" s="4"/>
      <c r="U136" s="4"/>
      <c r="V136" s="4"/>
      <c r="W136" s="4"/>
      <c r="X136" s="4"/>
      <c r="Y136" s="4"/>
      <c r="Z136" s="4"/>
    </row>
    <row x14ac:dyDescent="0.25" r="137" customHeight="1" ht="12.75">
      <c r="A137" s="4"/>
      <c r="B137" s="29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29"/>
      <c r="N137" s="29"/>
      <c r="O137" s="29"/>
      <c r="P137" s="32"/>
      <c r="Q137" s="32"/>
      <c r="R137" s="4"/>
      <c r="S137" s="4"/>
      <c r="T137" s="4"/>
      <c r="U137" s="4"/>
      <c r="V137" s="4"/>
      <c r="W137" s="4"/>
      <c r="X137" s="4"/>
      <c r="Y137" s="4"/>
      <c r="Z137" s="4"/>
    </row>
    <row x14ac:dyDescent="0.25" r="138" customHeight="1" ht="12.75">
      <c r="A138" s="4"/>
      <c r="B138" s="29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29"/>
      <c r="N138" s="29"/>
      <c r="O138" s="29"/>
      <c r="P138" s="32"/>
      <c r="Q138" s="32"/>
      <c r="R138" s="4"/>
      <c r="S138" s="4"/>
      <c r="T138" s="4"/>
      <c r="U138" s="4"/>
      <c r="V138" s="4"/>
      <c r="W138" s="4"/>
      <c r="X138" s="4"/>
      <c r="Y138" s="4"/>
      <c r="Z138" s="4"/>
    </row>
    <row x14ac:dyDescent="0.25" r="139" customHeight="1" ht="12.75">
      <c r="A139" s="4"/>
      <c r="B139" s="29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29"/>
      <c r="N139" s="29"/>
      <c r="O139" s="29"/>
      <c r="P139" s="32"/>
      <c r="Q139" s="32"/>
      <c r="R139" s="4"/>
      <c r="S139" s="4"/>
      <c r="T139" s="4"/>
      <c r="U139" s="4"/>
      <c r="V139" s="4"/>
      <c r="W139" s="4"/>
      <c r="X139" s="4"/>
      <c r="Y139" s="4"/>
      <c r="Z139" s="4"/>
    </row>
    <row x14ac:dyDescent="0.25" r="140" customHeight="1" ht="12.75">
      <c r="A140" s="4"/>
      <c r="B140" s="29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29"/>
      <c r="N140" s="29"/>
      <c r="O140" s="29"/>
      <c r="P140" s="32"/>
      <c r="Q140" s="32"/>
      <c r="R140" s="4"/>
      <c r="S140" s="4"/>
      <c r="T140" s="4"/>
      <c r="U140" s="4"/>
      <c r="V140" s="4"/>
      <c r="W140" s="4"/>
      <c r="X140" s="4"/>
      <c r="Y140" s="4"/>
      <c r="Z140" s="4"/>
    </row>
    <row x14ac:dyDescent="0.25" r="141" customHeight="1" ht="12.75">
      <c r="A141" s="4"/>
      <c r="B141" s="29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29"/>
      <c r="N141" s="29"/>
      <c r="O141" s="29"/>
      <c r="P141" s="32"/>
      <c r="Q141" s="32"/>
      <c r="R141" s="4"/>
      <c r="S141" s="4"/>
      <c r="T141" s="4"/>
      <c r="U141" s="4"/>
      <c r="V141" s="4"/>
      <c r="W141" s="4"/>
      <c r="X141" s="4"/>
      <c r="Y141" s="4"/>
      <c r="Z141" s="4"/>
    </row>
    <row x14ac:dyDescent="0.25" r="142" customHeight="1" ht="12.75">
      <c r="A142" s="4"/>
      <c r="B142" s="29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29"/>
      <c r="N142" s="29"/>
      <c r="O142" s="29"/>
      <c r="P142" s="32"/>
      <c r="Q142" s="32"/>
      <c r="R142" s="4"/>
      <c r="S142" s="4"/>
      <c r="T142" s="4"/>
      <c r="U142" s="4"/>
      <c r="V142" s="4"/>
      <c r="W142" s="4"/>
      <c r="X142" s="4"/>
      <c r="Y142" s="4"/>
      <c r="Z142" s="4"/>
    </row>
    <row x14ac:dyDescent="0.25" r="143" customHeight="1" ht="12.75">
      <c r="A143" s="4"/>
      <c r="B143" s="29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29"/>
      <c r="N143" s="29"/>
      <c r="O143" s="29"/>
      <c r="P143" s="32"/>
      <c r="Q143" s="32"/>
      <c r="R143" s="4"/>
      <c r="S143" s="4"/>
      <c r="T143" s="4"/>
      <c r="U143" s="4"/>
      <c r="V143" s="4"/>
      <c r="W143" s="4"/>
      <c r="X143" s="4"/>
      <c r="Y143" s="4"/>
      <c r="Z143" s="4"/>
    </row>
    <row x14ac:dyDescent="0.25" r="144" customHeight="1" ht="12.75">
      <c r="A144" s="4"/>
      <c r="B144" s="29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29"/>
      <c r="N144" s="29"/>
      <c r="O144" s="29"/>
      <c r="P144" s="32"/>
      <c r="Q144" s="32"/>
      <c r="R144" s="4"/>
      <c r="S144" s="4"/>
      <c r="T144" s="4"/>
      <c r="U144" s="4"/>
      <c r="V144" s="4"/>
      <c r="W144" s="4"/>
      <c r="X144" s="4"/>
      <c r="Y144" s="4"/>
      <c r="Z144" s="4"/>
    </row>
    <row x14ac:dyDescent="0.25" r="145" customHeight="1" ht="12.75">
      <c r="A145" s="4"/>
      <c r="B145" s="29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29"/>
      <c r="N145" s="29"/>
      <c r="O145" s="29"/>
      <c r="P145" s="32"/>
      <c r="Q145" s="32"/>
      <c r="R145" s="4"/>
      <c r="S145" s="4"/>
      <c r="T145" s="4"/>
      <c r="U145" s="4"/>
      <c r="V145" s="4"/>
      <c r="W145" s="4"/>
      <c r="X145" s="4"/>
      <c r="Y145" s="4"/>
      <c r="Z145" s="4"/>
    </row>
    <row x14ac:dyDescent="0.25" r="146" customHeight="1" ht="12.75">
      <c r="A146" s="4"/>
      <c r="B146" s="29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29"/>
      <c r="N146" s="29"/>
      <c r="O146" s="29"/>
      <c r="P146" s="32"/>
      <c r="Q146" s="32"/>
      <c r="R146" s="4"/>
      <c r="S146" s="4"/>
      <c r="T146" s="4"/>
      <c r="U146" s="4"/>
      <c r="V146" s="4"/>
      <c r="W146" s="4"/>
      <c r="X146" s="4"/>
      <c r="Y146" s="4"/>
      <c r="Z146" s="4"/>
    </row>
    <row x14ac:dyDescent="0.25" r="147" customHeight="1" ht="12.75">
      <c r="A147" s="4"/>
      <c r="B147" s="29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29"/>
      <c r="N147" s="29"/>
      <c r="O147" s="29"/>
      <c r="P147" s="32"/>
      <c r="Q147" s="32"/>
      <c r="R147" s="4"/>
      <c r="S147" s="4"/>
      <c r="T147" s="4"/>
      <c r="U147" s="4"/>
      <c r="V147" s="4"/>
      <c r="W147" s="4"/>
      <c r="X147" s="4"/>
      <c r="Y147" s="4"/>
      <c r="Z147" s="4"/>
    </row>
    <row x14ac:dyDescent="0.25" r="148" customHeight="1" ht="12.75">
      <c r="A148" s="4"/>
      <c r="B148" s="29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29"/>
      <c r="N148" s="29"/>
      <c r="O148" s="29"/>
      <c r="P148" s="32"/>
      <c r="Q148" s="32"/>
      <c r="R148" s="4"/>
      <c r="S148" s="4"/>
      <c r="T148" s="4"/>
      <c r="U148" s="4"/>
      <c r="V148" s="4"/>
      <c r="W148" s="4"/>
      <c r="X148" s="4"/>
      <c r="Y148" s="4"/>
      <c r="Z148" s="4"/>
    </row>
    <row x14ac:dyDescent="0.25" r="149" customHeight="1" ht="12.75">
      <c r="A149" s="4"/>
      <c r="B149" s="29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29"/>
      <c r="N149" s="29"/>
      <c r="O149" s="29"/>
      <c r="P149" s="32"/>
      <c r="Q149" s="32"/>
      <c r="R149" s="4"/>
      <c r="S149" s="4"/>
      <c r="T149" s="4"/>
      <c r="U149" s="4"/>
      <c r="V149" s="4"/>
      <c r="W149" s="4"/>
      <c r="X149" s="4"/>
      <c r="Y149" s="4"/>
      <c r="Z149" s="4"/>
    </row>
    <row x14ac:dyDescent="0.25" r="150" customHeight="1" ht="12.75">
      <c r="A150" s="4"/>
      <c r="B150" s="29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29"/>
      <c r="N150" s="29"/>
      <c r="O150" s="29"/>
      <c r="P150" s="32"/>
      <c r="Q150" s="32"/>
      <c r="R150" s="4"/>
      <c r="S150" s="4"/>
      <c r="T150" s="4"/>
      <c r="U150" s="4"/>
      <c r="V150" s="4"/>
      <c r="W150" s="4"/>
      <c r="X150" s="4"/>
      <c r="Y150" s="4"/>
      <c r="Z150" s="4"/>
    </row>
    <row x14ac:dyDescent="0.25" r="151" customHeight="1" ht="12.75">
      <c r="A151" s="4"/>
      <c r="B151" s="29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29"/>
      <c r="N151" s="29"/>
      <c r="O151" s="29"/>
      <c r="P151" s="32"/>
      <c r="Q151" s="32"/>
      <c r="R151" s="4"/>
      <c r="S151" s="4"/>
      <c r="T151" s="4"/>
      <c r="U151" s="4"/>
      <c r="V151" s="4"/>
      <c r="W151" s="4"/>
      <c r="X151" s="4"/>
      <c r="Y151" s="4"/>
      <c r="Z151" s="4"/>
    </row>
    <row x14ac:dyDescent="0.25" r="152" customHeight="1" ht="12.75">
      <c r="A152" s="4"/>
      <c r="B152" s="29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29"/>
      <c r="N152" s="29"/>
      <c r="O152" s="29"/>
      <c r="P152" s="32"/>
      <c r="Q152" s="32"/>
      <c r="R152" s="4"/>
      <c r="S152" s="4"/>
      <c r="T152" s="4"/>
      <c r="U152" s="4"/>
      <c r="V152" s="4"/>
      <c r="W152" s="4"/>
      <c r="X152" s="4"/>
      <c r="Y152" s="4"/>
      <c r="Z152" s="4"/>
    </row>
    <row x14ac:dyDescent="0.25" r="153" customHeight="1" ht="12.75">
      <c r="A153" s="4"/>
      <c r="B153" s="29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29"/>
      <c r="N153" s="29"/>
      <c r="O153" s="29"/>
      <c r="P153" s="32"/>
      <c r="Q153" s="32"/>
      <c r="R153" s="4"/>
      <c r="S153" s="4"/>
      <c r="T153" s="4"/>
      <c r="U153" s="4"/>
      <c r="V153" s="4"/>
      <c r="W153" s="4"/>
      <c r="X153" s="4"/>
      <c r="Y153" s="4"/>
      <c r="Z153" s="4"/>
    </row>
    <row x14ac:dyDescent="0.25" r="154" customHeight="1" ht="12.75">
      <c r="A154" s="4"/>
      <c r="B154" s="29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29"/>
      <c r="N154" s="29"/>
      <c r="O154" s="29"/>
      <c r="P154" s="32"/>
      <c r="Q154" s="32"/>
      <c r="R154" s="4"/>
      <c r="S154" s="4"/>
      <c r="T154" s="4"/>
      <c r="U154" s="4"/>
      <c r="V154" s="4"/>
      <c r="W154" s="4"/>
      <c r="X154" s="4"/>
      <c r="Y154" s="4"/>
      <c r="Z154" s="4"/>
    </row>
    <row x14ac:dyDescent="0.25" r="155" customHeight="1" ht="12.75">
      <c r="A155" s="4"/>
      <c r="B155" s="29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29"/>
      <c r="N155" s="29"/>
      <c r="O155" s="29"/>
      <c r="P155" s="32"/>
      <c r="Q155" s="32"/>
      <c r="R155" s="4"/>
      <c r="S155" s="4"/>
      <c r="T155" s="4"/>
      <c r="U155" s="4"/>
      <c r="V155" s="4"/>
      <c r="W155" s="4"/>
      <c r="X155" s="4"/>
      <c r="Y155" s="4"/>
      <c r="Z155" s="4"/>
    </row>
    <row x14ac:dyDescent="0.25" r="156" customHeight="1" ht="12.75">
      <c r="A156" s="4"/>
      <c r="B156" s="29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29"/>
      <c r="N156" s="29"/>
      <c r="O156" s="29"/>
      <c r="P156" s="32"/>
      <c r="Q156" s="32"/>
      <c r="R156" s="4"/>
      <c r="S156" s="4"/>
      <c r="T156" s="4"/>
      <c r="U156" s="4"/>
      <c r="V156" s="4"/>
      <c r="W156" s="4"/>
      <c r="X156" s="4"/>
      <c r="Y156" s="4"/>
      <c r="Z156" s="4"/>
    </row>
    <row x14ac:dyDescent="0.25" r="157" customHeight="1" ht="12.75">
      <c r="A157" s="4"/>
      <c r="B157" s="29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29"/>
      <c r="N157" s="29"/>
      <c r="O157" s="29"/>
      <c r="P157" s="32"/>
      <c r="Q157" s="32"/>
      <c r="R157" s="4"/>
      <c r="S157" s="4"/>
      <c r="T157" s="4"/>
      <c r="U157" s="4"/>
      <c r="V157" s="4"/>
      <c r="W157" s="4"/>
      <c r="X157" s="4"/>
      <c r="Y157" s="4"/>
      <c r="Z157" s="4"/>
    </row>
    <row x14ac:dyDescent="0.25" r="158" customHeight="1" ht="12.75">
      <c r="A158" s="4"/>
      <c r="B158" s="29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29"/>
      <c r="N158" s="29"/>
      <c r="O158" s="29"/>
      <c r="P158" s="32"/>
      <c r="Q158" s="32"/>
      <c r="R158" s="4"/>
      <c r="S158" s="4"/>
      <c r="T158" s="4"/>
      <c r="U158" s="4"/>
      <c r="V158" s="4"/>
      <c r="W158" s="4"/>
      <c r="X158" s="4"/>
      <c r="Y158" s="4"/>
      <c r="Z158" s="4"/>
    </row>
    <row x14ac:dyDescent="0.25" r="159" customHeight="1" ht="12.75">
      <c r="A159" s="4"/>
      <c r="B159" s="29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29"/>
      <c r="N159" s="29"/>
      <c r="O159" s="29"/>
      <c r="P159" s="32"/>
      <c r="Q159" s="32"/>
      <c r="R159" s="4"/>
      <c r="S159" s="4"/>
      <c r="T159" s="4"/>
      <c r="U159" s="4"/>
      <c r="V159" s="4"/>
      <c r="W159" s="4"/>
      <c r="X159" s="4"/>
      <c r="Y159" s="4"/>
      <c r="Z159" s="4"/>
    </row>
    <row x14ac:dyDescent="0.25" r="160" customHeight="1" ht="12.75">
      <c r="A160" s="4"/>
      <c r="B160" s="29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29"/>
      <c r="N160" s="29"/>
      <c r="O160" s="29"/>
      <c r="P160" s="32"/>
      <c r="Q160" s="32"/>
      <c r="R160" s="4"/>
      <c r="S160" s="4"/>
      <c r="T160" s="4"/>
      <c r="U160" s="4"/>
      <c r="V160" s="4"/>
      <c r="W160" s="4"/>
      <c r="X160" s="4"/>
      <c r="Y160" s="4"/>
      <c r="Z160" s="4"/>
    </row>
    <row x14ac:dyDescent="0.25" r="161" customHeight="1" ht="12.75">
      <c r="A161" s="4"/>
      <c r="B161" s="29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29"/>
      <c r="N161" s="29"/>
      <c r="O161" s="29"/>
      <c r="P161" s="32"/>
      <c r="Q161" s="32"/>
      <c r="R161" s="4"/>
      <c r="S161" s="4"/>
      <c r="T161" s="4"/>
      <c r="U161" s="4"/>
      <c r="V161" s="4"/>
      <c r="W161" s="4"/>
      <c r="X161" s="4"/>
      <c r="Y161" s="4"/>
      <c r="Z161" s="4"/>
    </row>
    <row x14ac:dyDescent="0.25" r="162" customHeight="1" ht="12.75">
      <c r="A162" s="4"/>
      <c r="B162" s="29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29"/>
      <c r="N162" s="29"/>
      <c r="O162" s="29"/>
      <c r="P162" s="32"/>
      <c r="Q162" s="32"/>
      <c r="R162" s="4"/>
      <c r="S162" s="4"/>
      <c r="T162" s="4"/>
      <c r="U162" s="4"/>
      <c r="V162" s="4"/>
      <c r="W162" s="4"/>
      <c r="X162" s="4"/>
      <c r="Y162" s="4"/>
      <c r="Z162" s="4"/>
    </row>
    <row x14ac:dyDescent="0.25" r="163" customHeight="1" ht="12.75">
      <c r="A163" s="4"/>
      <c r="B163" s="29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29"/>
      <c r="N163" s="29"/>
      <c r="O163" s="29"/>
      <c r="P163" s="32"/>
      <c r="Q163" s="32"/>
      <c r="R163" s="4"/>
      <c r="S163" s="4"/>
      <c r="T163" s="4"/>
      <c r="U163" s="4"/>
      <c r="V163" s="4"/>
      <c r="W163" s="4"/>
      <c r="X163" s="4"/>
      <c r="Y163" s="4"/>
      <c r="Z163" s="4"/>
    </row>
    <row x14ac:dyDescent="0.25" r="164" customHeight="1" ht="12.75">
      <c r="A164" s="4"/>
      <c r="B164" s="29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29"/>
      <c r="N164" s="29"/>
      <c r="O164" s="29"/>
      <c r="P164" s="32"/>
      <c r="Q164" s="32"/>
      <c r="R164" s="4"/>
      <c r="S164" s="4"/>
      <c r="T164" s="4"/>
      <c r="U164" s="4"/>
      <c r="V164" s="4"/>
      <c r="W164" s="4"/>
      <c r="X164" s="4"/>
      <c r="Y164" s="4"/>
      <c r="Z164" s="4"/>
    </row>
    <row x14ac:dyDescent="0.25" r="165" customHeight="1" ht="12.75">
      <c r="A165" s="4"/>
      <c r="B165" s="29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29"/>
      <c r="N165" s="29"/>
      <c r="O165" s="29"/>
      <c r="P165" s="32"/>
      <c r="Q165" s="32"/>
      <c r="R165" s="4"/>
      <c r="S165" s="4"/>
      <c r="T165" s="4"/>
      <c r="U165" s="4"/>
      <c r="V165" s="4"/>
      <c r="W165" s="4"/>
      <c r="X165" s="4"/>
      <c r="Y165" s="4"/>
      <c r="Z165" s="4"/>
    </row>
    <row x14ac:dyDescent="0.25" r="166" customHeight="1" ht="12.75">
      <c r="A166" s="4"/>
      <c r="B166" s="29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29"/>
      <c r="N166" s="29"/>
      <c r="O166" s="29"/>
      <c r="P166" s="32"/>
      <c r="Q166" s="32"/>
      <c r="R166" s="4"/>
      <c r="S166" s="4"/>
      <c r="T166" s="4"/>
      <c r="U166" s="4"/>
      <c r="V166" s="4"/>
      <c r="W166" s="4"/>
      <c r="X166" s="4"/>
      <c r="Y166" s="4"/>
      <c r="Z166" s="4"/>
    </row>
    <row x14ac:dyDescent="0.25" r="167" customHeight="1" ht="12.75">
      <c r="A167" s="4"/>
      <c r="B167" s="29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29"/>
      <c r="N167" s="29"/>
      <c r="O167" s="29"/>
      <c r="P167" s="32"/>
      <c r="Q167" s="32"/>
      <c r="R167" s="4"/>
      <c r="S167" s="4"/>
      <c r="T167" s="4"/>
      <c r="U167" s="4"/>
      <c r="V167" s="4"/>
      <c r="W167" s="4"/>
      <c r="X167" s="4"/>
      <c r="Y167" s="4"/>
      <c r="Z167" s="4"/>
    </row>
    <row x14ac:dyDescent="0.25" r="168" customHeight="1" ht="12.75">
      <c r="A168" s="4"/>
      <c r="B168" s="29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29"/>
      <c r="N168" s="29"/>
      <c r="O168" s="29"/>
      <c r="P168" s="32"/>
      <c r="Q168" s="32"/>
      <c r="R168" s="4"/>
      <c r="S168" s="4"/>
      <c r="T168" s="4"/>
      <c r="U168" s="4"/>
      <c r="V168" s="4"/>
      <c r="W168" s="4"/>
      <c r="X168" s="4"/>
      <c r="Y168" s="4"/>
      <c r="Z168" s="4"/>
    </row>
    <row x14ac:dyDescent="0.25" r="169" customHeight="1" ht="12.75">
      <c r="A169" s="4"/>
      <c r="B169" s="29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29"/>
      <c r="N169" s="29"/>
      <c r="O169" s="29"/>
      <c r="P169" s="32"/>
      <c r="Q169" s="32"/>
      <c r="R169" s="4"/>
      <c r="S169" s="4"/>
      <c r="T169" s="4"/>
      <c r="U169" s="4"/>
      <c r="V169" s="4"/>
      <c r="W169" s="4"/>
      <c r="X169" s="4"/>
      <c r="Y169" s="4"/>
      <c r="Z169" s="4"/>
    </row>
    <row x14ac:dyDescent="0.25" r="170" customHeight="1" ht="12.75">
      <c r="A170" s="4"/>
      <c r="B170" s="29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29"/>
      <c r="N170" s="29"/>
      <c r="O170" s="29"/>
      <c r="P170" s="32"/>
      <c r="Q170" s="32"/>
      <c r="R170" s="4"/>
      <c r="S170" s="4"/>
      <c r="T170" s="4"/>
      <c r="U170" s="4"/>
      <c r="V170" s="4"/>
      <c r="W170" s="4"/>
      <c r="X170" s="4"/>
      <c r="Y170" s="4"/>
      <c r="Z170" s="4"/>
    </row>
    <row x14ac:dyDescent="0.25" r="171" customHeight="1" ht="12.75">
      <c r="A171" s="4"/>
      <c r="B171" s="29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29"/>
      <c r="N171" s="29"/>
      <c r="O171" s="29"/>
      <c r="P171" s="32"/>
      <c r="Q171" s="32"/>
      <c r="R171" s="4"/>
      <c r="S171" s="4"/>
      <c r="T171" s="4"/>
      <c r="U171" s="4"/>
      <c r="V171" s="4"/>
      <c r="W171" s="4"/>
      <c r="X171" s="4"/>
      <c r="Y171" s="4"/>
      <c r="Z171" s="4"/>
    </row>
    <row x14ac:dyDescent="0.25" r="172" customHeight="1" ht="12.75">
      <c r="A172" s="4"/>
      <c r="B172" s="29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29"/>
      <c r="N172" s="29"/>
      <c r="O172" s="29"/>
      <c r="P172" s="32"/>
      <c r="Q172" s="32"/>
      <c r="R172" s="4"/>
      <c r="S172" s="4"/>
      <c r="T172" s="4"/>
      <c r="U172" s="4"/>
      <c r="V172" s="4"/>
      <c r="W172" s="4"/>
      <c r="X172" s="4"/>
      <c r="Y172" s="4"/>
      <c r="Z172" s="4"/>
    </row>
    <row x14ac:dyDescent="0.25" r="173" customHeight="1" ht="12.75">
      <c r="A173" s="4"/>
      <c r="B173" s="29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29"/>
      <c r="N173" s="29"/>
      <c r="O173" s="29"/>
      <c r="P173" s="32"/>
      <c r="Q173" s="32"/>
      <c r="R173" s="4"/>
      <c r="S173" s="4"/>
      <c r="T173" s="4"/>
      <c r="U173" s="4"/>
      <c r="V173" s="4"/>
      <c r="W173" s="4"/>
      <c r="X173" s="4"/>
      <c r="Y173" s="4"/>
      <c r="Z173" s="4"/>
    </row>
    <row x14ac:dyDescent="0.25" r="174" customHeight="1" ht="12.75">
      <c r="A174" s="4"/>
      <c r="B174" s="29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29"/>
      <c r="N174" s="29"/>
      <c r="O174" s="29"/>
      <c r="P174" s="32"/>
      <c r="Q174" s="32"/>
      <c r="R174" s="4"/>
      <c r="S174" s="4"/>
      <c r="T174" s="4"/>
      <c r="U174" s="4"/>
      <c r="V174" s="4"/>
      <c r="W174" s="4"/>
      <c r="X174" s="4"/>
      <c r="Y174" s="4"/>
      <c r="Z174" s="4"/>
    </row>
    <row x14ac:dyDescent="0.25" r="175" customHeight="1" ht="12.75">
      <c r="A175" s="4"/>
      <c r="B175" s="29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29"/>
      <c r="N175" s="29"/>
      <c r="O175" s="29"/>
      <c r="P175" s="32"/>
      <c r="Q175" s="32"/>
      <c r="R175" s="4"/>
      <c r="S175" s="4"/>
      <c r="T175" s="4"/>
      <c r="U175" s="4"/>
      <c r="V175" s="4"/>
      <c r="W175" s="4"/>
      <c r="X175" s="4"/>
      <c r="Y175" s="4"/>
      <c r="Z175" s="4"/>
    </row>
    <row x14ac:dyDescent="0.25" r="176" customHeight="1" ht="12.75">
      <c r="A176" s="4"/>
      <c r="B176" s="29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29"/>
      <c r="N176" s="29"/>
      <c r="O176" s="29"/>
      <c r="P176" s="32"/>
      <c r="Q176" s="32"/>
      <c r="R176" s="4"/>
      <c r="S176" s="4"/>
      <c r="T176" s="4"/>
      <c r="U176" s="4"/>
      <c r="V176" s="4"/>
      <c r="W176" s="4"/>
      <c r="X176" s="4"/>
      <c r="Y176" s="4"/>
      <c r="Z176" s="4"/>
    </row>
    <row x14ac:dyDescent="0.25" r="177" customHeight="1" ht="12.75">
      <c r="A177" s="4"/>
      <c r="B177" s="29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29"/>
      <c r="N177" s="29"/>
      <c r="O177" s="29"/>
      <c r="P177" s="32"/>
      <c r="Q177" s="32"/>
      <c r="R177" s="4"/>
      <c r="S177" s="4"/>
      <c r="T177" s="4"/>
      <c r="U177" s="4"/>
      <c r="V177" s="4"/>
      <c r="W177" s="4"/>
      <c r="X177" s="4"/>
      <c r="Y177" s="4"/>
      <c r="Z177" s="4"/>
    </row>
    <row x14ac:dyDescent="0.25" r="178" customHeight="1" ht="12.75">
      <c r="A178" s="4"/>
      <c r="B178" s="29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29"/>
      <c r="N178" s="29"/>
      <c r="O178" s="29"/>
      <c r="P178" s="32"/>
      <c r="Q178" s="32"/>
      <c r="R178" s="4"/>
      <c r="S178" s="4"/>
      <c r="T178" s="4"/>
      <c r="U178" s="4"/>
      <c r="V178" s="4"/>
      <c r="W178" s="4"/>
      <c r="X178" s="4"/>
      <c r="Y178" s="4"/>
      <c r="Z178" s="4"/>
    </row>
    <row x14ac:dyDescent="0.25" r="179" customHeight="1" ht="12.75">
      <c r="A179" s="4"/>
      <c r="B179" s="29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29"/>
      <c r="N179" s="29"/>
      <c r="O179" s="29"/>
      <c r="P179" s="32"/>
      <c r="Q179" s="32"/>
      <c r="R179" s="4"/>
      <c r="S179" s="4"/>
      <c r="T179" s="4"/>
      <c r="U179" s="4"/>
      <c r="V179" s="4"/>
      <c r="W179" s="4"/>
      <c r="X179" s="4"/>
      <c r="Y179" s="4"/>
      <c r="Z179" s="4"/>
    </row>
    <row x14ac:dyDescent="0.25" r="180" customHeight="1" ht="12.75">
      <c r="A180" s="4"/>
      <c r="B180" s="29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29"/>
      <c r="N180" s="29"/>
      <c r="O180" s="29"/>
      <c r="P180" s="32"/>
      <c r="Q180" s="32"/>
      <c r="R180" s="4"/>
      <c r="S180" s="4"/>
      <c r="T180" s="4"/>
      <c r="U180" s="4"/>
      <c r="V180" s="4"/>
      <c r="W180" s="4"/>
      <c r="X180" s="4"/>
      <c r="Y180" s="4"/>
      <c r="Z180" s="4"/>
    </row>
    <row x14ac:dyDescent="0.25" r="181" customHeight="1" ht="12.75">
      <c r="A181" s="4"/>
      <c r="B181" s="29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29"/>
      <c r="N181" s="29"/>
      <c r="O181" s="29"/>
      <c r="P181" s="32"/>
      <c r="Q181" s="32"/>
      <c r="R181" s="4"/>
      <c r="S181" s="4"/>
      <c r="T181" s="4"/>
      <c r="U181" s="4"/>
      <c r="V181" s="4"/>
      <c r="W181" s="4"/>
      <c r="X181" s="4"/>
      <c r="Y181" s="4"/>
      <c r="Z181" s="4"/>
    </row>
    <row x14ac:dyDescent="0.25" r="182" customHeight="1" ht="12.75">
      <c r="A182" s="4"/>
      <c r="B182" s="29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29"/>
      <c r="N182" s="29"/>
      <c r="O182" s="29"/>
      <c r="P182" s="32"/>
      <c r="Q182" s="32"/>
      <c r="R182" s="4"/>
      <c r="S182" s="4"/>
      <c r="T182" s="4"/>
      <c r="U182" s="4"/>
      <c r="V182" s="4"/>
      <c r="W182" s="4"/>
      <c r="X182" s="4"/>
      <c r="Y182" s="4"/>
      <c r="Z182" s="4"/>
    </row>
    <row x14ac:dyDescent="0.25" r="183" customHeight="1" ht="12.75">
      <c r="A183" s="4"/>
      <c r="B183" s="29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29"/>
      <c r="N183" s="29"/>
      <c r="O183" s="29"/>
      <c r="P183" s="32"/>
      <c r="Q183" s="32"/>
      <c r="R183" s="4"/>
      <c r="S183" s="4"/>
      <c r="T183" s="4"/>
      <c r="U183" s="4"/>
      <c r="V183" s="4"/>
      <c r="W183" s="4"/>
      <c r="X183" s="4"/>
      <c r="Y183" s="4"/>
      <c r="Z183" s="4"/>
    </row>
    <row x14ac:dyDescent="0.25" r="184" customHeight="1" ht="12.75">
      <c r="A184" s="4"/>
      <c r="B184" s="29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29"/>
      <c r="N184" s="29"/>
      <c r="O184" s="29"/>
      <c r="P184" s="32"/>
      <c r="Q184" s="32"/>
      <c r="R184" s="4"/>
      <c r="S184" s="4"/>
      <c r="T184" s="4"/>
      <c r="U184" s="4"/>
      <c r="V184" s="4"/>
      <c r="W184" s="4"/>
      <c r="X184" s="4"/>
      <c r="Y184" s="4"/>
      <c r="Z184" s="4"/>
    </row>
    <row x14ac:dyDescent="0.25" r="185" customHeight="1" ht="12.75">
      <c r="A185" s="4"/>
      <c r="B185" s="29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29"/>
      <c r="N185" s="29"/>
      <c r="O185" s="29"/>
      <c r="P185" s="32"/>
      <c r="Q185" s="32"/>
      <c r="R185" s="4"/>
      <c r="S185" s="4"/>
      <c r="T185" s="4"/>
      <c r="U185" s="4"/>
      <c r="V185" s="4"/>
      <c r="W185" s="4"/>
      <c r="X185" s="4"/>
      <c r="Y185" s="4"/>
      <c r="Z185" s="4"/>
    </row>
    <row x14ac:dyDescent="0.25" r="186" customHeight="1" ht="12.75">
      <c r="A186" s="4"/>
      <c r="B186" s="29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29"/>
      <c r="N186" s="29"/>
      <c r="O186" s="29"/>
      <c r="P186" s="32"/>
      <c r="Q186" s="32"/>
      <c r="R186" s="4"/>
      <c r="S186" s="4"/>
      <c r="T186" s="4"/>
      <c r="U186" s="4"/>
      <c r="V186" s="4"/>
      <c r="W186" s="4"/>
      <c r="X186" s="4"/>
      <c r="Y186" s="4"/>
      <c r="Z186" s="4"/>
    </row>
    <row x14ac:dyDescent="0.25" r="187" customHeight="1" ht="12.75">
      <c r="A187" s="4"/>
      <c r="B187" s="29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29"/>
      <c r="N187" s="29"/>
      <c r="O187" s="29"/>
      <c r="P187" s="32"/>
      <c r="Q187" s="32"/>
      <c r="R187" s="4"/>
      <c r="S187" s="4"/>
      <c r="T187" s="4"/>
      <c r="U187" s="4"/>
      <c r="V187" s="4"/>
      <c r="W187" s="4"/>
      <c r="X187" s="4"/>
      <c r="Y187" s="4"/>
      <c r="Z187" s="4"/>
    </row>
    <row x14ac:dyDescent="0.25" r="188" customHeight="1" ht="12.75">
      <c r="A188" s="4"/>
      <c r="B188" s="29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29"/>
      <c r="N188" s="29"/>
      <c r="O188" s="29"/>
      <c r="P188" s="32"/>
      <c r="Q188" s="32"/>
      <c r="R188" s="4"/>
      <c r="S188" s="4"/>
      <c r="T188" s="4"/>
      <c r="U188" s="4"/>
      <c r="V188" s="4"/>
      <c r="W188" s="4"/>
      <c r="X188" s="4"/>
      <c r="Y188" s="4"/>
      <c r="Z188" s="4"/>
    </row>
    <row x14ac:dyDescent="0.25" r="189" customHeight="1" ht="12.75">
      <c r="A189" s="4"/>
      <c r="B189" s="29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29"/>
      <c r="N189" s="29"/>
      <c r="O189" s="29"/>
      <c r="P189" s="32"/>
      <c r="Q189" s="32"/>
      <c r="R189" s="4"/>
      <c r="S189" s="4"/>
      <c r="T189" s="4"/>
      <c r="U189" s="4"/>
      <c r="V189" s="4"/>
      <c r="W189" s="4"/>
      <c r="X189" s="4"/>
      <c r="Y189" s="4"/>
      <c r="Z189" s="4"/>
    </row>
    <row x14ac:dyDescent="0.25" r="190" customHeight="1" ht="12.75">
      <c r="A190" s="4"/>
      <c r="B190" s="29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29"/>
      <c r="N190" s="29"/>
      <c r="O190" s="29"/>
      <c r="P190" s="32"/>
      <c r="Q190" s="32"/>
      <c r="R190" s="4"/>
      <c r="S190" s="4"/>
      <c r="T190" s="4"/>
      <c r="U190" s="4"/>
      <c r="V190" s="4"/>
      <c r="W190" s="4"/>
      <c r="X190" s="4"/>
      <c r="Y190" s="4"/>
      <c r="Z190" s="4"/>
    </row>
    <row x14ac:dyDescent="0.25" r="191" customHeight="1" ht="12.75">
      <c r="A191" s="4"/>
      <c r="B191" s="29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29"/>
      <c r="N191" s="29"/>
      <c r="O191" s="29"/>
      <c r="P191" s="32"/>
      <c r="Q191" s="32"/>
      <c r="R191" s="4"/>
      <c r="S191" s="4"/>
      <c r="T191" s="4"/>
      <c r="U191" s="4"/>
      <c r="V191" s="4"/>
      <c r="W191" s="4"/>
      <c r="X191" s="4"/>
      <c r="Y191" s="4"/>
      <c r="Z191" s="4"/>
    </row>
    <row x14ac:dyDescent="0.25" r="192" customHeight="1" ht="12.75">
      <c r="A192" s="4"/>
      <c r="B192" s="29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29"/>
      <c r="N192" s="29"/>
      <c r="O192" s="29"/>
      <c r="P192" s="32"/>
      <c r="Q192" s="32"/>
      <c r="R192" s="4"/>
      <c r="S192" s="4"/>
      <c r="T192" s="4"/>
      <c r="U192" s="4"/>
      <c r="V192" s="4"/>
      <c r="W192" s="4"/>
      <c r="X192" s="4"/>
      <c r="Y192" s="4"/>
      <c r="Z192" s="4"/>
    </row>
    <row x14ac:dyDescent="0.25" r="193" customHeight="1" ht="12.75">
      <c r="A193" s="4"/>
      <c r="B193" s="29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29"/>
      <c r="N193" s="29"/>
      <c r="O193" s="29"/>
      <c r="P193" s="32"/>
      <c r="Q193" s="32"/>
      <c r="R193" s="4"/>
      <c r="S193" s="4"/>
      <c r="T193" s="4"/>
      <c r="U193" s="4"/>
      <c r="V193" s="4"/>
      <c r="W193" s="4"/>
      <c r="X193" s="4"/>
      <c r="Y193" s="4"/>
      <c r="Z193" s="4"/>
    </row>
    <row x14ac:dyDescent="0.25" r="194" customHeight="1" ht="12.75">
      <c r="A194" s="4"/>
      <c r="B194" s="29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29"/>
      <c r="N194" s="29"/>
      <c r="O194" s="29"/>
      <c r="P194" s="32"/>
      <c r="Q194" s="32"/>
      <c r="R194" s="4"/>
      <c r="S194" s="4"/>
      <c r="T194" s="4"/>
      <c r="U194" s="4"/>
      <c r="V194" s="4"/>
      <c r="W194" s="4"/>
      <c r="X194" s="4"/>
      <c r="Y194" s="4"/>
      <c r="Z194" s="4"/>
    </row>
    <row x14ac:dyDescent="0.25" r="195" customHeight="1" ht="12.75">
      <c r="A195" s="4"/>
      <c r="B195" s="29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29"/>
      <c r="N195" s="29"/>
      <c r="O195" s="29"/>
      <c r="P195" s="32"/>
      <c r="Q195" s="32"/>
      <c r="R195" s="4"/>
      <c r="S195" s="4"/>
      <c r="T195" s="4"/>
      <c r="U195" s="4"/>
      <c r="V195" s="4"/>
      <c r="W195" s="4"/>
      <c r="X195" s="4"/>
      <c r="Y195" s="4"/>
      <c r="Z195" s="4"/>
    </row>
    <row x14ac:dyDescent="0.25" r="196" customHeight="1" ht="12.75">
      <c r="A196" s="4"/>
      <c r="B196" s="29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29"/>
      <c r="N196" s="29"/>
      <c r="O196" s="29"/>
      <c r="P196" s="32"/>
      <c r="Q196" s="32"/>
      <c r="R196" s="4"/>
      <c r="S196" s="4"/>
      <c r="T196" s="4"/>
      <c r="U196" s="4"/>
      <c r="V196" s="4"/>
      <c r="W196" s="4"/>
      <c r="X196" s="4"/>
      <c r="Y196" s="4"/>
      <c r="Z196" s="4"/>
    </row>
    <row x14ac:dyDescent="0.25" r="197" customHeight="1" ht="12.75">
      <c r="A197" s="4"/>
      <c r="B197" s="29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29"/>
      <c r="N197" s="29"/>
      <c r="O197" s="29"/>
      <c r="P197" s="32"/>
      <c r="Q197" s="32"/>
      <c r="R197" s="4"/>
      <c r="S197" s="4"/>
      <c r="T197" s="4"/>
      <c r="U197" s="4"/>
      <c r="V197" s="4"/>
      <c r="W197" s="4"/>
      <c r="X197" s="4"/>
      <c r="Y197" s="4"/>
      <c r="Z197" s="4"/>
    </row>
    <row x14ac:dyDescent="0.25" r="198" customHeight="1" ht="12.75">
      <c r="A198" s="4"/>
      <c r="B198" s="29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29"/>
      <c r="N198" s="29"/>
      <c r="O198" s="29"/>
      <c r="P198" s="32"/>
      <c r="Q198" s="32"/>
      <c r="R198" s="4"/>
      <c r="S198" s="4"/>
      <c r="T198" s="4"/>
      <c r="U198" s="4"/>
      <c r="V198" s="4"/>
      <c r="W198" s="4"/>
      <c r="X198" s="4"/>
      <c r="Y198" s="4"/>
      <c r="Z198" s="4"/>
    </row>
    <row x14ac:dyDescent="0.25" r="199" customHeight="1" ht="12.75">
      <c r="A199" s="4"/>
      <c r="B199" s="29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29"/>
      <c r="N199" s="29"/>
      <c r="O199" s="29"/>
      <c r="P199" s="32"/>
      <c r="Q199" s="32"/>
      <c r="R199" s="4"/>
      <c r="S199" s="4"/>
      <c r="T199" s="4"/>
      <c r="U199" s="4"/>
      <c r="V199" s="4"/>
      <c r="W199" s="4"/>
      <c r="X199" s="4"/>
      <c r="Y199" s="4"/>
      <c r="Z199" s="4"/>
    </row>
    <row x14ac:dyDescent="0.25" r="200" customHeight="1" ht="12.75">
      <c r="A200" s="4"/>
      <c r="B200" s="29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29"/>
      <c r="N200" s="29"/>
      <c r="O200" s="29"/>
      <c r="P200" s="32"/>
      <c r="Q200" s="32"/>
      <c r="R200" s="4"/>
      <c r="S200" s="4"/>
      <c r="T200" s="4"/>
      <c r="U200" s="4"/>
      <c r="V200" s="4"/>
      <c r="W200" s="4"/>
      <c r="X200" s="4"/>
      <c r="Y200" s="4"/>
      <c r="Z200" s="4"/>
    </row>
    <row x14ac:dyDescent="0.25" r="201" customHeight="1" ht="12.75">
      <c r="A201" s="4"/>
      <c r="B201" s="29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29"/>
      <c r="N201" s="29"/>
      <c r="O201" s="29"/>
      <c r="P201" s="32"/>
      <c r="Q201" s="32"/>
      <c r="R201" s="4"/>
      <c r="S201" s="4"/>
      <c r="T201" s="4"/>
      <c r="U201" s="4"/>
      <c r="V201" s="4"/>
      <c r="W201" s="4"/>
      <c r="X201" s="4"/>
      <c r="Y201" s="4"/>
      <c r="Z201" s="4"/>
    </row>
    <row x14ac:dyDescent="0.25" r="202" customHeight="1" ht="12.75">
      <c r="A202" s="4"/>
      <c r="B202" s="29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29"/>
      <c r="N202" s="29"/>
      <c r="O202" s="29"/>
      <c r="P202" s="32"/>
      <c r="Q202" s="32"/>
      <c r="R202" s="4"/>
      <c r="S202" s="4"/>
      <c r="T202" s="4"/>
      <c r="U202" s="4"/>
      <c r="V202" s="4"/>
      <c r="W202" s="4"/>
      <c r="X202" s="4"/>
      <c r="Y202" s="4"/>
      <c r="Z202" s="4"/>
    </row>
    <row x14ac:dyDescent="0.25" r="203" customHeight="1" ht="12.75">
      <c r="A203" s="4"/>
      <c r="B203" s="29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29"/>
      <c r="N203" s="29"/>
      <c r="O203" s="29"/>
      <c r="P203" s="32"/>
      <c r="Q203" s="32"/>
      <c r="R203" s="4"/>
      <c r="S203" s="4"/>
      <c r="T203" s="4"/>
      <c r="U203" s="4"/>
      <c r="V203" s="4"/>
      <c r="W203" s="4"/>
      <c r="X203" s="4"/>
      <c r="Y203" s="4"/>
      <c r="Z203" s="4"/>
    </row>
    <row x14ac:dyDescent="0.25" r="204" customHeight="1" ht="12.75">
      <c r="A204" s="4"/>
      <c r="B204" s="29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29"/>
      <c r="N204" s="29"/>
      <c r="O204" s="29"/>
      <c r="P204" s="32"/>
      <c r="Q204" s="32"/>
      <c r="R204" s="4"/>
      <c r="S204" s="4"/>
      <c r="T204" s="4"/>
      <c r="U204" s="4"/>
      <c r="V204" s="4"/>
      <c r="W204" s="4"/>
      <c r="X204" s="4"/>
      <c r="Y204" s="4"/>
      <c r="Z204" s="4"/>
    </row>
    <row x14ac:dyDescent="0.25" r="205" customHeight="1" ht="12.75">
      <c r="A205" s="4"/>
      <c r="B205" s="29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29"/>
      <c r="N205" s="29"/>
      <c r="O205" s="29"/>
      <c r="P205" s="32"/>
      <c r="Q205" s="32"/>
      <c r="R205" s="4"/>
      <c r="S205" s="4"/>
      <c r="T205" s="4"/>
      <c r="U205" s="4"/>
      <c r="V205" s="4"/>
      <c r="W205" s="4"/>
      <c r="X205" s="4"/>
      <c r="Y205" s="4"/>
      <c r="Z205" s="4"/>
    </row>
    <row x14ac:dyDescent="0.25" r="206" customHeight="1" ht="12.75">
      <c r="A206" s="4"/>
      <c r="B206" s="29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29"/>
      <c r="N206" s="29"/>
      <c r="O206" s="29"/>
      <c r="P206" s="32"/>
      <c r="Q206" s="32"/>
      <c r="R206" s="4"/>
      <c r="S206" s="4"/>
      <c r="T206" s="4"/>
      <c r="U206" s="4"/>
      <c r="V206" s="4"/>
      <c r="W206" s="4"/>
      <c r="X206" s="4"/>
      <c r="Y206" s="4"/>
      <c r="Z206" s="4"/>
    </row>
    <row x14ac:dyDescent="0.25" r="207" customHeight="1" ht="12.75">
      <c r="A207" s="4"/>
      <c r="B207" s="29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29"/>
      <c r="N207" s="29"/>
      <c r="O207" s="29"/>
      <c r="P207" s="32"/>
      <c r="Q207" s="32"/>
      <c r="R207" s="4"/>
      <c r="S207" s="4"/>
      <c r="T207" s="4"/>
      <c r="U207" s="4"/>
      <c r="V207" s="4"/>
      <c r="W207" s="4"/>
      <c r="X207" s="4"/>
      <c r="Y207" s="4"/>
      <c r="Z207" s="4"/>
    </row>
    <row x14ac:dyDescent="0.25" r="208" customHeight="1" ht="12.75">
      <c r="A208" s="4"/>
      <c r="B208" s="29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29"/>
      <c r="N208" s="29"/>
      <c r="O208" s="29"/>
      <c r="P208" s="32"/>
      <c r="Q208" s="32"/>
      <c r="R208" s="4"/>
      <c r="S208" s="4"/>
      <c r="T208" s="4"/>
      <c r="U208" s="4"/>
      <c r="V208" s="4"/>
      <c r="W208" s="4"/>
      <c r="X208" s="4"/>
      <c r="Y208" s="4"/>
      <c r="Z208" s="4"/>
    </row>
    <row x14ac:dyDescent="0.25" r="209" customHeight="1" ht="12.75">
      <c r="A209" s="4"/>
      <c r="B209" s="29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29"/>
      <c r="N209" s="29"/>
      <c r="O209" s="29"/>
      <c r="P209" s="32"/>
      <c r="Q209" s="32"/>
      <c r="R209" s="4"/>
      <c r="S209" s="4"/>
      <c r="T209" s="4"/>
      <c r="U209" s="4"/>
      <c r="V209" s="4"/>
      <c r="W209" s="4"/>
      <c r="X209" s="4"/>
      <c r="Y209" s="4"/>
      <c r="Z209" s="4"/>
    </row>
    <row x14ac:dyDescent="0.25" r="210" customHeight="1" ht="12.75">
      <c r="A210" s="4"/>
      <c r="B210" s="29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29"/>
      <c r="N210" s="29"/>
      <c r="O210" s="29"/>
      <c r="P210" s="32"/>
      <c r="Q210" s="32"/>
      <c r="R210" s="4"/>
      <c r="S210" s="4"/>
      <c r="T210" s="4"/>
      <c r="U210" s="4"/>
      <c r="V210" s="4"/>
      <c r="W210" s="4"/>
      <c r="X210" s="4"/>
      <c r="Y210" s="4"/>
      <c r="Z210" s="4"/>
    </row>
    <row x14ac:dyDescent="0.25" r="211" customHeight="1" ht="12.75">
      <c r="A211" s="4"/>
      <c r="B211" s="29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29"/>
      <c r="N211" s="29"/>
      <c r="O211" s="29"/>
      <c r="P211" s="32"/>
      <c r="Q211" s="32"/>
      <c r="R211" s="4"/>
      <c r="S211" s="4"/>
      <c r="T211" s="4"/>
      <c r="U211" s="4"/>
      <c r="V211" s="4"/>
      <c r="W211" s="4"/>
      <c r="X211" s="4"/>
      <c r="Y211" s="4"/>
      <c r="Z211" s="4"/>
    </row>
    <row x14ac:dyDescent="0.25" r="212" customHeight="1" ht="12.75">
      <c r="A212" s="4"/>
      <c r="B212" s="29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29"/>
      <c r="N212" s="29"/>
      <c r="O212" s="29"/>
      <c r="P212" s="32"/>
      <c r="Q212" s="32"/>
      <c r="R212" s="4"/>
      <c r="S212" s="4"/>
      <c r="T212" s="4"/>
      <c r="U212" s="4"/>
      <c r="V212" s="4"/>
      <c r="W212" s="4"/>
      <c r="X212" s="4"/>
      <c r="Y212" s="4"/>
      <c r="Z212" s="4"/>
    </row>
    <row x14ac:dyDescent="0.25" r="213" customHeight="1" ht="12.75">
      <c r="A213" s="4"/>
      <c r="B213" s="29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29"/>
      <c r="N213" s="29"/>
      <c r="O213" s="29"/>
      <c r="P213" s="32"/>
      <c r="Q213" s="32"/>
      <c r="R213" s="4"/>
      <c r="S213" s="4"/>
      <c r="T213" s="4"/>
      <c r="U213" s="4"/>
      <c r="V213" s="4"/>
      <c r="W213" s="4"/>
      <c r="X213" s="4"/>
      <c r="Y213" s="4"/>
      <c r="Z213" s="4"/>
    </row>
    <row x14ac:dyDescent="0.25" r="214" customHeight="1" ht="12.75">
      <c r="A214" s="4"/>
      <c r="B214" s="29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29"/>
      <c r="N214" s="29"/>
      <c r="O214" s="29"/>
      <c r="P214" s="32"/>
      <c r="Q214" s="32"/>
      <c r="R214" s="4"/>
      <c r="S214" s="4"/>
      <c r="T214" s="4"/>
      <c r="U214" s="4"/>
      <c r="V214" s="4"/>
      <c r="W214" s="4"/>
      <c r="X214" s="4"/>
      <c r="Y214" s="4"/>
      <c r="Z214" s="4"/>
    </row>
    <row x14ac:dyDescent="0.25" r="215" customHeight="1" ht="12.75">
      <c r="A215" s="4"/>
      <c r="B215" s="29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29"/>
      <c r="N215" s="29"/>
      <c r="O215" s="29"/>
      <c r="P215" s="32"/>
      <c r="Q215" s="32"/>
      <c r="R215" s="4"/>
      <c r="S215" s="4"/>
      <c r="T215" s="4"/>
      <c r="U215" s="4"/>
      <c r="V215" s="4"/>
      <c r="W215" s="4"/>
      <c r="X215" s="4"/>
      <c r="Y215" s="4"/>
      <c r="Z215" s="4"/>
    </row>
    <row x14ac:dyDescent="0.25" r="216" customHeight="1" ht="12.75">
      <c r="A216" s="4"/>
      <c r="B216" s="29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29"/>
      <c r="N216" s="29"/>
      <c r="O216" s="29"/>
      <c r="P216" s="32"/>
      <c r="Q216" s="32"/>
      <c r="R216" s="4"/>
      <c r="S216" s="4"/>
      <c r="T216" s="4"/>
      <c r="U216" s="4"/>
      <c r="V216" s="4"/>
      <c r="W216" s="4"/>
      <c r="X216" s="4"/>
      <c r="Y216" s="4"/>
      <c r="Z216" s="4"/>
    </row>
    <row x14ac:dyDescent="0.25" r="217" customHeight="1" ht="12.75">
      <c r="A217" s="4"/>
      <c r="B217" s="29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29"/>
      <c r="N217" s="29"/>
      <c r="O217" s="29"/>
      <c r="P217" s="32"/>
      <c r="Q217" s="32"/>
      <c r="R217" s="4"/>
      <c r="S217" s="4"/>
      <c r="T217" s="4"/>
      <c r="U217" s="4"/>
      <c r="V217" s="4"/>
      <c r="W217" s="4"/>
      <c r="X217" s="4"/>
      <c r="Y217" s="4"/>
      <c r="Z217" s="4"/>
    </row>
    <row x14ac:dyDescent="0.25" r="218" customHeight="1" ht="12.75">
      <c r="A218" s="4"/>
      <c r="B218" s="29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29"/>
      <c r="N218" s="29"/>
      <c r="O218" s="29"/>
      <c r="P218" s="32"/>
      <c r="Q218" s="32"/>
      <c r="R218" s="4"/>
      <c r="S218" s="4"/>
      <c r="T218" s="4"/>
      <c r="U218" s="4"/>
      <c r="V218" s="4"/>
      <c r="W218" s="4"/>
      <c r="X218" s="4"/>
      <c r="Y218" s="4"/>
      <c r="Z218" s="4"/>
    </row>
    <row x14ac:dyDescent="0.25" r="219" customHeight="1" ht="12.75">
      <c r="A219" s="4"/>
      <c r="B219" s="29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29"/>
      <c r="N219" s="29"/>
      <c r="O219" s="29"/>
      <c r="P219" s="32"/>
      <c r="Q219" s="32"/>
      <c r="R219" s="4"/>
      <c r="S219" s="4"/>
      <c r="T219" s="4"/>
      <c r="U219" s="4"/>
      <c r="V219" s="4"/>
      <c r="W219" s="4"/>
      <c r="X219" s="4"/>
      <c r="Y219" s="4"/>
      <c r="Z219" s="4"/>
    </row>
    <row x14ac:dyDescent="0.25" r="220" customHeight="1" ht="12.75">
      <c r="A220" s="4"/>
      <c r="B220" s="29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29"/>
      <c r="N220" s="29"/>
      <c r="O220" s="29"/>
      <c r="P220" s="32"/>
      <c r="Q220" s="32"/>
      <c r="R220" s="4"/>
      <c r="S220" s="4"/>
      <c r="T220" s="4"/>
      <c r="U220" s="4"/>
      <c r="V220" s="4"/>
      <c r="W220" s="4"/>
      <c r="X220" s="4"/>
      <c r="Y220" s="4"/>
      <c r="Z220" s="4"/>
    </row>
    <row x14ac:dyDescent="0.25" r="221" customHeight="1" ht="12.75">
      <c r="A221" s="4"/>
      <c r="B221" s="29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29"/>
      <c r="N221" s="29"/>
      <c r="O221" s="29"/>
      <c r="P221" s="32"/>
      <c r="Q221" s="32"/>
      <c r="R221" s="4"/>
      <c r="S221" s="4"/>
      <c r="T221" s="4"/>
      <c r="U221" s="4"/>
      <c r="V221" s="4"/>
      <c r="W221" s="4"/>
      <c r="X221" s="4"/>
      <c r="Y221" s="4"/>
      <c r="Z221" s="4"/>
    </row>
    <row x14ac:dyDescent="0.25" r="222" customHeight="1" ht="12.75">
      <c r="A222" s="4"/>
      <c r="B222" s="29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29"/>
      <c r="N222" s="29"/>
      <c r="O222" s="29"/>
      <c r="P222" s="32"/>
      <c r="Q222" s="32"/>
      <c r="R222" s="4"/>
      <c r="S222" s="4"/>
      <c r="T222" s="4"/>
      <c r="U222" s="4"/>
      <c r="V222" s="4"/>
      <c r="W222" s="4"/>
      <c r="X222" s="4"/>
      <c r="Y222" s="4"/>
      <c r="Z222" s="4"/>
    </row>
    <row x14ac:dyDescent="0.25" r="223" customHeight="1" ht="12.75">
      <c r="A223" s="4"/>
      <c r="B223" s="29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29"/>
      <c r="N223" s="29"/>
      <c r="O223" s="29"/>
      <c r="P223" s="32"/>
      <c r="Q223" s="32"/>
      <c r="R223" s="4"/>
      <c r="S223" s="4"/>
      <c r="T223" s="4"/>
      <c r="U223" s="4"/>
      <c r="V223" s="4"/>
      <c r="W223" s="4"/>
      <c r="X223" s="4"/>
      <c r="Y223" s="4"/>
      <c r="Z223" s="4"/>
    </row>
    <row x14ac:dyDescent="0.25" r="224" customHeight="1" ht="12.75">
      <c r="A224" s="4"/>
      <c r="B224" s="29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29"/>
      <c r="N224" s="29"/>
      <c r="O224" s="29"/>
      <c r="P224" s="32"/>
      <c r="Q224" s="32"/>
      <c r="R224" s="4"/>
      <c r="S224" s="4"/>
      <c r="T224" s="4"/>
      <c r="U224" s="4"/>
      <c r="V224" s="4"/>
      <c r="W224" s="4"/>
      <c r="X224" s="4"/>
      <c r="Y224" s="4"/>
      <c r="Z224" s="4"/>
    </row>
    <row x14ac:dyDescent="0.25" r="225" customHeight="1" ht="12.75">
      <c r="A225" s="4"/>
      <c r="B225" s="29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29"/>
      <c r="N225" s="29"/>
      <c r="O225" s="29"/>
      <c r="P225" s="32"/>
      <c r="Q225" s="32"/>
      <c r="R225" s="4"/>
      <c r="S225" s="4"/>
      <c r="T225" s="4"/>
      <c r="U225" s="4"/>
      <c r="V225" s="4"/>
      <c r="W225" s="4"/>
      <c r="X225" s="4"/>
      <c r="Y225" s="4"/>
      <c r="Z225" s="4"/>
    </row>
    <row x14ac:dyDescent="0.25" r="226" customHeight="1" ht="12.75">
      <c r="A226" s="4"/>
      <c r="B226" s="29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29"/>
      <c r="N226" s="29"/>
      <c r="O226" s="29"/>
      <c r="P226" s="32"/>
      <c r="Q226" s="32"/>
      <c r="R226" s="4"/>
      <c r="S226" s="4"/>
      <c r="T226" s="4"/>
      <c r="U226" s="4"/>
      <c r="V226" s="4"/>
      <c r="W226" s="4"/>
      <c r="X226" s="4"/>
      <c r="Y226" s="4"/>
      <c r="Z226" s="4"/>
    </row>
    <row x14ac:dyDescent="0.25" r="227" customHeight="1" ht="12.75">
      <c r="A227" s="4"/>
      <c r="B227" s="29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29"/>
      <c r="N227" s="29"/>
      <c r="O227" s="29"/>
      <c r="P227" s="32"/>
      <c r="Q227" s="32"/>
      <c r="R227" s="4"/>
      <c r="S227" s="4"/>
      <c r="T227" s="4"/>
      <c r="U227" s="4"/>
      <c r="V227" s="4"/>
      <c r="W227" s="4"/>
      <c r="X227" s="4"/>
      <c r="Y227" s="4"/>
      <c r="Z227" s="4"/>
    </row>
    <row x14ac:dyDescent="0.25" r="228" customHeight="1" ht="12.75">
      <c r="A228" s="4"/>
      <c r="B228" s="29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29"/>
      <c r="N228" s="29"/>
      <c r="O228" s="29"/>
      <c r="P228" s="32"/>
      <c r="Q228" s="32"/>
      <c r="R228" s="4"/>
      <c r="S228" s="4"/>
      <c r="T228" s="4"/>
      <c r="U228" s="4"/>
      <c r="V228" s="4"/>
      <c r="W228" s="4"/>
      <c r="X228" s="4"/>
      <c r="Y228" s="4"/>
      <c r="Z228" s="4"/>
    </row>
    <row x14ac:dyDescent="0.25" r="229" customHeight="1" ht="12.75">
      <c r="A229" s="4"/>
      <c r="B229" s="29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29"/>
      <c r="N229" s="29"/>
      <c r="O229" s="29"/>
      <c r="P229" s="32"/>
      <c r="Q229" s="32"/>
      <c r="R229" s="4"/>
      <c r="S229" s="4"/>
      <c r="T229" s="4"/>
      <c r="U229" s="4"/>
      <c r="V229" s="4"/>
      <c r="W229" s="4"/>
      <c r="X229" s="4"/>
      <c r="Y229" s="4"/>
      <c r="Z229" s="4"/>
    </row>
    <row x14ac:dyDescent="0.25" r="230" customHeight="1" ht="12.75">
      <c r="A230" s="4"/>
      <c r="B230" s="29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29"/>
      <c r="N230" s="29"/>
      <c r="O230" s="29"/>
      <c r="P230" s="32"/>
      <c r="Q230" s="32"/>
      <c r="R230" s="4"/>
      <c r="S230" s="4"/>
      <c r="T230" s="4"/>
      <c r="U230" s="4"/>
      <c r="V230" s="4"/>
      <c r="W230" s="4"/>
      <c r="X230" s="4"/>
      <c r="Y230" s="4"/>
      <c r="Z230" s="4"/>
    </row>
    <row x14ac:dyDescent="0.25" r="231" customHeight="1" ht="12.75">
      <c r="A231" s="4"/>
      <c r="B231" s="29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29"/>
      <c r="N231" s="29"/>
      <c r="O231" s="29"/>
      <c r="P231" s="32"/>
      <c r="Q231" s="32"/>
      <c r="R231" s="4"/>
      <c r="S231" s="4"/>
      <c r="T231" s="4"/>
      <c r="U231" s="4"/>
      <c r="V231" s="4"/>
      <c r="W231" s="4"/>
      <c r="X231" s="4"/>
      <c r="Y231" s="4"/>
      <c r="Z231" s="4"/>
    </row>
    <row x14ac:dyDescent="0.25" r="232" customHeight="1" ht="12.75">
      <c r="A232" s="4"/>
      <c r="B232" s="29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29"/>
      <c r="N232" s="29"/>
      <c r="O232" s="29"/>
      <c r="P232" s="32"/>
      <c r="Q232" s="32"/>
      <c r="R232" s="4"/>
      <c r="S232" s="4"/>
      <c r="T232" s="4"/>
      <c r="U232" s="4"/>
      <c r="V232" s="4"/>
      <c r="W232" s="4"/>
      <c r="X232" s="4"/>
      <c r="Y232" s="4"/>
      <c r="Z232" s="4"/>
    </row>
    <row x14ac:dyDescent="0.25" r="233" customHeight="1" ht="12.75">
      <c r="A233" s="4"/>
      <c r="B233" s="29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29"/>
      <c r="N233" s="29"/>
      <c r="O233" s="29"/>
      <c r="P233" s="32"/>
      <c r="Q233" s="32"/>
      <c r="R233" s="4"/>
      <c r="S233" s="4"/>
      <c r="T233" s="4"/>
      <c r="U233" s="4"/>
      <c r="V233" s="4"/>
      <c r="W233" s="4"/>
      <c r="X233" s="4"/>
      <c r="Y233" s="4"/>
      <c r="Z233" s="4"/>
    </row>
    <row x14ac:dyDescent="0.25" r="234" customHeight="1" ht="12.75">
      <c r="A234" s="4"/>
      <c r="B234" s="29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29"/>
      <c r="N234" s="29"/>
      <c r="O234" s="29"/>
      <c r="P234" s="32"/>
      <c r="Q234" s="32"/>
      <c r="R234" s="4"/>
      <c r="S234" s="4"/>
      <c r="T234" s="4"/>
      <c r="U234" s="4"/>
      <c r="V234" s="4"/>
      <c r="W234" s="4"/>
      <c r="X234" s="4"/>
      <c r="Y234" s="4"/>
      <c r="Z234" s="4"/>
    </row>
    <row x14ac:dyDescent="0.25" r="235" customHeight="1" ht="12.75">
      <c r="A235" s="4"/>
      <c r="B235" s="29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29"/>
      <c r="N235" s="29"/>
      <c r="O235" s="29"/>
      <c r="P235" s="32"/>
      <c r="Q235" s="32"/>
      <c r="R235" s="4"/>
      <c r="S235" s="4"/>
      <c r="T235" s="4"/>
      <c r="U235" s="4"/>
      <c r="V235" s="4"/>
      <c r="W235" s="4"/>
      <c r="X235" s="4"/>
      <c r="Y235" s="4"/>
      <c r="Z235" s="4"/>
    </row>
    <row x14ac:dyDescent="0.25" r="236" customHeight="1" ht="12.75">
      <c r="A236" s="4"/>
      <c r="B236" s="29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29"/>
      <c r="N236" s="29"/>
      <c r="O236" s="29"/>
      <c r="P236" s="32"/>
      <c r="Q236" s="32"/>
      <c r="R236" s="4"/>
      <c r="S236" s="4"/>
      <c r="T236" s="4"/>
      <c r="U236" s="4"/>
      <c r="V236" s="4"/>
      <c r="W236" s="4"/>
      <c r="X236" s="4"/>
      <c r="Y236" s="4"/>
      <c r="Z236" s="4"/>
    </row>
    <row x14ac:dyDescent="0.25" r="237" customHeight="1" ht="12.75">
      <c r="A237" s="4"/>
      <c r="B237" s="29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29"/>
      <c r="N237" s="29"/>
      <c r="O237" s="29"/>
      <c r="P237" s="32"/>
      <c r="Q237" s="32"/>
      <c r="R237" s="4"/>
      <c r="S237" s="4"/>
      <c r="T237" s="4"/>
      <c r="U237" s="4"/>
      <c r="V237" s="4"/>
      <c r="W237" s="4"/>
      <c r="X237" s="4"/>
      <c r="Y237" s="4"/>
      <c r="Z237" s="4"/>
    </row>
    <row x14ac:dyDescent="0.25" r="238" customHeight="1" ht="12.75">
      <c r="A238" s="4"/>
      <c r="B238" s="29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29"/>
      <c r="N238" s="29"/>
      <c r="O238" s="29"/>
      <c r="P238" s="32"/>
      <c r="Q238" s="32"/>
      <c r="R238" s="4"/>
      <c r="S238" s="4"/>
      <c r="T238" s="4"/>
      <c r="U238" s="4"/>
      <c r="V238" s="4"/>
      <c r="W238" s="4"/>
      <c r="X238" s="4"/>
      <c r="Y238" s="4"/>
      <c r="Z238" s="4"/>
    </row>
    <row x14ac:dyDescent="0.25" r="239" customHeight="1" ht="12.75">
      <c r="A239" s="4"/>
      <c r="B239" s="29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29"/>
      <c r="N239" s="29"/>
      <c r="O239" s="29"/>
      <c r="P239" s="32"/>
      <c r="Q239" s="32"/>
      <c r="R239" s="4"/>
      <c r="S239" s="4"/>
      <c r="T239" s="4"/>
      <c r="U239" s="4"/>
      <c r="V239" s="4"/>
      <c r="W239" s="4"/>
      <c r="X239" s="4"/>
      <c r="Y239" s="4"/>
      <c r="Z239" s="4"/>
    </row>
    <row x14ac:dyDescent="0.25" r="240" customHeight="1" ht="12.75">
      <c r="A240" s="4"/>
      <c r="B240" s="29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29"/>
      <c r="N240" s="29"/>
      <c r="O240" s="29"/>
      <c r="P240" s="32"/>
      <c r="Q240" s="32"/>
      <c r="R240" s="4"/>
      <c r="S240" s="4"/>
      <c r="T240" s="4"/>
      <c r="U240" s="4"/>
      <c r="V240" s="4"/>
      <c r="W240" s="4"/>
      <c r="X240" s="4"/>
      <c r="Y240" s="4"/>
      <c r="Z240" s="4"/>
    </row>
    <row x14ac:dyDescent="0.25" r="241" customHeight="1" ht="12.75">
      <c r="A241" s="4"/>
      <c r="B241" s="29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29"/>
      <c r="N241" s="29"/>
      <c r="O241" s="29"/>
      <c r="P241" s="32"/>
      <c r="Q241" s="32"/>
      <c r="R241" s="4"/>
      <c r="S241" s="4"/>
      <c r="T241" s="4"/>
      <c r="U241" s="4"/>
      <c r="V241" s="4"/>
      <c r="W241" s="4"/>
      <c r="X241" s="4"/>
      <c r="Y241" s="4"/>
      <c r="Z241" s="4"/>
    </row>
    <row x14ac:dyDescent="0.25" r="242" customHeight="1" ht="12.75">
      <c r="A242" s="4"/>
      <c r="B242" s="29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29"/>
      <c r="N242" s="29"/>
      <c r="O242" s="29"/>
      <c r="P242" s="32"/>
      <c r="Q242" s="32"/>
      <c r="R242" s="4"/>
      <c r="S242" s="4"/>
      <c r="T242" s="4"/>
      <c r="U242" s="4"/>
      <c r="V242" s="4"/>
      <c r="W242" s="4"/>
      <c r="X242" s="4"/>
      <c r="Y242" s="4"/>
      <c r="Z242" s="4"/>
    </row>
    <row x14ac:dyDescent="0.25" r="243" customHeight="1" ht="12.75">
      <c r="A243" s="4"/>
      <c r="B243" s="29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29"/>
      <c r="N243" s="29"/>
      <c r="O243" s="29"/>
      <c r="P243" s="32"/>
      <c r="Q243" s="32"/>
      <c r="R243" s="4"/>
      <c r="S243" s="4"/>
      <c r="T243" s="4"/>
      <c r="U243" s="4"/>
      <c r="V243" s="4"/>
      <c r="W243" s="4"/>
      <c r="X243" s="4"/>
      <c r="Y243" s="4"/>
      <c r="Z243" s="4"/>
    </row>
    <row x14ac:dyDescent="0.25" r="244" customHeight="1" ht="12.75">
      <c r="A244" s="4"/>
      <c r="B244" s="29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29"/>
      <c r="N244" s="29"/>
      <c r="O244" s="29"/>
      <c r="P244" s="32"/>
      <c r="Q244" s="32"/>
      <c r="R244" s="4"/>
      <c r="S244" s="4"/>
      <c r="T244" s="4"/>
      <c r="U244" s="4"/>
      <c r="V244" s="4"/>
      <c r="W244" s="4"/>
      <c r="X244" s="4"/>
      <c r="Y244" s="4"/>
      <c r="Z244" s="4"/>
    </row>
    <row x14ac:dyDescent="0.25" r="245" customHeight="1" ht="12.75">
      <c r="A245" s="4"/>
      <c r="B245" s="29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29"/>
      <c r="N245" s="29"/>
      <c r="O245" s="29"/>
      <c r="P245" s="32"/>
      <c r="Q245" s="32"/>
      <c r="R245" s="4"/>
      <c r="S245" s="4"/>
      <c r="T245" s="4"/>
      <c r="U245" s="4"/>
      <c r="V245" s="4"/>
      <c r="W245" s="4"/>
      <c r="X245" s="4"/>
      <c r="Y245" s="4"/>
      <c r="Z245" s="4"/>
    </row>
    <row x14ac:dyDescent="0.25" r="246" customHeight="1" ht="12.75">
      <c r="A246" s="4"/>
      <c r="B246" s="29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29"/>
      <c r="N246" s="29"/>
      <c r="O246" s="29"/>
      <c r="P246" s="32"/>
      <c r="Q246" s="32"/>
      <c r="R246" s="4"/>
      <c r="S246" s="4"/>
      <c r="T246" s="4"/>
      <c r="U246" s="4"/>
      <c r="V246" s="4"/>
      <c r="W246" s="4"/>
      <c r="X246" s="4"/>
      <c r="Y246" s="4"/>
      <c r="Z246" s="4"/>
    </row>
    <row x14ac:dyDescent="0.25" r="247" customHeight="1" ht="12.75">
      <c r="A247" s="4"/>
      <c r="B247" s="29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29"/>
      <c r="N247" s="29"/>
      <c r="O247" s="29"/>
      <c r="P247" s="32"/>
      <c r="Q247" s="32"/>
      <c r="R247" s="4"/>
      <c r="S247" s="4"/>
      <c r="T247" s="4"/>
      <c r="U247" s="4"/>
      <c r="V247" s="4"/>
      <c r="W247" s="4"/>
      <c r="X247" s="4"/>
      <c r="Y247" s="4"/>
      <c r="Z247" s="4"/>
    </row>
    <row x14ac:dyDescent="0.25" r="248" customHeight="1" ht="12.75">
      <c r="A248" s="4"/>
      <c r="B248" s="29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29"/>
      <c r="N248" s="29"/>
      <c r="O248" s="29"/>
      <c r="P248" s="32"/>
      <c r="Q248" s="32"/>
      <c r="R248" s="4"/>
      <c r="S248" s="4"/>
      <c r="T248" s="4"/>
      <c r="U248" s="4"/>
      <c r="V248" s="4"/>
      <c r="W248" s="4"/>
      <c r="X248" s="4"/>
      <c r="Y248" s="4"/>
      <c r="Z248" s="4"/>
    </row>
    <row x14ac:dyDescent="0.25" r="249" customHeight="1" ht="12.75">
      <c r="A249" s="4"/>
      <c r="B249" s="29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29"/>
      <c r="N249" s="29"/>
      <c r="O249" s="29"/>
      <c r="P249" s="32"/>
      <c r="Q249" s="32"/>
      <c r="R249" s="4"/>
      <c r="S249" s="4"/>
      <c r="T249" s="4"/>
      <c r="U249" s="4"/>
      <c r="V249" s="4"/>
      <c r="W249" s="4"/>
      <c r="X249" s="4"/>
      <c r="Y249" s="4"/>
      <c r="Z249" s="4"/>
    </row>
    <row x14ac:dyDescent="0.25" r="250" customHeight="1" ht="12.75">
      <c r="A250" s="4"/>
      <c r="B250" s="29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29"/>
      <c r="N250" s="29"/>
      <c r="O250" s="29"/>
      <c r="P250" s="32"/>
      <c r="Q250" s="32"/>
      <c r="R250" s="4"/>
      <c r="S250" s="4"/>
      <c r="T250" s="4"/>
      <c r="U250" s="4"/>
      <c r="V250" s="4"/>
      <c r="W250" s="4"/>
      <c r="X250" s="4"/>
      <c r="Y250" s="4"/>
      <c r="Z250" s="4"/>
    </row>
    <row x14ac:dyDescent="0.25" r="251" customHeight="1" ht="12.75">
      <c r="A251" s="4"/>
      <c r="B251" s="29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29"/>
      <c r="N251" s="29"/>
      <c r="O251" s="29"/>
      <c r="P251" s="32"/>
      <c r="Q251" s="32"/>
      <c r="R251" s="4"/>
      <c r="S251" s="4"/>
      <c r="T251" s="4"/>
      <c r="U251" s="4"/>
      <c r="V251" s="4"/>
      <c r="W251" s="4"/>
      <c r="X251" s="4"/>
      <c r="Y251" s="4"/>
      <c r="Z251" s="4"/>
    </row>
    <row x14ac:dyDescent="0.25" r="252" customHeight="1" ht="12.75">
      <c r="A252" s="4"/>
      <c r="B252" s="29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29"/>
      <c r="N252" s="29"/>
      <c r="O252" s="29"/>
      <c r="P252" s="32"/>
      <c r="Q252" s="32"/>
      <c r="R252" s="4"/>
      <c r="S252" s="4"/>
      <c r="T252" s="4"/>
      <c r="U252" s="4"/>
      <c r="V252" s="4"/>
      <c r="W252" s="4"/>
      <c r="X252" s="4"/>
      <c r="Y252" s="4"/>
      <c r="Z252" s="4"/>
    </row>
    <row x14ac:dyDescent="0.25" r="253" customHeight="1" ht="12.75">
      <c r="A253" s="4"/>
      <c r="B253" s="29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29"/>
      <c r="N253" s="29"/>
      <c r="O253" s="29"/>
      <c r="P253" s="32"/>
      <c r="Q253" s="32"/>
      <c r="R253" s="4"/>
      <c r="S253" s="4"/>
      <c r="T253" s="4"/>
      <c r="U253" s="4"/>
      <c r="V253" s="4"/>
      <c r="W253" s="4"/>
      <c r="X253" s="4"/>
      <c r="Y253" s="4"/>
      <c r="Z253" s="4"/>
    </row>
    <row x14ac:dyDescent="0.25" r="254" customHeight="1" ht="12.75">
      <c r="A254" s="4"/>
      <c r="B254" s="29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29"/>
      <c r="N254" s="29"/>
      <c r="O254" s="29"/>
      <c r="P254" s="32"/>
      <c r="Q254" s="32"/>
      <c r="R254" s="4"/>
      <c r="S254" s="4"/>
      <c r="T254" s="4"/>
      <c r="U254" s="4"/>
      <c r="V254" s="4"/>
      <c r="W254" s="4"/>
      <c r="X254" s="4"/>
      <c r="Y254" s="4"/>
      <c r="Z254" s="4"/>
    </row>
    <row x14ac:dyDescent="0.25" r="255" customHeight="1" ht="12.75">
      <c r="A255" s="4"/>
      <c r="B255" s="29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29"/>
      <c r="N255" s="29"/>
      <c r="O255" s="29"/>
      <c r="P255" s="32"/>
      <c r="Q255" s="32"/>
      <c r="R255" s="4"/>
      <c r="S255" s="4"/>
      <c r="T255" s="4"/>
      <c r="U255" s="4"/>
      <c r="V255" s="4"/>
      <c r="W255" s="4"/>
      <c r="X255" s="4"/>
      <c r="Y255" s="4"/>
      <c r="Z255" s="4"/>
    </row>
    <row x14ac:dyDescent="0.25" r="256" customHeight="1" ht="12.75">
      <c r="A256" s="4"/>
      <c r="B256" s="29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29"/>
      <c r="N256" s="29"/>
      <c r="O256" s="29"/>
      <c r="P256" s="32"/>
      <c r="Q256" s="32"/>
      <c r="R256" s="4"/>
      <c r="S256" s="4"/>
      <c r="T256" s="4"/>
      <c r="U256" s="4"/>
      <c r="V256" s="4"/>
      <c r="W256" s="4"/>
      <c r="X256" s="4"/>
      <c r="Y256" s="4"/>
      <c r="Z256" s="4"/>
    </row>
    <row x14ac:dyDescent="0.25" r="257" customHeight="1" ht="12.75">
      <c r="A257" s="4"/>
      <c r="B257" s="29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29"/>
      <c r="N257" s="29"/>
      <c r="O257" s="29"/>
      <c r="P257" s="32"/>
      <c r="Q257" s="32"/>
      <c r="R257" s="4"/>
      <c r="S257" s="4"/>
      <c r="T257" s="4"/>
      <c r="U257" s="4"/>
      <c r="V257" s="4"/>
      <c r="W257" s="4"/>
      <c r="X257" s="4"/>
      <c r="Y257" s="4"/>
      <c r="Z257" s="4"/>
    </row>
    <row x14ac:dyDescent="0.25" r="258" customHeight="1" ht="12.75">
      <c r="A258" s="4"/>
      <c r="B258" s="29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29"/>
      <c r="N258" s="29"/>
      <c r="O258" s="29"/>
      <c r="P258" s="32"/>
      <c r="Q258" s="32"/>
      <c r="R258" s="4"/>
      <c r="S258" s="4"/>
      <c r="T258" s="4"/>
      <c r="U258" s="4"/>
      <c r="V258" s="4"/>
      <c r="W258" s="4"/>
      <c r="X258" s="4"/>
      <c r="Y258" s="4"/>
      <c r="Z258" s="4"/>
    </row>
    <row x14ac:dyDescent="0.25" r="259" customHeight="1" ht="12.75">
      <c r="A259" s="4"/>
      <c r="B259" s="29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29"/>
      <c r="N259" s="29"/>
      <c r="O259" s="29"/>
      <c r="P259" s="32"/>
      <c r="Q259" s="32"/>
      <c r="R259" s="4"/>
      <c r="S259" s="4"/>
      <c r="T259" s="4"/>
      <c r="U259" s="4"/>
      <c r="V259" s="4"/>
      <c r="W259" s="4"/>
      <c r="X259" s="4"/>
      <c r="Y259" s="4"/>
      <c r="Z259" s="4"/>
    </row>
    <row x14ac:dyDescent="0.25" r="260" customHeight="1" ht="12.75">
      <c r="A260" s="4"/>
      <c r="B260" s="29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29"/>
      <c r="N260" s="29"/>
      <c r="O260" s="29"/>
      <c r="P260" s="32"/>
      <c r="Q260" s="32"/>
      <c r="R260" s="4"/>
      <c r="S260" s="4"/>
      <c r="T260" s="4"/>
      <c r="U260" s="4"/>
      <c r="V260" s="4"/>
      <c r="W260" s="4"/>
      <c r="X260" s="4"/>
      <c r="Y260" s="4"/>
      <c r="Z260" s="4"/>
    </row>
    <row x14ac:dyDescent="0.25" r="261" customHeight="1" ht="12.75">
      <c r="A261" s="4"/>
      <c r="B261" s="29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29"/>
      <c r="N261" s="29"/>
      <c r="O261" s="29"/>
      <c r="P261" s="32"/>
      <c r="Q261" s="32"/>
      <c r="R261" s="4"/>
      <c r="S261" s="4"/>
      <c r="T261" s="4"/>
      <c r="U261" s="4"/>
      <c r="V261" s="4"/>
      <c r="W261" s="4"/>
      <c r="X261" s="4"/>
      <c r="Y261" s="4"/>
      <c r="Z261" s="4"/>
    </row>
    <row x14ac:dyDescent="0.25" r="262" customHeight="1" ht="12.75">
      <c r="A262" s="4"/>
      <c r="B262" s="29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29"/>
      <c r="N262" s="29"/>
      <c r="O262" s="29"/>
      <c r="P262" s="32"/>
      <c r="Q262" s="32"/>
      <c r="R262" s="4"/>
      <c r="S262" s="4"/>
      <c r="T262" s="4"/>
      <c r="U262" s="4"/>
      <c r="V262" s="4"/>
      <c r="W262" s="4"/>
      <c r="X262" s="4"/>
      <c r="Y262" s="4"/>
      <c r="Z262" s="4"/>
    </row>
    <row x14ac:dyDescent="0.25" r="263" customHeight="1" ht="12.75">
      <c r="A263" s="4"/>
      <c r="B263" s="29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29"/>
      <c r="N263" s="29"/>
      <c r="O263" s="29"/>
      <c r="P263" s="32"/>
      <c r="Q263" s="32"/>
      <c r="R263" s="4"/>
      <c r="S263" s="4"/>
      <c r="T263" s="4"/>
      <c r="U263" s="4"/>
      <c r="V263" s="4"/>
      <c r="W263" s="4"/>
      <c r="X263" s="4"/>
      <c r="Y263" s="4"/>
      <c r="Z263" s="4"/>
    </row>
    <row x14ac:dyDescent="0.25" r="264" customHeight="1" ht="12.75">
      <c r="A264" s="4"/>
      <c r="B264" s="29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29"/>
      <c r="N264" s="29"/>
      <c r="O264" s="29"/>
      <c r="P264" s="32"/>
      <c r="Q264" s="32"/>
      <c r="R264" s="4"/>
      <c r="S264" s="4"/>
      <c r="T264" s="4"/>
      <c r="U264" s="4"/>
      <c r="V264" s="4"/>
      <c r="W264" s="4"/>
      <c r="X264" s="4"/>
      <c r="Y264" s="4"/>
      <c r="Z264" s="4"/>
    </row>
    <row x14ac:dyDescent="0.25" r="265" customHeight="1" ht="12.75">
      <c r="A265" s="4"/>
      <c r="B265" s="29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29"/>
      <c r="N265" s="29"/>
      <c r="O265" s="29"/>
      <c r="P265" s="32"/>
      <c r="Q265" s="32"/>
      <c r="R265" s="4"/>
      <c r="S265" s="4"/>
      <c r="T265" s="4"/>
      <c r="U265" s="4"/>
      <c r="V265" s="4"/>
      <c r="W265" s="4"/>
      <c r="X265" s="4"/>
      <c r="Y265" s="4"/>
      <c r="Z265" s="4"/>
    </row>
    <row x14ac:dyDescent="0.25" r="266" customHeight="1" ht="12.75">
      <c r="A266" s="4"/>
      <c r="B266" s="29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29"/>
      <c r="N266" s="29"/>
      <c r="O266" s="29"/>
      <c r="P266" s="32"/>
      <c r="Q266" s="32"/>
      <c r="R266" s="4"/>
      <c r="S266" s="4"/>
      <c r="T266" s="4"/>
      <c r="U266" s="4"/>
      <c r="V266" s="4"/>
      <c r="W266" s="4"/>
      <c r="X266" s="4"/>
      <c r="Y266" s="4"/>
      <c r="Z266" s="4"/>
    </row>
    <row x14ac:dyDescent="0.25" r="267" customHeight="1" ht="12.75">
      <c r="A267" s="4"/>
      <c r="B267" s="29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29"/>
      <c r="N267" s="29"/>
      <c r="O267" s="29"/>
      <c r="P267" s="32"/>
      <c r="Q267" s="32"/>
      <c r="R267" s="4"/>
      <c r="S267" s="4"/>
      <c r="T267" s="4"/>
      <c r="U267" s="4"/>
      <c r="V267" s="4"/>
      <c r="W267" s="4"/>
      <c r="X267" s="4"/>
      <c r="Y267" s="4"/>
      <c r="Z267" s="4"/>
    </row>
    <row x14ac:dyDescent="0.25" r="268" customHeight="1" ht="12.75">
      <c r="A268" s="4"/>
      <c r="B268" s="29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29"/>
      <c r="N268" s="29"/>
      <c r="O268" s="29"/>
      <c r="P268" s="32"/>
      <c r="Q268" s="32"/>
      <c r="R268" s="4"/>
      <c r="S268" s="4"/>
      <c r="T268" s="4"/>
      <c r="U268" s="4"/>
      <c r="V268" s="4"/>
      <c r="W268" s="4"/>
      <c r="X268" s="4"/>
      <c r="Y268" s="4"/>
      <c r="Z268" s="4"/>
    </row>
    <row x14ac:dyDescent="0.25" r="269" customHeight="1" ht="12.75">
      <c r="A269" s="4"/>
      <c r="B269" s="29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29"/>
      <c r="N269" s="29"/>
      <c r="O269" s="29"/>
      <c r="P269" s="32"/>
      <c r="Q269" s="32"/>
      <c r="R269" s="4"/>
      <c r="S269" s="4"/>
      <c r="T269" s="4"/>
      <c r="U269" s="4"/>
      <c r="V269" s="4"/>
      <c r="W269" s="4"/>
      <c r="X269" s="4"/>
      <c r="Y269" s="4"/>
      <c r="Z269" s="4"/>
    </row>
    <row x14ac:dyDescent="0.25" r="270" customHeight="1" ht="12.75">
      <c r="A270" s="4"/>
      <c r="B270" s="29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29"/>
      <c r="N270" s="29"/>
      <c r="O270" s="29"/>
      <c r="P270" s="32"/>
      <c r="Q270" s="32"/>
      <c r="R270" s="4"/>
      <c r="S270" s="4"/>
      <c r="T270" s="4"/>
      <c r="U270" s="4"/>
      <c r="V270" s="4"/>
      <c r="W270" s="4"/>
      <c r="X270" s="4"/>
      <c r="Y270" s="4"/>
      <c r="Z270" s="4"/>
    </row>
    <row x14ac:dyDescent="0.25" r="271" customHeight="1" ht="12.75">
      <c r="A271" s="4"/>
      <c r="B271" s="29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29"/>
      <c r="N271" s="29"/>
      <c r="O271" s="29"/>
      <c r="P271" s="32"/>
      <c r="Q271" s="32"/>
      <c r="R271" s="4"/>
      <c r="S271" s="4"/>
      <c r="T271" s="4"/>
      <c r="U271" s="4"/>
      <c r="V271" s="4"/>
      <c r="W271" s="4"/>
      <c r="X271" s="4"/>
      <c r="Y271" s="4"/>
      <c r="Z271" s="4"/>
    </row>
    <row x14ac:dyDescent="0.25" r="272" customHeight="1" ht="12.75">
      <c r="A272" s="4"/>
      <c r="B272" s="29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29"/>
      <c r="N272" s="29"/>
      <c r="O272" s="29"/>
      <c r="P272" s="32"/>
      <c r="Q272" s="32"/>
      <c r="R272" s="4"/>
      <c r="S272" s="4"/>
      <c r="T272" s="4"/>
      <c r="U272" s="4"/>
      <c r="V272" s="4"/>
      <c r="W272" s="4"/>
      <c r="X272" s="4"/>
      <c r="Y272" s="4"/>
      <c r="Z272" s="4"/>
    </row>
    <row x14ac:dyDescent="0.25" r="273" customHeight="1" ht="12.75">
      <c r="A273" s="4"/>
      <c r="B273" s="29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29"/>
      <c r="N273" s="29"/>
      <c r="O273" s="29"/>
      <c r="P273" s="32"/>
      <c r="Q273" s="32"/>
      <c r="R273" s="4"/>
      <c r="S273" s="4"/>
      <c r="T273" s="4"/>
      <c r="U273" s="4"/>
      <c r="V273" s="4"/>
      <c r="W273" s="4"/>
      <c r="X273" s="4"/>
      <c r="Y273" s="4"/>
      <c r="Z273" s="4"/>
    </row>
    <row x14ac:dyDescent="0.25" r="274" customHeight="1" ht="12.75">
      <c r="A274" s="4"/>
      <c r="B274" s="29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29"/>
      <c r="N274" s="29"/>
      <c r="O274" s="29"/>
      <c r="P274" s="32"/>
      <c r="Q274" s="32"/>
      <c r="R274" s="4"/>
      <c r="S274" s="4"/>
      <c r="T274" s="4"/>
      <c r="U274" s="4"/>
      <c r="V274" s="4"/>
      <c r="W274" s="4"/>
      <c r="X274" s="4"/>
      <c r="Y274" s="4"/>
      <c r="Z274" s="4"/>
    </row>
    <row x14ac:dyDescent="0.25" r="275" customHeight="1" ht="12.75">
      <c r="A275" s="4"/>
      <c r="B275" s="29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29"/>
      <c r="N275" s="29"/>
      <c r="O275" s="29"/>
      <c r="P275" s="32"/>
      <c r="Q275" s="32"/>
      <c r="R275" s="4"/>
      <c r="S275" s="4"/>
      <c r="T275" s="4"/>
      <c r="U275" s="4"/>
      <c r="V275" s="4"/>
      <c r="W275" s="4"/>
      <c r="X275" s="4"/>
      <c r="Y275" s="4"/>
      <c r="Z275" s="4"/>
    </row>
    <row x14ac:dyDescent="0.25" r="276" customHeight="1" ht="12.75">
      <c r="A276" s="4"/>
      <c r="B276" s="29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29"/>
      <c r="N276" s="29"/>
      <c r="O276" s="29"/>
      <c r="P276" s="32"/>
      <c r="Q276" s="32"/>
      <c r="R276" s="4"/>
      <c r="S276" s="4"/>
      <c r="T276" s="4"/>
      <c r="U276" s="4"/>
      <c r="V276" s="4"/>
      <c r="W276" s="4"/>
      <c r="X276" s="4"/>
      <c r="Y276" s="4"/>
      <c r="Z276" s="4"/>
    </row>
    <row x14ac:dyDescent="0.25" r="277" customHeight="1" ht="12.75">
      <c r="A277" s="4"/>
      <c r="B277" s="29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29"/>
      <c r="N277" s="29"/>
      <c r="O277" s="29"/>
      <c r="P277" s="32"/>
      <c r="Q277" s="32"/>
      <c r="R277" s="4"/>
      <c r="S277" s="4"/>
      <c r="T277" s="4"/>
      <c r="U277" s="4"/>
      <c r="V277" s="4"/>
      <c r="W277" s="4"/>
      <c r="X277" s="4"/>
      <c r="Y277" s="4"/>
      <c r="Z277" s="4"/>
    </row>
    <row x14ac:dyDescent="0.25" r="278" customHeight="1" ht="12.75">
      <c r="A278" s="4"/>
      <c r="B278" s="29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29"/>
      <c r="N278" s="29"/>
      <c r="O278" s="29"/>
      <c r="P278" s="32"/>
      <c r="Q278" s="32"/>
      <c r="R278" s="4"/>
      <c r="S278" s="4"/>
      <c r="T278" s="4"/>
      <c r="U278" s="4"/>
      <c r="V278" s="4"/>
      <c r="W278" s="4"/>
      <c r="X278" s="4"/>
      <c r="Y278" s="4"/>
      <c r="Z278" s="4"/>
    </row>
    <row x14ac:dyDescent="0.25" r="279" customHeight="1" ht="12.75">
      <c r="A279" s="4"/>
      <c r="B279" s="29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29"/>
      <c r="N279" s="29"/>
      <c r="O279" s="29"/>
      <c r="P279" s="32"/>
      <c r="Q279" s="32"/>
      <c r="R279" s="4"/>
      <c r="S279" s="4"/>
      <c r="T279" s="4"/>
      <c r="U279" s="4"/>
      <c r="V279" s="4"/>
      <c r="W279" s="4"/>
      <c r="X279" s="4"/>
      <c r="Y279" s="4"/>
      <c r="Z279" s="4"/>
    </row>
    <row x14ac:dyDescent="0.25" r="280" customHeight="1" ht="12.75">
      <c r="A280" s="4"/>
      <c r="B280" s="29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29"/>
      <c r="N280" s="29"/>
      <c r="O280" s="29"/>
      <c r="P280" s="32"/>
      <c r="Q280" s="32"/>
      <c r="R280" s="4"/>
      <c r="S280" s="4"/>
      <c r="T280" s="4"/>
      <c r="U280" s="4"/>
      <c r="V280" s="4"/>
      <c r="W280" s="4"/>
      <c r="X280" s="4"/>
      <c r="Y280" s="4"/>
      <c r="Z280" s="4"/>
    </row>
    <row x14ac:dyDescent="0.25" r="281" customHeight="1" ht="12.75">
      <c r="A281" s="4"/>
      <c r="B281" s="29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29"/>
      <c r="N281" s="29"/>
      <c r="O281" s="29"/>
      <c r="P281" s="32"/>
      <c r="Q281" s="32"/>
      <c r="R281" s="4"/>
      <c r="S281" s="4"/>
      <c r="T281" s="4"/>
      <c r="U281" s="4"/>
      <c r="V281" s="4"/>
      <c r="W281" s="4"/>
      <c r="X281" s="4"/>
      <c r="Y281" s="4"/>
      <c r="Z281" s="4"/>
    </row>
    <row x14ac:dyDescent="0.25" r="282" customHeight="1" ht="12.75">
      <c r="A282" s="4"/>
      <c r="B282" s="29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29"/>
      <c r="N282" s="29"/>
      <c r="O282" s="29"/>
      <c r="P282" s="32"/>
      <c r="Q282" s="32"/>
      <c r="R282" s="4"/>
      <c r="S282" s="4"/>
      <c r="T282" s="4"/>
      <c r="U282" s="4"/>
      <c r="V282" s="4"/>
      <c r="W282" s="4"/>
      <c r="X282" s="4"/>
      <c r="Y282" s="4"/>
      <c r="Z282" s="4"/>
    </row>
    <row x14ac:dyDescent="0.25" r="283" customHeight="1" ht="12.75">
      <c r="A283" s="4"/>
      <c r="B283" s="29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29"/>
      <c r="N283" s="29"/>
      <c r="O283" s="29"/>
      <c r="P283" s="32"/>
      <c r="Q283" s="32"/>
      <c r="R283" s="4"/>
      <c r="S283" s="4"/>
      <c r="T283" s="4"/>
      <c r="U283" s="4"/>
      <c r="V283" s="4"/>
      <c r="W283" s="4"/>
      <c r="X283" s="4"/>
      <c r="Y283" s="4"/>
      <c r="Z283" s="4"/>
    </row>
    <row x14ac:dyDescent="0.25" r="284" customHeight="1" ht="12.75">
      <c r="A284" s="4"/>
      <c r="B284" s="29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29"/>
      <c r="N284" s="29"/>
      <c r="O284" s="29"/>
      <c r="P284" s="32"/>
      <c r="Q284" s="32"/>
      <c r="R284" s="4"/>
      <c r="S284" s="4"/>
      <c r="T284" s="4"/>
      <c r="U284" s="4"/>
      <c r="V284" s="4"/>
      <c r="W284" s="4"/>
      <c r="X284" s="4"/>
      <c r="Y284" s="4"/>
      <c r="Z284" s="4"/>
    </row>
    <row x14ac:dyDescent="0.25" r="285" customHeight="1" ht="12.75">
      <c r="A285" s="4"/>
      <c r="B285" s="29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29"/>
      <c r="N285" s="29"/>
      <c r="O285" s="29"/>
      <c r="P285" s="32"/>
      <c r="Q285" s="32"/>
      <c r="R285" s="4"/>
      <c r="S285" s="4"/>
      <c r="T285" s="4"/>
      <c r="U285" s="4"/>
      <c r="V285" s="4"/>
      <c r="W285" s="4"/>
      <c r="X285" s="4"/>
      <c r="Y285" s="4"/>
      <c r="Z285" s="4"/>
    </row>
    <row x14ac:dyDescent="0.25" r="286" customHeight="1" ht="12.75">
      <c r="A286" s="4"/>
      <c r="B286" s="29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29"/>
      <c r="N286" s="29"/>
      <c r="O286" s="29"/>
      <c r="P286" s="32"/>
      <c r="Q286" s="32"/>
      <c r="R286" s="4"/>
      <c r="S286" s="4"/>
      <c r="T286" s="4"/>
      <c r="U286" s="4"/>
      <c r="V286" s="4"/>
      <c r="W286" s="4"/>
      <c r="X286" s="4"/>
      <c r="Y286" s="4"/>
      <c r="Z286" s="4"/>
    </row>
    <row x14ac:dyDescent="0.25" r="287" customHeight="1" ht="12.75">
      <c r="A287" s="4"/>
      <c r="B287" s="29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29"/>
      <c r="N287" s="29"/>
      <c r="O287" s="29"/>
      <c r="P287" s="32"/>
      <c r="Q287" s="32"/>
      <c r="R287" s="4"/>
      <c r="S287" s="4"/>
      <c r="T287" s="4"/>
      <c r="U287" s="4"/>
      <c r="V287" s="4"/>
      <c r="W287" s="4"/>
      <c r="X287" s="4"/>
      <c r="Y287" s="4"/>
      <c r="Z287" s="4"/>
    </row>
    <row x14ac:dyDescent="0.25" r="288" customHeight="1" ht="12.75">
      <c r="A288" s="4"/>
      <c r="B288" s="29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29"/>
      <c r="N288" s="29"/>
      <c r="O288" s="29"/>
      <c r="P288" s="32"/>
      <c r="Q288" s="32"/>
      <c r="R288" s="4"/>
      <c r="S288" s="4"/>
      <c r="T288" s="4"/>
      <c r="U288" s="4"/>
      <c r="V288" s="4"/>
      <c r="W288" s="4"/>
      <c r="X288" s="4"/>
      <c r="Y288" s="4"/>
      <c r="Z288" s="4"/>
    </row>
    <row x14ac:dyDescent="0.25" r="289" customHeight="1" ht="12.75">
      <c r="A289" s="4"/>
      <c r="B289" s="29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29"/>
      <c r="N289" s="29"/>
      <c r="O289" s="29"/>
      <c r="P289" s="32"/>
      <c r="Q289" s="32"/>
      <c r="R289" s="4"/>
      <c r="S289" s="4"/>
      <c r="T289" s="4"/>
      <c r="U289" s="4"/>
      <c r="V289" s="4"/>
      <c r="W289" s="4"/>
      <c r="X289" s="4"/>
      <c r="Y289" s="4"/>
      <c r="Z289" s="4"/>
    </row>
    <row x14ac:dyDescent="0.25" r="290" customHeight="1" ht="12.75">
      <c r="A290" s="4"/>
      <c r="B290" s="29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29"/>
      <c r="N290" s="29"/>
      <c r="O290" s="29"/>
      <c r="P290" s="32"/>
      <c r="Q290" s="32"/>
      <c r="R290" s="4"/>
      <c r="S290" s="4"/>
      <c r="T290" s="4"/>
      <c r="U290" s="4"/>
      <c r="V290" s="4"/>
      <c r="W290" s="4"/>
      <c r="X290" s="4"/>
      <c r="Y290" s="4"/>
      <c r="Z290" s="4"/>
    </row>
    <row x14ac:dyDescent="0.25" r="291" customHeight="1" ht="12.75">
      <c r="A291" s="4"/>
      <c r="B291" s="29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29"/>
      <c r="N291" s="29"/>
      <c r="O291" s="29"/>
      <c r="P291" s="32"/>
      <c r="Q291" s="32"/>
      <c r="R291" s="4"/>
      <c r="S291" s="4"/>
      <c r="T291" s="4"/>
      <c r="U291" s="4"/>
      <c r="V291" s="4"/>
      <c r="W291" s="4"/>
      <c r="X291" s="4"/>
      <c r="Y291" s="4"/>
      <c r="Z291" s="4"/>
    </row>
    <row x14ac:dyDescent="0.25" r="292" customHeight="1" ht="12.75">
      <c r="A292" s="4"/>
      <c r="B292" s="29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29"/>
      <c r="N292" s="29"/>
      <c r="O292" s="29"/>
      <c r="P292" s="32"/>
      <c r="Q292" s="32"/>
      <c r="R292" s="4"/>
      <c r="S292" s="4"/>
      <c r="T292" s="4"/>
      <c r="U292" s="4"/>
      <c r="V292" s="4"/>
      <c r="W292" s="4"/>
      <c r="X292" s="4"/>
      <c r="Y292" s="4"/>
      <c r="Z292" s="4"/>
    </row>
    <row x14ac:dyDescent="0.25" r="293" customHeight="1" ht="12.75">
      <c r="A293" s="4"/>
      <c r="B293" s="29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29"/>
      <c r="N293" s="29"/>
      <c r="O293" s="29"/>
      <c r="P293" s="32"/>
      <c r="Q293" s="32"/>
      <c r="R293" s="4"/>
      <c r="S293" s="4"/>
      <c r="T293" s="4"/>
      <c r="U293" s="4"/>
      <c r="V293" s="4"/>
      <c r="W293" s="4"/>
      <c r="X293" s="4"/>
      <c r="Y293" s="4"/>
      <c r="Z293" s="4"/>
    </row>
    <row x14ac:dyDescent="0.25" r="294" customHeight="1" ht="12.75">
      <c r="A294" s="4"/>
      <c r="B294" s="29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29"/>
      <c r="N294" s="29"/>
      <c r="O294" s="29"/>
      <c r="P294" s="32"/>
      <c r="Q294" s="32"/>
      <c r="R294" s="4"/>
      <c r="S294" s="4"/>
      <c r="T294" s="4"/>
      <c r="U294" s="4"/>
      <c r="V294" s="4"/>
      <c r="W294" s="4"/>
      <c r="X294" s="4"/>
      <c r="Y294" s="4"/>
      <c r="Z294" s="4"/>
    </row>
    <row x14ac:dyDescent="0.25" r="295" customHeight="1" ht="12.75">
      <c r="A295" s="4"/>
      <c r="B295" s="29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29"/>
      <c r="N295" s="29"/>
      <c r="O295" s="29"/>
      <c r="P295" s="32"/>
      <c r="Q295" s="32"/>
      <c r="R295" s="4"/>
      <c r="S295" s="4"/>
      <c r="T295" s="4"/>
      <c r="U295" s="4"/>
      <c r="V295" s="4"/>
      <c r="W295" s="4"/>
      <c r="X295" s="4"/>
      <c r="Y295" s="4"/>
      <c r="Z295" s="4"/>
    </row>
    <row x14ac:dyDescent="0.25" r="296" customHeight="1" ht="12.75">
      <c r="A296" s="4"/>
      <c r="B296" s="29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29"/>
      <c r="N296" s="29"/>
      <c r="O296" s="29"/>
      <c r="P296" s="32"/>
      <c r="Q296" s="32"/>
      <c r="R296" s="4"/>
      <c r="S296" s="4"/>
      <c r="T296" s="4"/>
      <c r="U296" s="4"/>
      <c r="V296" s="4"/>
      <c r="W296" s="4"/>
      <c r="X296" s="4"/>
      <c r="Y296" s="4"/>
      <c r="Z296" s="4"/>
    </row>
    <row x14ac:dyDescent="0.25" r="297" customHeight="1" ht="12.75">
      <c r="A297" s="4"/>
      <c r="B297" s="29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29"/>
      <c r="N297" s="29"/>
      <c r="O297" s="29"/>
      <c r="P297" s="32"/>
      <c r="Q297" s="32"/>
      <c r="R297" s="4"/>
      <c r="S297" s="4"/>
      <c r="T297" s="4"/>
      <c r="U297" s="4"/>
      <c r="V297" s="4"/>
      <c r="W297" s="4"/>
      <c r="X297" s="4"/>
      <c r="Y297" s="4"/>
      <c r="Z297" s="4"/>
    </row>
    <row x14ac:dyDescent="0.25" r="298" customHeight="1" ht="12.75">
      <c r="A298" s="4"/>
      <c r="B298" s="29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29"/>
      <c r="N298" s="29"/>
      <c r="O298" s="29"/>
      <c r="P298" s="32"/>
      <c r="Q298" s="32"/>
      <c r="R298" s="4"/>
      <c r="S298" s="4"/>
      <c r="T298" s="4"/>
      <c r="U298" s="4"/>
      <c r="V298" s="4"/>
      <c r="W298" s="4"/>
      <c r="X298" s="4"/>
      <c r="Y298" s="4"/>
      <c r="Z298" s="4"/>
    </row>
    <row x14ac:dyDescent="0.25" r="299" customHeight="1" ht="12.75">
      <c r="A299" s="4"/>
      <c r="B299" s="29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29"/>
      <c r="N299" s="29"/>
      <c r="O299" s="29"/>
      <c r="P299" s="32"/>
      <c r="Q299" s="32"/>
      <c r="R299" s="4"/>
      <c r="S299" s="4"/>
      <c r="T299" s="4"/>
      <c r="U299" s="4"/>
      <c r="V299" s="4"/>
      <c r="W299" s="4"/>
      <c r="X299" s="4"/>
      <c r="Y299" s="4"/>
      <c r="Z299" s="4"/>
    </row>
    <row x14ac:dyDescent="0.25" r="300" customHeight="1" ht="12.75">
      <c r="A300" s="4"/>
      <c r="B300" s="29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29"/>
      <c r="N300" s="29"/>
      <c r="O300" s="29"/>
      <c r="P300" s="32"/>
      <c r="Q300" s="32"/>
      <c r="R300" s="4"/>
      <c r="S300" s="4"/>
      <c r="T300" s="4"/>
      <c r="U300" s="4"/>
      <c r="V300" s="4"/>
      <c r="W300" s="4"/>
      <c r="X300" s="4"/>
      <c r="Y300" s="4"/>
      <c r="Z300" s="4"/>
    </row>
    <row x14ac:dyDescent="0.25" r="301" customHeight="1" ht="12.75">
      <c r="A301" s="4"/>
      <c r="B301" s="29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29"/>
      <c r="N301" s="29"/>
      <c r="O301" s="29"/>
      <c r="P301" s="32"/>
      <c r="Q301" s="32"/>
      <c r="R301" s="4"/>
      <c r="S301" s="4"/>
      <c r="T301" s="4"/>
      <c r="U301" s="4"/>
      <c r="V301" s="4"/>
      <c r="W301" s="4"/>
      <c r="X301" s="4"/>
      <c r="Y301" s="4"/>
      <c r="Z301" s="4"/>
    </row>
    <row x14ac:dyDescent="0.25" r="302" customHeight="1" ht="12.75">
      <c r="A302" s="4"/>
      <c r="B302" s="29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29"/>
      <c r="N302" s="29"/>
      <c r="O302" s="29"/>
      <c r="P302" s="32"/>
      <c r="Q302" s="32"/>
      <c r="R302" s="4"/>
      <c r="S302" s="4"/>
      <c r="T302" s="4"/>
      <c r="U302" s="4"/>
      <c r="V302" s="4"/>
      <c r="W302" s="4"/>
      <c r="X302" s="4"/>
      <c r="Y302" s="4"/>
      <c r="Z302" s="4"/>
    </row>
    <row x14ac:dyDescent="0.25" r="303" customHeight="1" ht="12.75">
      <c r="A303" s="4"/>
      <c r="B303" s="29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29"/>
      <c r="N303" s="29"/>
      <c r="O303" s="29"/>
      <c r="P303" s="32"/>
      <c r="Q303" s="32"/>
      <c r="R303" s="4"/>
      <c r="S303" s="4"/>
      <c r="T303" s="4"/>
      <c r="U303" s="4"/>
      <c r="V303" s="4"/>
      <c r="W303" s="4"/>
      <c r="X303" s="4"/>
      <c r="Y303" s="4"/>
      <c r="Z303" s="4"/>
    </row>
    <row x14ac:dyDescent="0.25" r="304" customHeight="1" ht="12.75">
      <c r="A304" s="4"/>
      <c r="B304" s="29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29"/>
      <c r="N304" s="29"/>
      <c r="O304" s="29"/>
      <c r="P304" s="32"/>
      <c r="Q304" s="32"/>
      <c r="R304" s="4"/>
      <c r="S304" s="4"/>
      <c r="T304" s="4"/>
      <c r="U304" s="4"/>
      <c r="V304" s="4"/>
      <c r="W304" s="4"/>
      <c r="X304" s="4"/>
      <c r="Y304" s="4"/>
      <c r="Z304" s="4"/>
    </row>
    <row x14ac:dyDescent="0.25" r="305" customHeight="1" ht="12.75">
      <c r="A305" s="4"/>
      <c r="B305" s="29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29"/>
      <c r="N305" s="29"/>
      <c r="O305" s="29"/>
      <c r="P305" s="32"/>
      <c r="Q305" s="32"/>
      <c r="R305" s="4"/>
      <c r="S305" s="4"/>
      <c r="T305" s="4"/>
      <c r="U305" s="4"/>
      <c r="V305" s="4"/>
      <c r="W305" s="4"/>
      <c r="X305" s="4"/>
      <c r="Y305" s="4"/>
      <c r="Z305" s="4"/>
    </row>
    <row x14ac:dyDescent="0.25" r="306" customHeight="1" ht="12.75">
      <c r="A306" s="4"/>
      <c r="B306" s="29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29"/>
      <c r="N306" s="29"/>
      <c r="O306" s="29"/>
      <c r="P306" s="32"/>
      <c r="Q306" s="32"/>
      <c r="R306" s="4"/>
      <c r="S306" s="4"/>
      <c r="T306" s="4"/>
      <c r="U306" s="4"/>
      <c r="V306" s="4"/>
      <c r="W306" s="4"/>
      <c r="X306" s="4"/>
      <c r="Y306" s="4"/>
      <c r="Z306" s="4"/>
    </row>
    <row x14ac:dyDescent="0.25" r="307" customHeight="1" ht="12.75">
      <c r="A307" s="4"/>
      <c r="B307" s="29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29"/>
      <c r="N307" s="29"/>
      <c r="O307" s="29"/>
      <c r="P307" s="32"/>
      <c r="Q307" s="32"/>
      <c r="R307" s="4"/>
      <c r="S307" s="4"/>
      <c r="T307" s="4"/>
      <c r="U307" s="4"/>
      <c r="V307" s="4"/>
      <c r="W307" s="4"/>
      <c r="X307" s="4"/>
      <c r="Y307" s="4"/>
      <c r="Z307" s="4"/>
    </row>
    <row x14ac:dyDescent="0.25" r="308" customHeight="1" ht="12.75">
      <c r="A308" s="4"/>
      <c r="B308" s="29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29"/>
      <c r="N308" s="29"/>
      <c r="O308" s="29"/>
      <c r="P308" s="32"/>
      <c r="Q308" s="32"/>
      <c r="R308" s="4"/>
      <c r="S308" s="4"/>
      <c r="T308" s="4"/>
      <c r="U308" s="4"/>
      <c r="V308" s="4"/>
      <c r="W308" s="4"/>
      <c r="X308" s="4"/>
      <c r="Y308" s="4"/>
      <c r="Z308" s="4"/>
    </row>
    <row x14ac:dyDescent="0.25" r="309" customHeight="1" ht="12.75">
      <c r="A309" s="4"/>
      <c r="B309" s="29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29"/>
      <c r="N309" s="29"/>
      <c r="O309" s="29"/>
      <c r="P309" s="32"/>
      <c r="Q309" s="32"/>
      <c r="R309" s="4"/>
      <c r="S309" s="4"/>
      <c r="T309" s="4"/>
      <c r="U309" s="4"/>
      <c r="V309" s="4"/>
      <c r="W309" s="4"/>
      <c r="X309" s="4"/>
      <c r="Y309" s="4"/>
      <c r="Z309" s="4"/>
    </row>
    <row x14ac:dyDescent="0.25" r="310" customHeight="1" ht="12.75">
      <c r="A310" s="4"/>
      <c r="B310" s="29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29"/>
      <c r="N310" s="29"/>
      <c r="O310" s="29"/>
      <c r="P310" s="32"/>
      <c r="Q310" s="32"/>
      <c r="R310" s="4"/>
      <c r="S310" s="4"/>
      <c r="T310" s="4"/>
      <c r="U310" s="4"/>
      <c r="V310" s="4"/>
      <c r="W310" s="4"/>
      <c r="X310" s="4"/>
      <c r="Y310" s="4"/>
      <c r="Z310" s="4"/>
    </row>
    <row x14ac:dyDescent="0.25" r="311" customHeight="1" ht="12.75">
      <c r="A311" s="4"/>
      <c r="B311" s="29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29"/>
      <c r="N311" s="29"/>
      <c r="O311" s="29"/>
      <c r="P311" s="32"/>
      <c r="Q311" s="32"/>
      <c r="R311" s="4"/>
      <c r="S311" s="4"/>
      <c r="T311" s="4"/>
      <c r="U311" s="4"/>
      <c r="V311" s="4"/>
      <c r="W311" s="4"/>
      <c r="X311" s="4"/>
      <c r="Y311" s="4"/>
      <c r="Z311" s="4"/>
    </row>
    <row x14ac:dyDescent="0.25" r="312" customHeight="1" ht="12.75">
      <c r="A312" s="4"/>
      <c r="B312" s="29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29"/>
      <c r="N312" s="29"/>
      <c r="O312" s="29"/>
      <c r="P312" s="32"/>
      <c r="Q312" s="32"/>
      <c r="R312" s="4"/>
      <c r="S312" s="4"/>
      <c r="T312" s="4"/>
      <c r="U312" s="4"/>
      <c r="V312" s="4"/>
      <c r="W312" s="4"/>
      <c r="X312" s="4"/>
      <c r="Y312" s="4"/>
      <c r="Z312" s="4"/>
    </row>
    <row x14ac:dyDescent="0.25" r="313" customHeight="1" ht="12.75">
      <c r="A313" s="4"/>
      <c r="B313" s="29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29"/>
      <c r="N313" s="29"/>
      <c r="O313" s="29"/>
      <c r="P313" s="32"/>
      <c r="Q313" s="32"/>
      <c r="R313" s="4"/>
      <c r="S313" s="4"/>
      <c r="T313" s="4"/>
      <c r="U313" s="4"/>
      <c r="V313" s="4"/>
      <c r="W313" s="4"/>
      <c r="X313" s="4"/>
      <c r="Y313" s="4"/>
      <c r="Z313" s="4"/>
    </row>
    <row x14ac:dyDescent="0.25" r="314" customHeight="1" ht="12.75">
      <c r="A314" s="4"/>
      <c r="B314" s="29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29"/>
      <c r="N314" s="29"/>
      <c r="O314" s="29"/>
      <c r="P314" s="32"/>
      <c r="Q314" s="32"/>
      <c r="R314" s="4"/>
      <c r="S314" s="4"/>
      <c r="T314" s="4"/>
      <c r="U314" s="4"/>
      <c r="V314" s="4"/>
      <c r="W314" s="4"/>
      <c r="X314" s="4"/>
      <c r="Y314" s="4"/>
      <c r="Z314" s="4"/>
    </row>
    <row x14ac:dyDescent="0.25" r="315" customHeight="1" ht="12.75">
      <c r="A315" s="4"/>
      <c r="B315" s="29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29"/>
      <c r="N315" s="29"/>
      <c r="O315" s="29"/>
      <c r="P315" s="32"/>
      <c r="Q315" s="32"/>
      <c r="R315" s="4"/>
      <c r="S315" s="4"/>
      <c r="T315" s="4"/>
      <c r="U315" s="4"/>
      <c r="V315" s="4"/>
      <c r="W315" s="4"/>
      <c r="X315" s="4"/>
      <c r="Y315" s="4"/>
      <c r="Z315" s="4"/>
    </row>
    <row x14ac:dyDescent="0.25" r="316" customHeight="1" ht="12.75">
      <c r="A316" s="4"/>
      <c r="B316" s="29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29"/>
      <c r="N316" s="29"/>
      <c r="O316" s="29"/>
      <c r="P316" s="32"/>
      <c r="Q316" s="32"/>
      <c r="R316" s="4"/>
      <c r="S316" s="4"/>
      <c r="T316" s="4"/>
      <c r="U316" s="4"/>
      <c r="V316" s="4"/>
      <c r="W316" s="4"/>
      <c r="X316" s="4"/>
      <c r="Y316" s="4"/>
      <c r="Z316" s="4"/>
    </row>
    <row x14ac:dyDescent="0.25" r="317" customHeight="1" ht="12.75">
      <c r="A317" s="4"/>
      <c r="B317" s="29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29"/>
      <c r="N317" s="29"/>
      <c r="O317" s="29"/>
      <c r="P317" s="32"/>
      <c r="Q317" s="32"/>
      <c r="R317" s="4"/>
      <c r="S317" s="4"/>
      <c r="T317" s="4"/>
      <c r="U317" s="4"/>
      <c r="V317" s="4"/>
      <c r="W317" s="4"/>
      <c r="X317" s="4"/>
      <c r="Y317" s="4"/>
      <c r="Z317" s="4"/>
    </row>
    <row x14ac:dyDescent="0.25" r="318" customHeight="1" ht="12.75">
      <c r="A318" s="4"/>
      <c r="B318" s="29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29"/>
      <c r="N318" s="29"/>
      <c r="O318" s="29"/>
      <c r="P318" s="32"/>
      <c r="Q318" s="32"/>
      <c r="R318" s="4"/>
      <c r="S318" s="4"/>
      <c r="T318" s="4"/>
      <c r="U318" s="4"/>
      <c r="V318" s="4"/>
      <c r="W318" s="4"/>
      <c r="X318" s="4"/>
      <c r="Y318" s="4"/>
      <c r="Z318" s="4"/>
    </row>
    <row x14ac:dyDescent="0.25" r="319" customHeight="1" ht="12.75">
      <c r="A319" s="4"/>
      <c r="B319" s="29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29"/>
      <c r="N319" s="29"/>
      <c r="O319" s="29"/>
      <c r="P319" s="32"/>
      <c r="Q319" s="32"/>
      <c r="R319" s="4"/>
      <c r="S319" s="4"/>
      <c r="T319" s="4"/>
      <c r="U319" s="4"/>
      <c r="V319" s="4"/>
      <c r="W319" s="4"/>
      <c r="X319" s="4"/>
      <c r="Y319" s="4"/>
      <c r="Z319" s="4"/>
    </row>
    <row x14ac:dyDescent="0.25" r="320" customHeight="1" ht="12.75">
      <c r="A320" s="4"/>
      <c r="B320" s="29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29"/>
      <c r="N320" s="29"/>
      <c r="O320" s="29"/>
      <c r="P320" s="32"/>
      <c r="Q320" s="32"/>
      <c r="R320" s="4"/>
      <c r="S320" s="4"/>
      <c r="T320" s="4"/>
      <c r="U320" s="4"/>
      <c r="V320" s="4"/>
      <c r="W320" s="4"/>
      <c r="X320" s="4"/>
      <c r="Y320" s="4"/>
      <c r="Z320" s="4"/>
    </row>
    <row x14ac:dyDescent="0.25" r="321" customHeight="1" ht="12.75">
      <c r="A321" s="4"/>
      <c r="B321" s="29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29"/>
      <c r="N321" s="29"/>
      <c r="O321" s="29"/>
      <c r="P321" s="32"/>
      <c r="Q321" s="32"/>
      <c r="R321" s="4"/>
      <c r="S321" s="4"/>
      <c r="T321" s="4"/>
      <c r="U321" s="4"/>
      <c r="V321" s="4"/>
      <c r="W321" s="4"/>
      <c r="X321" s="4"/>
      <c r="Y321" s="4"/>
      <c r="Z321" s="4"/>
    </row>
    <row x14ac:dyDescent="0.25" r="322" customHeight="1" ht="12.75">
      <c r="A322" s="4"/>
      <c r="B322" s="29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29"/>
      <c r="N322" s="29"/>
      <c r="O322" s="29"/>
      <c r="P322" s="32"/>
      <c r="Q322" s="32"/>
      <c r="R322" s="4"/>
      <c r="S322" s="4"/>
      <c r="T322" s="4"/>
      <c r="U322" s="4"/>
      <c r="V322" s="4"/>
      <c r="W322" s="4"/>
      <c r="X322" s="4"/>
      <c r="Y322" s="4"/>
      <c r="Z322" s="4"/>
    </row>
    <row x14ac:dyDescent="0.25" r="323" customHeight="1" ht="12.75">
      <c r="A323" s="4"/>
      <c r="B323" s="29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29"/>
      <c r="N323" s="29"/>
      <c r="O323" s="29"/>
      <c r="P323" s="32"/>
      <c r="Q323" s="32"/>
      <c r="R323" s="4"/>
      <c r="S323" s="4"/>
      <c r="T323" s="4"/>
      <c r="U323" s="4"/>
      <c r="V323" s="4"/>
      <c r="W323" s="4"/>
      <c r="X323" s="4"/>
      <c r="Y323" s="4"/>
      <c r="Z323" s="4"/>
    </row>
    <row x14ac:dyDescent="0.25" r="324" customHeight="1" ht="12.75">
      <c r="A324" s="4"/>
      <c r="B324" s="29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29"/>
      <c r="N324" s="29"/>
      <c r="O324" s="29"/>
      <c r="P324" s="32"/>
      <c r="Q324" s="32"/>
      <c r="R324" s="4"/>
      <c r="S324" s="4"/>
      <c r="T324" s="4"/>
      <c r="U324" s="4"/>
      <c r="V324" s="4"/>
      <c r="W324" s="4"/>
      <c r="X324" s="4"/>
      <c r="Y324" s="4"/>
      <c r="Z324" s="4"/>
    </row>
    <row x14ac:dyDescent="0.25" r="325" customHeight="1" ht="12.75">
      <c r="A325" s="4"/>
      <c r="B325" s="29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29"/>
      <c r="N325" s="29"/>
      <c r="O325" s="29"/>
      <c r="P325" s="32"/>
      <c r="Q325" s="32"/>
      <c r="R325" s="4"/>
      <c r="S325" s="4"/>
      <c r="T325" s="4"/>
      <c r="U325" s="4"/>
      <c r="V325" s="4"/>
      <c r="W325" s="4"/>
      <c r="X325" s="4"/>
      <c r="Y325" s="4"/>
      <c r="Z325" s="4"/>
    </row>
    <row x14ac:dyDescent="0.25" r="326" customHeight="1" ht="12.75">
      <c r="A326" s="4"/>
      <c r="B326" s="29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29"/>
      <c r="N326" s="29"/>
      <c r="O326" s="29"/>
      <c r="P326" s="32"/>
      <c r="Q326" s="32"/>
      <c r="R326" s="4"/>
      <c r="S326" s="4"/>
      <c r="T326" s="4"/>
      <c r="U326" s="4"/>
      <c r="V326" s="4"/>
      <c r="W326" s="4"/>
      <c r="X326" s="4"/>
      <c r="Y326" s="4"/>
      <c r="Z326" s="4"/>
    </row>
    <row x14ac:dyDescent="0.25" r="327" customHeight="1" ht="12.75">
      <c r="A327" s="4"/>
      <c r="B327" s="29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29"/>
      <c r="N327" s="29"/>
      <c r="O327" s="29"/>
      <c r="P327" s="32"/>
      <c r="Q327" s="32"/>
      <c r="R327" s="4"/>
      <c r="S327" s="4"/>
      <c r="T327" s="4"/>
      <c r="U327" s="4"/>
      <c r="V327" s="4"/>
      <c r="W327" s="4"/>
      <c r="X327" s="4"/>
      <c r="Y327" s="4"/>
      <c r="Z327" s="4"/>
    </row>
    <row x14ac:dyDescent="0.25" r="328" customHeight="1" ht="12.75">
      <c r="A328" s="4"/>
      <c r="B328" s="29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29"/>
      <c r="N328" s="29"/>
      <c r="O328" s="29"/>
      <c r="P328" s="32"/>
      <c r="Q328" s="32"/>
      <c r="R328" s="4"/>
      <c r="S328" s="4"/>
      <c r="T328" s="4"/>
      <c r="U328" s="4"/>
      <c r="V328" s="4"/>
      <c r="W328" s="4"/>
      <c r="X328" s="4"/>
      <c r="Y328" s="4"/>
      <c r="Z328" s="4"/>
    </row>
    <row x14ac:dyDescent="0.25" r="329" customHeight="1" ht="12.75">
      <c r="A329" s="4"/>
      <c r="B329" s="29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29"/>
      <c r="N329" s="29"/>
      <c r="O329" s="29"/>
      <c r="P329" s="32"/>
      <c r="Q329" s="32"/>
      <c r="R329" s="4"/>
      <c r="S329" s="4"/>
      <c r="T329" s="4"/>
      <c r="U329" s="4"/>
      <c r="V329" s="4"/>
      <c r="W329" s="4"/>
      <c r="X329" s="4"/>
      <c r="Y329" s="4"/>
      <c r="Z329" s="4"/>
    </row>
    <row x14ac:dyDescent="0.25" r="330" customHeight="1" ht="12.75">
      <c r="A330" s="4"/>
      <c r="B330" s="29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29"/>
      <c r="N330" s="29"/>
      <c r="O330" s="29"/>
      <c r="P330" s="32"/>
      <c r="Q330" s="32"/>
      <c r="R330" s="4"/>
      <c r="S330" s="4"/>
      <c r="T330" s="4"/>
      <c r="U330" s="4"/>
      <c r="V330" s="4"/>
      <c r="W330" s="4"/>
      <c r="X330" s="4"/>
      <c r="Y330" s="4"/>
      <c r="Z330" s="4"/>
    </row>
    <row x14ac:dyDescent="0.25" r="331" customHeight="1" ht="12.75">
      <c r="A331" s="4"/>
      <c r="B331" s="29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29"/>
      <c r="N331" s="29"/>
      <c r="O331" s="29"/>
      <c r="P331" s="32"/>
      <c r="Q331" s="32"/>
      <c r="R331" s="4"/>
      <c r="S331" s="4"/>
      <c r="T331" s="4"/>
      <c r="U331" s="4"/>
      <c r="V331" s="4"/>
      <c r="W331" s="4"/>
      <c r="X331" s="4"/>
      <c r="Y331" s="4"/>
      <c r="Z331" s="4"/>
    </row>
    <row x14ac:dyDescent="0.25" r="332" customHeight="1" ht="12.75">
      <c r="A332" s="4"/>
      <c r="B332" s="29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29"/>
      <c r="N332" s="29"/>
      <c r="O332" s="29"/>
      <c r="P332" s="32"/>
      <c r="Q332" s="32"/>
      <c r="R332" s="4"/>
      <c r="S332" s="4"/>
      <c r="T332" s="4"/>
      <c r="U332" s="4"/>
      <c r="V332" s="4"/>
      <c r="W332" s="4"/>
      <c r="X332" s="4"/>
      <c r="Y332" s="4"/>
      <c r="Z332" s="4"/>
    </row>
    <row x14ac:dyDescent="0.25" r="333" customHeight="1" ht="12.75">
      <c r="A333" s="4"/>
      <c r="B333" s="29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29"/>
      <c r="N333" s="29"/>
      <c r="O333" s="29"/>
      <c r="P333" s="32"/>
      <c r="Q333" s="32"/>
      <c r="R333" s="4"/>
      <c r="S333" s="4"/>
      <c r="T333" s="4"/>
      <c r="U333" s="4"/>
      <c r="V333" s="4"/>
      <c r="W333" s="4"/>
      <c r="X333" s="4"/>
      <c r="Y333" s="4"/>
      <c r="Z333" s="4"/>
    </row>
    <row x14ac:dyDescent="0.25" r="334" customHeight="1" ht="12.75">
      <c r="A334" s="4"/>
      <c r="B334" s="29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29"/>
      <c r="N334" s="29"/>
      <c r="O334" s="29"/>
      <c r="P334" s="32"/>
      <c r="Q334" s="32"/>
      <c r="R334" s="4"/>
      <c r="S334" s="4"/>
      <c r="T334" s="4"/>
      <c r="U334" s="4"/>
      <c r="V334" s="4"/>
      <c r="W334" s="4"/>
      <c r="X334" s="4"/>
      <c r="Y334" s="4"/>
      <c r="Z334" s="4"/>
    </row>
    <row x14ac:dyDescent="0.25" r="335" customHeight="1" ht="12.75">
      <c r="A335" s="4"/>
      <c r="B335" s="29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29"/>
      <c r="N335" s="29"/>
      <c r="O335" s="29"/>
      <c r="P335" s="32"/>
      <c r="Q335" s="32"/>
      <c r="R335" s="4"/>
      <c r="S335" s="4"/>
      <c r="T335" s="4"/>
      <c r="U335" s="4"/>
      <c r="V335" s="4"/>
      <c r="W335" s="4"/>
      <c r="X335" s="4"/>
      <c r="Y335" s="4"/>
      <c r="Z335" s="4"/>
    </row>
    <row x14ac:dyDescent="0.25" r="336" customHeight="1" ht="12.75">
      <c r="A336" s="4"/>
      <c r="B336" s="29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29"/>
      <c r="N336" s="29"/>
      <c r="O336" s="29"/>
      <c r="P336" s="32"/>
      <c r="Q336" s="32"/>
      <c r="R336" s="4"/>
      <c r="S336" s="4"/>
      <c r="T336" s="4"/>
      <c r="U336" s="4"/>
      <c r="V336" s="4"/>
      <c r="W336" s="4"/>
      <c r="X336" s="4"/>
      <c r="Y336" s="4"/>
      <c r="Z336" s="4"/>
    </row>
    <row x14ac:dyDescent="0.25" r="337" customHeight="1" ht="12.75">
      <c r="A337" s="4"/>
      <c r="B337" s="29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29"/>
      <c r="N337" s="29"/>
      <c r="O337" s="29"/>
      <c r="P337" s="32"/>
      <c r="Q337" s="32"/>
      <c r="R337" s="4"/>
      <c r="S337" s="4"/>
      <c r="T337" s="4"/>
      <c r="U337" s="4"/>
      <c r="V337" s="4"/>
      <c r="W337" s="4"/>
      <c r="X337" s="4"/>
      <c r="Y337" s="4"/>
      <c r="Z337" s="4"/>
    </row>
    <row x14ac:dyDescent="0.25" r="338" customHeight="1" ht="12.75">
      <c r="A338" s="4"/>
      <c r="B338" s="29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29"/>
      <c r="N338" s="29"/>
      <c r="O338" s="29"/>
      <c r="P338" s="32"/>
      <c r="Q338" s="32"/>
      <c r="R338" s="4"/>
      <c r="S338" s="4"/>
      <c r="T338" s="4"/>
      <c r="U338" s="4"/>
      <c r="V338" s="4"/>
      <c r="W338" s="4"/>
      <c r="X338" s="4"/>
      <c r="Y338" s="4"/>
      <c r="Z338" s="4"/>
    </row>
    <row x14ac:dyDescent="0.25" r="339" customHeight="1" ht="12.75">
      <c r="A339" s="4"/>
      <c r="B339" s="29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29"/>
      <c r="N339" s="29"/>
      <c r="O339" s="29"/>
      <c r="P339" s="32"/>
      <c r="Q339" s="32"/>
      <c r="R339" s="4"/>
      <c r="S339" s="4"/>
      <c r="T339" s="4"/>
      <c r="U339" s="4"/>
      <c r="V339" s="4"/>
      <c r="W339" s="4"/>
      <c r="X339" s="4"/>
      <c r="Y339" s="4"/>
      <c r="Z339" s="4"/>
    </row>
    <row x14ac:dyDescent="0.25" r="340" customHeight="1" ht="12.75">
      <c r="A340" s="4"/>
      <c r="B340" s="29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29"/>
      <c r="N340" s="29"/>
      <c r="O340" s="29"/>
      <c r="P340" s="32"/>
      <c r="Q340" s="32"/>
      <c r="R340" s="4"/>
      <c r="S340" s="4"/>
      <c r="T340" s="4"/>
      <c r="U340" s="4"/>
      <c r="V340" s="4"/>
      <c r="W340" s="4"/>
      <c r="X340" s="4"/>
      <c r="Y340" s="4"/>
      <c r="Z340" s="4"/>
    </row>
    <row x14ac:dyDescent="0.25" r="341" customHeight="1" ht="12.75">
      <c r="A341" s="4"/>
      <c r="B341" s="29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29"/>
      <c r="N341" s="29"/>
      <c r="O341" s="29"/>
      <c r="P341" s="32"/>
      <c r="Q341" s="32"/>
      <c r="R341" s="4"/>
      <c r="S341" s="4"/>
      <c r="T341" s="4"/>
      <c r="U341" s="4"/>
      <c r="V341" s="4"/>
      <c r="W341" s="4"/>
      <c r="X341" s="4"/>
      <c r="Y341" s="4"/>
      <c r="Z341" s="4"/>
    </row>
    <row x14ac:dyDescent="0.25" r="342" customHeight="1" ht="12.75">
      <c r="A342" s="4"/>
      <c r="B342" s="29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29"/>
      <c r="N342" s="29"/>
      <c r="O342" s="29"/>
      <c r="P342" s="32"/>
      <c r="Q342" s="32"/>
      <c r="R342" s="4"/>
      <c r="S342" s="4"/>
      <c r="T342" s="4"/>
      <c r="U342" s="4"/>
      <c r="V342" s="4"/>
      <c r="W342" s="4"/>
      <c r="X342" s="4"/>
      <c r="Y342" s="4"/>
      <c r="Z342" s="4"/>
    </row>
    <row x14ac:dyDescent="0.25" r="343" customHeight="1" ht="12.75">
      <c r="A343" s="4"/>
      <c r="B343" s="29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29"/>
      <c r="N343" s="29"/>
      <c r="O343" s="29"/>
      <c r="P343" s="32"/>
      <c r="Q343" s="32"/>
      <c r="R343" s="4"/>
      <c r="S343" s="4"/>
      <c r="T343" s="4"/>
      <c r="U343" s="4"/>
      <c r="V343" s="4"/>
      <c r="W343" s="4"/>
      <c r="X343" s="4"/>
      <c r="Y343" s="4"/>
      <c r="Z343" s="4"/>
    </row>
    <row x14ac:dyDescent="0.25" r="344" customHeight="1" ht="12.75">
      <c r="A344" s="4"/>
      <c r="B344" s="29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29"/>
      <c r="N344" s="29"/>
      <c r="O344" s="29"/>
      <c r="P344" s="32"/>
      <c r="Q344" s="32"/>
      <c r="R344" s="4"/>
      <c r="S344" s="4"/>
      <c r="T344" s="4"/>
      <c r="U344" s="4"/>
      <c r="V344" s="4"/>
      <c r="W344" s="4"/>
      <c r="X344" s="4"/>
      <c r="Y344" s="4"/>
      <c r="Z344" s="4"/>
    </row>
    <row x14ac:dyDescent="0.25" r="345" customHeight="1" ht="12.75">
      <c r="A345" s="4"/>
      <c r="B345" s="29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29"/>
      <c r="N345" s="29"/>
      <c r="O345" s="29"/>
      <c r="P345" s="32"/>
      <c r="Q345" s="32"/>
      <c r="R345" s="4"/>
      <c r="S345" s="4"/>
      <c r="T345" s="4"/>
      <c r="U345" s="4"/>
      <c r="V345" s="4"/>
      <c r="W345" s="4"/>
      <c r="X345" s="4"/>
      <c r="Y345" s="4"/>
      <c r="Z345" s="4"/>
    </row>
    <row x14ac:dyDescent="0.25" r="346" customHeight="1" ht="12.75">
      <c r="A346" s="4"/>
      <c r="B346" s="29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29"/>
      <c r="N346" s="29"/>
      <c r="O346" s="29"/>
      <c r="P346" s="32"/>
      <c r="Q346" s="32"/>
      <c r="R346" s="4"/>
      <c r="S346" s="4"/>
      <c r="T346" s="4"/>
      <c r="U346" s="4"/>
      <c r="V346" s="4"/>
      <c r="W346" s="4"/>
      <c r="X346" s="4"/>
      <c r="Y346" s="4"/>
      <c r="Z346" s="4"/>
    </row>
    <row x14ac:dyDescent="0.25" r="347" customHeight="1" ht="12.75">
      <c r="A347" s="4"/>
      <c r="B347" s="29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29"/>
      <c r="N347" s="29"/>
      <c r="O347" s="29"/>
      <c r="P347" s="32"/>
      <c r="Q347" s="32"/>
      <c r="R347" s="4"/>
      <c r="S347" s="4"/>
      <c r="T347" s="4"/>
      <c r="U347" s="4"/>
      <c r="V347" s="4"/>
      <c r="W347" s="4"/>
      <c r="X347" s="4"/>
      <c r="Y347" s="4"/>
      <c r="Z347" s="4"/>
    </row>
    <row x14ac:dyDescent="0.25" r="348" customHeight="1" ht="12.75">
      <c r="A348" s="4"/>
      <c r="B348" s="29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29"/>
      <c r="N348" s="29"/>
      <c r="O348" s="29"/>
      <c r="P348" s="32"/>
      <c r="Q348" s="32"/>
      <c r="R348" s="4"/>
      <c r="S348" s="4"/>
      <c r="T348" s="4"/>
      <c r="U348" s="4"/>
      <c r="V348" s="4"/>
      <c r="W348" s="4"/>
      <c r="X348" s="4"/>
      <c r="Y348" s="4"/>
      <c r="Z348" s="4"/>
    </row>
    <row x14ac:dyDescent="0.25" r="349" customHeight="1" ht="12.75">
      <c r="A349" s="4"/>
      <c r="B349" s="29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29"/>
      <c r="N349" s="29"/>
      <c r="O349" s="29"/>
      <c r="P349" s="32"/>
      <c r="Q349" s="32"/>
      <c r="R349" s="4"/>
      <c r="S349" s="4"/>
      <c r="T349" s="4"/>
      <c r="U349" s="4"/>
      <c r="V349" s="4"/>
      <c r="W349" s="4"/>
      <c r="X349" s="4"/>
      <c r="Y349" s="4"/>
      <c r="Z349" s="4"/>
    </row>
    <row x14ac:dyDescent="0.25" r="350" customHeight="1" ht="12.75">
      <c r="A350" s="4"/>
      <c r="B350" s="29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29"/>
      <c r="N350" s="29"/>
      <c r="O350" s="29"/>
      <c r="P350" s="32"/>
      <c r="Q350" s="32"/>
      <c r="R350" s="4"/>
      <c r="S350" s="4"/>
      <c r="T350" s="4"/>
      <c r="U350" s="4"/>
      <c r="V350" s="4"/>
      <c r="W350" s="4"/>
      <c r="X350" s="4"/>
      <c r="Y350" s="4"/>
      <c r="Z350" s="4"/>
    </row>
    <row x14ac:dyDescent="0.25" r="351" customHeight="1" ht="12.75">
      <c r="A351" s="4"/>
      <c r="B351" s="29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29"/>
      <c r="N351" s="29"/>
      <c r="O351" s="29"/>
      <c r="P351" s="32"/>
      <c r="Q351" s="32"/>
      <c r="R351" s="4"/>
      <c r="S351" s="4"/>
      <c r="T351" s="4"/>
      <c r="U351" s="4"/>
      <c r="V351" s="4"/>
      <c r="W351" s="4"/>
      <c r="X351" s="4"/>
      <c r="Y351" s="4"/>
      <c r="Z351" s="4"/>
    </row>
    <row x14ac:dyDescent="0.25" r="352" customHeight="1" ht="12.75">
      <c r="A352" s="4"/>
      <c r="B352" s="29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29"/>
      <c r="N352" s="29"/>
      <c r="O352" s="29"/>
      <c r="P352" s="32"/>
      <c r="Q352" s="32"/>
      <c r="R352" s="4"/>
      <c r="S352" s="4"/>
      <c r="T352" s="4"/>
      <c r="U352" s="4"/>
      <c r="V352" s="4"/>
      <c r="W352" s="4"/>
      <c r="X352" s="4"/>
      <c r="Y352" s="4"/>
      <c r="Z352" s="4"/>
    </row>
    <row x14ac:dyDescent="0.25" r="353" customHeight="1" ht="12.75">
      <c r="A353" s="4"/>
      <c r="B353" s="29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29"/>
      <c r="N353" s="29"/>
      <c r="O353" s="29"/>
      <c r="P353" s="32"/>
      <c r="Q353" s="32"/>
      <c r="R353" s="4"/>
      <c r="S353" s="4"/>
      <c r="T353" s="4"/>
      <c r="U353" s="4"/>
      <c r="V353" s="4"/>
      <c r="W353" s="4"/>
      <c r="X353" s="4"/>
      <c r="Y353" s="4"/>
      <c r="Z353" s="4"/>
    </row>
    <row x14ac:dyDescent="0.25" r="354" customHeight="1" ht="12.75">
      <c r="A354" s="4"/>
      <c r="B354" s="29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29"/>
      <c r="N354" s="29"/>
      <c r="O354" s="29"/>
      <c r="P354" s="32"/>
      <c r="Q354" s="32"/>
      <c r="R354" s="4"/>
      <c r="S354" s="4"/>
      <c r="T354" s="4"/>
      <c r="U354" s="4"/>
      <c r="V354" s="4"/>
      <c r="W354" s="4"/>
      <c r="X354" s="4"/>
      <c r="Y354" s="4"/>
      <c r="Z354" s="4"/>
    </row>
    <row x14ac:dyDescent="0.25" r="355" customHeight="1" ht="12.75">
      <c r="A355" s="4"/>
      <c r="B355" s="29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29"/>
      <c r="N355" s="29"/>
      <c r="O355" s="29"/>
      <c r="P355" s="32"/>
      <c r="Q355" s="32"/>
      <c r="R355" s="4"/>
      <c r="S355" s="4"/>
      <c r="T355" s="4"/>
      <c r="U355" s="4"/>
      <c r="V355" s="4"/>
      <c r="W355" s="4"/>
      <c r="X355" s="4"/>
      <c r="Y355" s="4"/>
      <c r="Z355" s="4"/>
    </row>
    <row x14ac:dyDescent="0.25" r="356" customHeight="1" ht="12.75">
      <c r="A356" s="4"/>
      <c r="B356" s="29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29"/>
      <c r="N356" s="29"/>
      <c r="O356" s="29"/>
      <c r="P356" s="32"/>
      <c r="Q356" s="32"/>
      <c r="R356" s="4"/>
      <c r="S356" s="4"/>
      <c r="T356" s="4"/>
      <c r="U356" s="4"/>
      <c r="V356" s="4"/>
      <c r="W356" s="4"/>
      <c r="X356" s="4"/>
      <c r="Y356" s="4"/>
      <c r="Z356" s="4"/>
    </row>
    <row x14ac:dyDescent="0.25" r="357" customHeight="1" ht="12.75">
      <c r="A357" s="4"/>
      <c r="B357" s="29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29"/>
      <c r="N357" s="29"/>
      <c r="O357" s="29"/>
      <c r="P357" s="32"/>
      <c r="Q357" s="32"/>
      <c r="R357" s="4"/>
      <c r="S357" s="4"/>
      <c r="T357" s="4"/>
      <c r="U357" s="4"/>
      <c r="V357" s="4"/>
      <c r="W357" s="4"/>
      <c r="X357" s="4"/>
      <c r="Y357" s="4"/>
      <c r="Z357" s="4"/>
    </row>
    <row x14ac:dyDescent="0.25" r="358" customHeight="1" ht="12.75">
      <c r="A358" s="4"/>
      <c r="B358" s="29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29"/>
      <c r="N358" s="29"/>
      <c r="O358" s="29"/>
      <c r="P358" s="32"/>
      <c r="Q358" s="32"/>
      <c r="R358" s="4"/>
      <c r="S358" s="4"/>
      <c r="T358" s="4"/>
      <c r="U358" s="4"/>
      <c r="V358" s="4"/>
      <c r="W358" s="4"/>
      <c r="X358" s="4"/>
      <c r="Y358" s="4"/>
      <c r="Z358" s="4"/>
    </row>
    <row x14ac:dyDescent="0.25" r="359" customHeight="1" ht="12.75">
      <c r="A359" s="4"/>
      <c r="B359" s="29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29"/>
      <c r="N359" s="29"/>
      <c r="O359" s="29"/>
      <c r="P359" s="32"/>
      <c r="Q359" s="32"/>
      <c r="R359" s="4"/>
      <c r="S359" s="4"/>
      <c r="T359" s="4"/>
      <c r="U359" s="4"/>
      <c r="V359" s="4"/>
      <c r="W359" s="4"/>
      <c r="X359" s="4"/>
      <c r="Y359" s="4"/>
      <c r="Z359" s="4"/>
    </row>
    <row x14ac:dyDescent="0.25" r="360" customHeight="1" ht="12.75">
      <c r="A360" s="4"/>
      <c r="B360" s="29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29"/>
      <c r="N360" s="29"/>
      <c r="O360" s="29"/>
      <c r="P360" s="32"/>
      <c r="Q360" s="32"/>
      <c r="R360" s="4"/>
      <c r="S360" s="4"/>
      <c r="T360" s="4"/>
      <c r="U360" s="4"/>
      <c r="V360" s="4"/>
      <c r="W360" s="4"/>
      <c r="X360" s="4"/>
      <c r="Y360" s="4"/>
      <c r="Z360" s="4"/>
    </row>
    <row x14ac:dyDescent="0.25" r="361" customHeight="1" ht="12.75">
      <c r="A361" s="4"/>
      <c r="B361" s="29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29"/>
      <c r="N361" s="29"/>
      <c r="O361" s="29"/>
      <c r="P361" s="32"/>
      <c r="Q361" s="32"/>
      <c r="R361" s="4"/>
      <c r="S361" s="4"/>
      <c r="T361" s="4"/>
      <c r="U361" s="4"/>
      <c r="V361" s="4"/>
      <c r="W361" s="4"/>
      <c r="X361" s="4"/>
      <c r="Y361" s="4"/>
      <c r="Z361" s="4"/>
    </row>
    <row x14ac:dyDescent="0.25" r="362" customHeight="1" ht="12.75">
      <c r="A362" s="4"/>
      <c r="B362" s="29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29"/>
      <c r="N362" s="29"/>
      <c r="O362" s="29"/>
      <c r="P362" s="32"/>
      <c r="Q362" s="32"/>
      <c r="R362" s="4"/>
      <c r="S362" s="4"/>
      <c r="T362" s="4"/>
      <c r="U362" s="4"/>
      <c r="V362" s="4"/>
      <c r="W362" s="4"/>
      <c r="X362" s="4"/>
      <c r="Y362" s="4"/>
      <c r="Z362" s="4"/>
    </row>
    <row x14ac:dyDescent="0.25" r="363" customHeight="1" ht="12.75">
      <c r="A363" s="4"/>
      <c r="B363" s="29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29"/>
      <c r="N363" s="29"/>
      <c r="O363" s="29"/>
      <c r="P363" s="32"/>
      <c r="Q363" s="32"/>
      <c r="R363" s="4"/>
      <c r="S363" s="4"/>
      <c r="T363" s="4"/>
      <c r="U363" s="4"/>
      <c r="V363" s="4"/>
      <c r="W363" s="4"/>
      <c r="X363" s="4"/>
      <c r="Y363" s="4"/>
      <c r="Z363" s="4"/>
    </row>
    <row x14ac:dyDescent="0.25" r="364" customHeight="1" ht="12.75">
      <c r="A364" s="4"/>
      <c r="B364" s="29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29"/>
      <c r="N364" s="29"/>
      <c r="O364" s="29"/>
      <c r="P364" s="32"/>
      <c r="Q364" s="32"/>
      <c r="R364" s="4"/>
      <c r="S364" s="4"/>
      <c r="T364" s="4"/>
      <c r="U364" s="4"/>
      <c r="V364" s="4"/>
      <c r="W364" s="4"/>
      <c r="X364" s="4"/>
      <c r="Y364" s="4"/>
      <c r="Z364" s="4"/>
    </row>
    <row x14ac:dyDescent="0.25" r="365" customHeight="1" ht="12.75">
      <c r="A365" s="4"/>
      <c r="B365" s="29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29"/>
      <c r="N365" s="29"/>
      <c r="O365" s="29"/>
      <c r="P365" s="32"/>
      <c r="Q365" s="32"/>
      <c r="R365" s="4"/>
      <c r="S365" s="4"/>
      <c r="T365" s="4"/>
      <c r="U365" s="4"/>
      <c r="V365" s="4"/>
      <c r="W365" s="4"/>
      <c r="X365" s="4"/>
      <c r="Y365" s="4"/>
      <c r="Z365" s="4"/>
    </row>
    <row x14ac:dyDescent="0.25" r="366" customHeight="1" ht="12.75">
      <c r="A366" s="4"/>
      <c r="B366" s="29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29"/>
      <c r="N366" s="29"/>
      <c r="O366" s="29"/>
      <c r="P366" s="32"/>
      <c r="Q366" s="32"/>
      <c r="R366" s="4"/>
      <c r="S366" s="4"/>
      <c r="T366" s="4"/>
      <c r="U366" s="4"/>
      <c r="V366" s="4"/>
      <c r="W366" s="4"/>
      <c r="X366" s="4"/>
      <c r="Y366" s="4"/>
      <c r="Z366" s="4"/>
    </row>
    <row x14ac:dyDescent="0.25" r="367" customHeight="1" ht="12.75">
      <c r="A367" s="4"/>
      <c r="B367" s="29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29"/>
      <c r="N367" s="29"/>
      <c r="O367" s="29"/>
      <c r="P367" s="32"/>
      <c r="Q367" s="32"/>
      <c r="R367" s="4"/>
      <c r="S367" s="4"/>
      <c r="T367" s="4"/>
      <c r="U367" s="4"/>
      <c r="V367" s="4"/>
      <c r="W367" s="4"/>
      <c r="X367" s="4"/>
      <c r="Y367" s="4"/>
      <c r="Z367" s="4"/>
    </row>
    <row x14ac:dyDescent="0.25" r="368" customHeight="1" ht="12.75">
      <c r="A368" s="4"/>
      <c r="B368" s="29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29"/>
      <c r="N368" s="29"/>
      <c r="O368" s="29"/>
      <c r="P368" s="32"/>
      <c r="Q368" s="32"/>
      <c r="R368" s="4"/>
      <c r="S368" s="4"/>
      <c r="T368" s="4"/>
      <c r="U368" s="4"/>
      <c r="V368" s="4"/>
      <c r="W368" s="4"/>
      <c r="X368" s="4"/>
      <c r="Y368" s="4"/>
      <c r="Z368" s="4"/>
    </row>
    <row x14ac:dyDescent="0.25" r="369" customHeight="1" ht="12.75">
      <c r="A369" s="4"/>
      <c r="B369" s="29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29"/>
      <c r="N369" s="29"/>
      <c r="O369" s="29"/>
      <c r="P369" s="32"/>
      <c r="Q369" s="32"/>
      <c r="R369" s="4"/>
      <c r="S369" s="4"/>
      <c r="T369" s="4"/>
      <c r="U369" s="4"/>
      <c r="V369" s="4"/>
      <c r="W369" s="4"/>
      <c r="X369" s="4"/>
      <c r="Y369" s="4"/>
      <c r="Z369" s="4"/>
    </row>
    <row x14ac:dyDescent="0.25" r="370" customHeight="1" ht="12.75">
      <c r="A370" s="4"/>
      <c r="B370" s="29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29"/>
      <c r="N370" s="29"/>
      <c r="O370" s="29"/>
      <c r="P370" s="32"/>
      <c r="Q370" s="32"/>
      <c r="R370" s="4"/>
      <c r="S370" s="4"/>
      <c r="T370" s="4"/>
      <c r="U370" s="4"/>
      <c r="V370" s="4"/>
      <c r="W370" s="4"/>
      <c r="X370" s="4"/>
      <c r="Y370" s="4"/>
      <c r="Z370" s="4"/>
    </row>
    <row x14ac:dyDescent="0.25" r="371" customHeight="1" ht="12.75">
      <c r="A371" s="4"/>
      <c r="B371" s="29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29"/>
      <c r="N371" s="29"/>
      <c r="O371" s="29"/>
      <c r="P371" s="32"/>
      <c r="Q371" s="32"/>
      <c r="R371" s="4"/>
      <c r="S371" s="4"/>
      <c r="T371" s="4"/>
      <c r="U371" s="4"/>
      <c r="V371" s="4"/>
      <c r="W371" s="4"/>
      <c r="X371" s="4"/>
      <c r="Y371" s="4"/>
      <c r="Z371" s="4"/>
    </row>
    <row x14ac:dyDescent="0.25" r="372" customHeight="1" ht="12.75">
      <c r="A372" s="4"/>
      <c r="B372" s="29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29"/>
      <c r="N372" s="29"/>
      <c r="O372" s="29"/>
      <c r="P372" s="32"/>
      <c r="Q372" s="32"/>
      <c r="R372" s="4"/>
      <c r="S372" s="4"/>
      <c r="T372" s="4"/>
      <c r="U372" s="4"/>
      <c r="V372" s="4"/>
      <c r="W372" s="4"/>
      <c r="X372" s="4"/>
      <c r="Y372" s="4"/>
      <c r="Z372" s="4"/>
    </row>
    <row x14ac:dyDescent="0.25" r="373" customHeight="1" ht="12.75">
      <c r="A373" s="4"/>
      <c r="B373" s="29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29"/>
      <c r="N373" s="29"/>
      <c r="O373" s="29"/>
      <c r="P373" s="32"/>
      <c r="Q373" s="32"/>
      <c r="R373" s="4"/>
      <c r="S373" s="4"/>
      <c r="T373" s="4"/>
      <c r="U373" s="4"/>
      <c r="V373" s="4"/>
      <c r="W373" s="4"/>
      <c r="X373" s="4"/>
      <c r="Y373" s="4"/>
      <c r="Z373" s="4"/>
    </row>
    <row x14ac:dyDescent="0.25" r="374" customHeight="1" ht="12.75">
      <c r="A374" s="4"/>
      <c r="B374" s="29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29"/>
      <c r="N374" s="29"/>
      <c r="O374" s="29"/>
      <c r="P374" s="32"/>
      <c r="Q374" s="32"/>
      <c r="R374" s="4"/>
      <c r="S374" s="4"/>
      <c r="T374" s="4"/>
      <c r="U374" s="4"/>
      <c r="V374" s="4"/>
      <c r="W374" s="4"/>
      <c r="X374" s="4"/>
      <c r="Y374" s="4"/>
      <c r="Z374" s="4"/>
    </row>
    <row x14ac:dyDescent="0.25" r="375" customHeight="1" ht="12.75">
      <c r="A375" s="4"/>
      <c r="B375" s="29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29"/>
      <c r="N375" s="29"/>
      <c r="O375" s="29"/>
      <c r="P375" s="32"/>
      <c r="Q375" s="32"/>
      <c r="R375" s="4"/>
      <c r="S375" s="4"/>
      <c r="T375" s="4"/>
      <c r="U375" s="4"/>
      <c r="V375" s="4"/>
      <c r="W375" s="4"/>
      <c r="X375" s="4"/>
      <c r="Y375" s="4"/>
      <c r="Z375" s="4"/>
    </row>
    <row x14ac:dyDescent="0.25" r="376" customHeight="1" ht="12.75">
      <c r="A376" s="4"/>
      <c r="B376" s="29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29"/>
      <c r="N376" s="29"/>
      <c r="O376" s="29"/>
      <c r="P376" s="32"/>
      <c r="Q376" s="32"/>
      <c r="R376" s="4"/>
      <c r="S376" s="4"/>
      <c r="T376" s="4"/>
      <c r="U376" s="4"/>
      <c r="V376" s="4"/>
      <c r="W376" s="4"/>
      <c r="X376" s="4"/>
      <c r="Y376" s="4"/>
      <c r="Z376" s="4"/>
    </row>
    <row x14ac:dyDescent="0.25" r="377" customHeight="1" ht="12.75">
      <c r="A377" s="4"/>
      <c r="B377" s="29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29"/>
      <c r="N377" s="29"/>
      <c r="O377" s="29"/>
      <c r="P377" s="32"/>
      <c r="Q377" s="32"/>
      <c r="R377" s="4"/>
      <c r="S377" s="4"/>
      <c r="T377" s="4"/>
      <c r="U377" s="4"/>
      <c r="V377" s="4"/>
      <c r="W377" s="4"/>
      <c r="X377" s="4"/>
      <c r="Y377" s="4"/>
      <c r="Z377" s="4"/>
    </row>
    <row x14ac:dyDescent="0.25" r="378" customHeight="1" ht="12.75">
      <c r="A378" s="4"/>
      <c r="B378" s="29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29"/>
      <c r="N378" s="29"/>
      <c r="O378" s="29"/>
      <c r="P378" s="32"/>
      <c r="Q378" s="32"/>
      <c r="R378" s="4"/>
      <c r="S378" s="4"/>
      <c r="T378" s="4"/>
      <c r="U378" s="4"/>
      <c r="V378" s="4"/>
      <c r="W378" s="4"/>
      <c r="X378" s="4"/>
      <c r="Y378" s="4"/>
      <c r="Z378" s="4"/>
    </row>
    <row x14ac:dyDescent="0.25" r="379" customHeight="1" ht="12.75">
      <c r="A379" s="4"/>
      <c r="B379" s="29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29"/>
      <c r="N379" s="29"/>
      <c r="O379" s="29"/>
      <c r="P379" s="32"/>
      <c r="Q379" s="32"/>
      <c r="R379" s="4"/>
      <c r="S379" s="4"/>
      <c r="T379" s="4"/>
      <c r="U379" s="4"/>
      <c r="V379" s="4"/>
      <c r="W379" s="4"/>
      <c r="X379" s="4"/>
      <c r="Y379" s="4"/>
      <c r="Z379" s="4"/>
    </row>
    <row x14ac:dyDescent="0.25" r="380" customHeight="1" ht="12.75">
      <c r="A380" s="4"/>
      <c r="B380" s="29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29"/>
      <c r="N380" s="29"/>
      <c r="O380" s="29"/>
      <c r="P380" s="32"/>
      <c r="Q380" s="32"/>
      <c r="R380" s="4"/>
      <c r="S380" s="4"/>
      <c r="T380" s="4"/>
      <c r="U380" s="4"/>
      <c r="V380" s="4"/>
      <c r="W380" s="4"/>
      <c r="X380" s="4"/>
      <c r="Y380" s="4"/>
      <c r="Z380" s="4"/>
    </row>
    <row x14ac:dyDescent="0.25" r="381" customHeight="1" ht="12.75">
      <c r="A381" s="4"/>
      <c r="B381" s="29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29"/>
      <c r="N381" s="29"/>
      <c r="O381" s="29"/>
      <c r="P381" s="32"/>
      <c r="Q381" s="32"/>
      <c r="R381" s="4"/>
      <c r="S381" s="4"/>
      <c r="T381" s="4"/>
      <c r="U381" s="4"/>
      <c r="V381" s="4"/>
      <c r="W381" s="4"/>
      <c r="X381" s="4"/>
      <c r="Y381" s="4"/>
      <c r="Z381" s="4"/>
    </row>
    <row x14ac:dyDescent="0.25" r="382" customHeight="1" ht="12.75">
      <c r="A382" s="4"/>
      <c r="B382" s="29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29"/>
      <c r="N382" s="29"/>
      <c r="O382" s="29"/>
      <c r="P382" s="32"/>
      <c r="Q382" s="32"/>
      <c r="R382" s="4"/>
      <c r="S382" s="4"/>
      <c r="T382" s="4"/>
      <c r="U382" s="4"/>
      <c r="V382" s="4"/>
      <c r="W382" s="4"/>
      <c r="X382" s="4"/>
      <c r="Y382" s="4"/>
      <c r="Z382" s="4"/>
    </row>
    <row x14ac:dyDescent="0.25" r="383" customHeight="1" ht="12.75">
      <c r="A383" s="4"/>
      <c r="B383" s="29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29"/>
      <c r="N383" s="29"/>
      <c r="O383" s="29"/>
      <c r="P383" s="32"/>
      <c r="Q383" s="32"/>
      <c r="R383" s="4"/>
      <c r="S383" s="4"/>
      <c r="T383" s="4"/>
      <c r="U383" s="4"/>
      <c r="V383" s="4"/>
      <c r="W383" s="4"/>
      <c r="X383" s="4"/>
      <c r="Y383" s="4"/>
      <c r="Z383" s="4"/>
    </row>
    <row x14ac:dyDescent="0.25" r="384" customHeight="1" ht="12.75">
      <c r="A384" s="4"/>
      <c r="B384" s="29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29"/>
      <c r="N384" s="29"/>
      <c r="O384" s="29"/>
      <c r="P384" s="32"/>
      <c r="Q384" s="32"/>
      <c r="R384" s="4"/>
      <c r="S384" s="4"/>
      <c r="T384" s="4"/>
      <c r="U384" s="4"/>
      <c r="V384" s="4"/>
      <c r="W384" s="4"/>
      <c r="X384" s="4"/>
      <c r="Y384" s="4"/>
      <c r="Z384" s="4"/>
    </row>
    <row x14ac:dyDescent="0.25" r="385" customHeight="1" ht="12.75">
      <c r="A385" s="4"/>
      <c r="B385" s="29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29"/>
      <c r="N385" s="29"/>
      <c r="O385" s="29"/>
      <c r="P385" s="32"/>
      <c r="Q385" s="32"/>
      <c r="R385" s="4"/>
      <c r="S385" s="4"/>
      <c r="T385" s="4"/>
      <c r="U385" s="4"/>
      <c r="V385" s="4"/>
      <c r="W385" s="4"/>
      <c r="X385" s="4"/>
      <c r="Y385" s="4"/>
      <c r="Z385" s="4"/>
    </row>
    <row x14ac:dyDescent="0.25" r="386" customHeight="1" ht="12.75">
      <c r="A386" s="4"/>
      <c r="B386" s="29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29"/>
      <c r="N386" s="29"/>
      <c r="O386" s="29"/>
      <c r="P386" s="32"/>
      <c r="Q386" s="32"/>
      <c r="R386" s="4"/>
      <c r="S386" s="4"/>
      <c r="T386" s="4"/>
      <c r="U386" s="4"/>
      <c r="V386" s="4"/>
      <c r="W386" s="4"/>
      <c r="X386" s="4"/>
      <c r="Y386" s="4"/>
      <c r="Z386" s="4"/>
    </row>
    <row x14ac:dyDescent="0.25" r="387" customHeight="1" ht="12.75">
      <c r="A387" s="4"/>
      <c r="B387" s="29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29"/>
      <c r="N387" s="29"/>
      <c r="O387" s="29"/>
      <c r="P387" s="32"/>
      <c r="Q387" s="32"/>
      <c r="R387" s="4"/>
      <c r="S387" s="4"/>
      <c r="T387" s="4"/>
      <c r="U387" s="4"/>
      <c r="V387" s="4"/>
      <c r="W387" s="4"/>
      <c r="X387" s="4"/>
      <c r="Y387" s="4"/>
      <c r="Z387" s="4"/>
    </row>
    <row x14ac:dyDescent="0.25" r="388" customHeight="1" ht="12.75">
      <c r="A388" s="4"/>
      <c r="B388" s="29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29"/>
      <c r="N388" s="29"/>
      <c r="O388" s="29"/>
      <c r="P388" s="32"/>
      <c r="Q388" s="32"/>
      <c r="R388" s="4"/>
      <c r="S388" s="4"/>
      <c r="T388" s="4"/>
      <c r="U388" s="4"/>
      <c r="V388" s="4"/>
      <c r="W388" s="4"/>
      <c r="X388" s="4"/>
      <c r="Y388" s="4"/>
      <c r="Z388" s="4"/>
    </row>
    <row x14ac:dyDescent="0.25" r="389" customHeight="1" ht="12.75">
      <c r="A389" s="4"/>
      <c r="B389" s="29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29"/>
      <c r="N389" s="29"/>
      <c r="O389" s="29"/>
      <c r="P389" s="32"/>
      <c r="Q389" s="32"/>
      <c r="R389" s="4"/>
      <c r="S389" s="4"/>
      <c r="T389" s="4"/>
      <c r="U389" s="4"/>
      <c r="V389" s="4"/>
      <c r="W389" s="4"/>
      <c r="X389" s="4"/>
      <c r="Y389" s="4"/>
      <c r="Z389" s="4"/>
    </row>
    <row x14ac:dyDescent="0.25" r="390" customHeight="1" ht="12.75">
      <c r="A390" s="4"/>
      <c r="B390" s="29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29"/>
      <c r="N390" s="29"/>
      <c r="O390" s="29"/>
      <c r="P390" s="32"/>
      <c r="Q390" s="32"/>
      <c r="R390" s="4"/>
      <c r="S390" s="4"/>
      <c r="T390" s="4"/>
      <c r="U390" s="4"/>
      <c r="V390" s="4"/>
      <c r="W390" s="4"/>
      <c r="X390" s="4"/>
      <c r="Y390" s="4"/>
      <c r="Z390" s="4"/>
    </row>
    <row x14ac:dyDescent="0.25" r="391" customHeight="1" ht="12.75">
      <c r="A391" s="4"/>
      <c r="B391" s="29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29"/>
      <c r="N391" s="29"/>
      <c r="O391" s="29"/>
      <c r="P391" s="32"/>
      <c r="Q391" s="32"/>
      <c r="R391" s="4"/>
      <c r="S391" s="4"/>
      <c r="T391" s="4"/>
      <c r="U391" s="4"/>
      <c r="V391" s="4"/>
      <c r="W391" s="4"/>
      <c r="X391" s="4"/>
      <c r="Y391" s="4"/>
      <c r="Z391" s="4"/>
    </row>
    <row x14ac:dyDescent="0.25" r="392" customHeight="1" ht="12.75">
      <c r="A392" s="4"/>
      <c r="B392" s="29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29"/>
      <c r="N392" s="29"/>
      <c r="O392" s="29"/>
      <c r="P392" s="32"/>
      <c r="Q392" s="32"/>
      <c r="R392" s="4"/>
      <c r="S392" s="4"/>
      <c r="T392" s="4"/>
      <c r="U392" s="4"/>
      <c r="V392" s="4"/>
      <c r="W392" s="4"/>
      <c r="X392" s="4"/>
      <c r="Y392" s="4"/>
      <c r="Z392" s="4"/>
    </row>
    <row x14ac:dyDescent="0.25" r="393" customHeight="1" ht="12.75">
      <c r="A393" s="4"/>
      <c r="B393" s="29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29"/>
      <c r="N393" s="29"/>
      <c r="O393" s="29"/>
      <c r="P393" s="32"/>
      <c r="Q393" s="32"/>
      <c r="R393" s="4"/>
      <c r="S393" s="4"/>
      <c r="T393" s="4"/>
      <c r="U393" s="4"/>
      <c r="V393" s="4"/>
      <c r="W393" s="4"/>
      <c r="X393" s="4"/>
      <c r="Y393" s="4"/>
      <c r="Z393" s="4"/>
    </row>
    <row x14ac:dyDescent="0.25" r="394" customHeight="1" ht="12.75">
      <c r="A394" s="4"/>
      <c r="B394" s="29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29"/>
      <c r="N394" s="29"/>
      <c r="O394" s="29"/>
      <c r="P394" s="32"/>
      <c r="Q394" s="32"/>
      <c r="R394" s="4"/>
      <c r="S394" s="4"/>
      <c r="T394" s="4"/>
      <c r="U394" s="4"/>
      <c r="V394" s="4"/>
      <c r="W394" s="4"/>
      <c r="X394" s="4"/>
      <c r="Y394" s="4"/>
      <c r="Z394" s="4"/>
    </row>
    <row x14ac:dyDescent="0.25" r="395" customHeight="1" ht="12.75">
      <c r="A395" s="4"/>
      <c r="B395" s="29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29"/>
      <c r="N395" s="29"/>
      <c r="O395" s="29"/>
      <c r="P395" s="32"/>
      <c r="Q395" s="32"/>
      <c r="R395" s="4"/>
      <c r="S395" s="4"/>
      <c r="T395" s="4"/>
      <c r="U395" s="4"/>
      <c r="V395" s="4"/>
      <c r="W395" s="4"/>
      <c r="X395" s="4"/>
      <c r="Y395" s="4"/>
      <c r="Z395" s="4"/>
    </row>
    <row x14ac:dyDescent="0.25" r="396" customHeight="1" ht="12.75">
      <c r="A396" s="4"/>
      <c r="B396" s="29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29"/>
      <c r="N396" s="29"/>
      <c r="O396" s="29"/>
      <c r="P396" s="32"/>
      <c r="Q396" s="32"/>
      <c r="R396" s="4"/>
      <c r="S396" s="4"/>
      <c r="T396" s="4"/>
      <c r="U396" s="4"/>
      <c r="V396" s="4"/>
      <c r="W396" s="4"/>
      <c r="X396" s="4"/>
      <c r="Y396" s="4"/>
      <c r="Z396" s="4"/>
    </row>
    <row x14ac:dyDescent="0.25" r="397" customHeight="1" ht="12.75">
      <c r="A397" s="4"/>
      <c r="B397" s="29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29"/>
      <c r="N397" s="29"/>
      <c r="O397" s="29"/>
      <c r="P397" s="32"/>
      <c r="Q397" s="32"/>
      <c r="R397" s="4"/>
      <c r="S397" s="4"/>
      <c r="T397" s="4"/>
      <c r="U397" s="4"/>
      <c r="V397" s="4"/>
      <c r="W397" s="4"/>
      <c r="X397" s="4"/>
      <c r="Y397" s="4"/>
      <c r="Z397" s="4"/>
    </row>
    <row x14ac:dyDescent="0.25" r="398" customHeight="1" ht="12.75">
      <c r="A398" s="4"/>
      <c r="B398" s="29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29"/>
      <c r="N398" s="29"/>
      <c r="O398" s="29"/>
      <c r="P398" s="32"/>
      <c r="Q398" s="32"/>
      <c r="R398" s="4"/>
      <c r="S398" s="4"/>
      <c r="T398" s="4"/>
      <c r="U398" s="4"/>
      <c r="V398" s="4"/>
      <c r="W398" s="4"/>
      <c r="X398" s="4"/>
      <c r="Y398" s="4"/>
      <c r="Z398" s="4"/>
    </row>
    <row x14ac:dyDescent="0.25" r="399" customHeight="1" ht="12.75">
      <c r="A399" s="4"/>
      <c r="B399" s="29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29"/>
      <c r="N399" s="29"/>
      <c r="O399" s="29"/>
      <c r="P399" s="32"/>
      <c r="Q399" s="32"/>
      <c r="R399" s="4"/>
      <c r="S399" s="4"/>
      <c r="T399" s="4"/>
      <c r="U399" s="4"/>
      <c r="V399" s="4"/>
      <c r="W399" s="4"/>
      <c r="X399" s="4"/>
      <c r="Y399" s="4"/>
      <c r="Z399" s="4"/>
    </row>
    <row x14ac:dyDescent="0.25" r="400" customHeight="1" ht="12.75">
      <c r="A400" s="4"/>
      <c r="B400" s="29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29"/>
      <c r="N400" s="29"/>
      <c r="O400" s="29"/>
      <c r="P400" s="32"/>
      <c r="Q400" s="32"/>
      <c r="R400" s="4"/>
      <c r="S400" s="4"/>
      <c r="T400" s="4"/>
      <c r="U400" s="4"/>
      <c r="V400" s="4"/>
      <c r="W400" s="4"/>
      <c r="X400" s="4"/>
      <c r="Y400" s="4"/>
      <c r="Z400" s="4"/>
    </row>
    <row x14ac:dyDescent="0.25" r="401" customHeight="1" ht="12.75">
      <c r="A401" s="4"/>
      <c r="B401" s="29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29"/>
      <c r="N401" s="29"/>
      <c r="O401" s="29"/>
      <c r="P401" s="32"/>
      <c r="Q401" s="32"/>
      <c r="R401" s="4"/>
      <c r="S401" s="4"/>
      <c r="T401" s="4"/>
      <c r="U401" s="4"/>
      <c r="V401" s="4"/>
      <c r="W401" s="4"/>
      <c r="X401" s="4"/>
      <c r="Y401" s="4"/>
      <c r="Z401" s="4"/>
    </row>
    <row x14ac:dyDescent="0.25" r="402" customHeight="1" ht="12.75">
      <c r="A402" s="4"/>
      <c r="B402" s="29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29"/>
      <c r="N402" s="29"/>
      <c r="O402" s="29"/>
      <c r="P402" s="32"/>
      <c r="Q402" s="32"/>
      <c r="R402" s="4"/>
      <c r="S402" s="4"/>
      <c r="T402" s="4"/>
      <c r="U402" s="4"/>
      <c r="V402" s="4"/>
      <c r="W402" s="4"/>
      <c r="X402" s="4"/>
      <c r="Y402" s="4"/>
      <c r="Z402" s="4"/>
    </row>
    <row x14ac:dyDescent="0.25" r="403" customHeight="1" ht="12.75">
      <c r="A403" s="4"/>
      <c r="B403" s="29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29"/>
      <c r="N403" s="29"/>
      <c r="O403" s="29"/>
      <c r="P403" s="32"/>
      <c r="Q403" s="32"/>
      <c r="R403" s="4"/>
      <c r="S403" s="4"/>
      <c r="T403" s="4"/>
      <c r="U403" s="4"/>
      <c r="V403" s="4"/>
      <c r="W403" s="4"/>
      <c r="X403" s="4"/>
      <c r="Y403" s="4"/>
      <c r="Z403" s="4"/>
    </row>
    <row x14ac:dyDescent="0.25" r="404" customHeight="1" ht="12.75">
      <c r="A404" s="4"/>
      <c r="B404" s="29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29"/>
      <c r="N404" s="29"/>
      <c r="O404" s="29"/>
      <c r="P404" s="32"/>
      <c r="Q404" s="32"/>
      <c r="R404" s="4"/>
      <c r="S404" s="4"/>
      <c r="T404" s="4"/>
      <c r="U404" s="4"/>
      <c r="V404" s="4"/>
      <c r="W404" s="4"/>
      <c r="X404" s="4"/>
      <c r="Y404" s="4"/>
      <c r="Z404" s="4"/>
    </row>
    <row x14ac:dyDescent="0.25" r="405" customHeight="1" ht="12.75">
      <c r="A405" s="4"/>
      <c r="B405" s="29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29"/>
      <c r="N405" s="29"/>
      <c r="O405" s="29"/>
      <c r="P405" s="32"/>
      <c r="Q405" s="32"/>
      <c r="R405" s="4"/>
      <c r="S405" s="4"/>
      <c r="T405" s="4"/>
      <c r="U405" s="4"/>
      <c r="V405" s="4"/>
      <c r="W405" s="4"/>
      <c r="X405" s="4"/>
      <c r="Y405" s="4"/>
      <c r="Z405" s="4"/>
    </row>
    <row x14ac:dyDescent="0.25" r="406" customHeight="1" ht="12.75">
      <c r="A406" s="4"/>
      <c r="B406" s="29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29"/>
      <c r="N406" s="29"/>
      <c r="O406" s="29"/>
      <c r="P406" s="32"/>
      <c r="Q406" s="32"/>
      <c r="R406" s="4"/>
      <c r="S406" s="4"/>
      <c r="T406" s="4"/>
      <c r="U406" s="4"/>
      <c r="V406" s="4"/>
      <c r="W406" s="4"/>
      <c r="X406" s="4"/>
      <c r="Y406" s="4"/>
      <c r="Z406" s="4"/>
    </row>
    <row x14ac:dyDescent="0.25" r="407" customHeight="1" ht="12.75">
      <c r="A407" s="4"/>
      <c r="B407" s="29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29"/>
      <c r="N407" s="29"/>
      <c r="O407" s="29"/>
      <c r="P407" s="32"/>
      <c r="Q407" s="32"/>
      <c r="R407" s="4"/>
      <c r="S407" s="4"/>
      <c r="T407" s="4"/>
      <c r="U407" s="4"/>
      <c r="V407" s="4"/>
      <c r="W407" s="4"/>
      <c r="X407" s="4"/>
      <c r="Y407" s="4"/>
      <c r="Z407" s="4"/>
    </row>
    <row x14ac:dyDescent="0.25" r="408" customHeight="1" ht="12.75">
      <c r="A408" s="4"/>
      <c r="B408" s="29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29"/>
      <c r="N408" s="29"/>
      <c r="O408" s="29"/>
      <c r="P408" s="32"/>
      <c r="Q408" s="32"/>
      <c r="R408" s="4"/>
      <c r="S408" s="4"/>
      <c r="T408" s="4"/>
      <c r="U408" s="4"/>
      <c r="V408" s="4"/>
      <c r="W408" s="4"/>
      <c r="X408" s="4"/>
      <c r="Y408" s="4"/>
      <c r="Z408" s="4"/>
    </row>
    <row x14ac:dyDescent="0.25" r="409" customHeight="1" ht="12.75">
      <c r="A409" s="4"/>
      <c r="B409" s="29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29"/>
      <c r="N409" s="29"/>
      <c r="O409" s="29"/>
      <c r="P409" s="32"/>
      <c r="Q409" s="32"/>
      <c r="R409" s="4"/>
      <c r="S409" s="4"/>
      <c r="T409" s="4"/>
      <c r="U409" s="4"/>
      <c r="V409" s="4"/>
      <c r="W409" s="4"/>
      <c r="X409" s="4"/>
      <c r="Y409" s="4"/>
      <c r="Z409" s="4"/>
    </row>
    <row x14ac:dyDescent="0.25" r="410" customHeight="1" ht="12.75">
      <c r="A410" s="4"/>
      <c r="B410" s="29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29"/>
      <c r="N410" s="29"/>
      <c r="O410" s="29"/>
      <c r="P410" s="32"/>
      <c r="Q410" s="32"/>
      <c r="R410" s="4"/>
      <c r="S410" s="4"/>
      <c r="T410" s="4"/>
      <c r="U410" s="4"/>
      <c r="V410" s="4"/>
      <c r="W410" s="4"/>
      <c r="X410" s="4"/>
      <c r="Y410" s="4"/>
      <c r="Z410" s="4"/>
    </row>
    <row x14ac:dyDescent="0.25" r="411" customHeight="1" ht="12.75">
      <c r="A411" s="4"/>
      <c r="B411" s="29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29"/>
      <c r="N411" s="29"/>
      <c r="O411" s="29"/>
      <c r="P411" s="32"/>
      <c r="Q411" s="32"/>
      <c r="R411" s="4"/>
      <c r="S411" s="4"/>
      <c r="T411" s="4"/>
      <c r="U411" s="4"/>
      <c r="V411" s="4"/>
      <c r="W411" s="4"/>
      <c r="X411" s="4"/>
      <c r="Y411" s="4"/>
      <c r="Z411" s="4"/>
    </row>
    <row x14ac:dyDescent="0.25" r="412" customHeight="1" ht="12.75">
      <c r="A412" s="4"/>
      <c r="B412" s="29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29"/>
      <c r="N412" s="29"/>
      <c r="O412" s="29"/>
      <c r="P412" s="32"/>
      <c r="Q412" s="32"/>
      <c r="R412" s="4"/>
      <c r="S412" s="4"/>
      <c r="T412" s="4"/>
      <c r="U412" s="4"/>
      <c r="V412" s="4"/>
      <c r="W412" s="4"/>
      <c r="X412" s="4"/>
      <c r="Y412" s="4"/>
      <c r="Z412" s="4"/>
    </row>
    <row x14ac:dyDescent="0.25" r="413" customHeight="1" ht="12.75">
      <c r="A413" s="4"/>
      <c r="B413" s="29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29"/>
      <c r="N413" s="29"/>
      <c r="O413" s="29"/>
      <c r="P413" s="32"/>
      <c r="Q413" s="32"/>
      <c r="R413" s="4"/>
      <c r="S413" s="4"/>
      <c r="T413" s="4"/>
      <c r="U413" s="4"/>
      <c r="V413" s="4"/>
      <c r="W413" s="4"/>
      <c r="X413" s="4"/>
      <c r="Y413" s="4"/>
      <c r="Z413" s="4"/>
    </row>
    <row x14ac:dyDescent="0.25" r="414" customHeight="1" ht="12.75">
      <c r="A414" s="4"/>
      <c r="B414" s="29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29"/>
      <c r="N414" s="29"/>
      <c r="O414" s="29"/>
      <c r="P414" s="32"/>
      <c r="Q414" s="32"/>
      <c r="R414" s="4"/>
      <c r="S414" s="4"/>
      <c r="T414" s="4"/>
      <c r="U414" s="4"/>
      <c r="V414" s="4"/>
      <c r="W414" s="4"/>
      <c r="X414" s="4"/>
      <c r="Y414" s="4"/>
      <c r="Z414" s="4"/>
    </row>
    <row x14ac:dyDescent="0.25" r="415" customHeight="1" ht="12.75">
      <c r="A415" s="4"/>
      <c r="B415" s="29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29"/>
      <c r="N415" s="29"/>
      <c r="O415" s="29"/>
      <c r="P415" s="32"/>
      <c r="Q415" s="32"/>
      <c r="R415" s="4"/>
      <c r="S415" s="4"/>
      <c r="T415" s="4"/>
      <c r="U415" s="4"/>
      <c r="V415" s="4"/>
      <c r="W415" s="4"/>
      <c r="X415" s="4"/>
      <c r="Y415" s="4"/>
      <c r="Z415" s="4"/>
    </row>
    <row x14ac:dyDescent="0.25" r="416" customHeight="1" ht="12.75">
      <c r="A416" s="4"/>
      <c r="B416" s="29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29"/>
      <c r="N416" s="29"/>
      <c r="O416" s="29"/>
      <c r="P416" s="32"/>
      <c r="Q416" s="32"/>
      <c r="R416" s="4"/>
      <c r="S416" s="4"/>
      <c r="T416" s="4"/>
      <c r="U416" s="4"/>
      <c r="V416" s="4"/>
      <c r="W416" s="4"/>
      <c r="X416" s="4"/>
      <c r="Y416" s="4"/>
      <c r="Z416" s="4"/>
    </row>
    <row x14ac:dyDescent="0.25" r="417" customHeight="1" ht="12.75">
      <c r="A417" s="4"/>
      <c r="B417" s="29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29"/>
      <c r="N417" s="29"/>
      <c r="O417" s="29"/>
      <c r="P417" s="32"/>
      <c r="Q417" s="32"/>
      <c r="R417" s="4"/>
      <c r="S417" s="4"/>
      <c r="T417" s="4"/>
      <c r="U417" s="4"/>
      <c r="V417" s="4"/>
      <c r="W417" s="4"/>
      <c r="X417" s="4"/>
      <c r="Y417" s="4"/>
      <c r="Z417" s="4"/>
    </row>
    <row x14ac:dyDescent="0.25" r="418" customHeight="1" ht="12.75">
      <c r="A418" s="4"/>
      <c r="B418" s="29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29"/>
      <c r="N418" s="29"/>
      <c r="O418" s="29"/>
      <c r="P418" s="32"/>
      <c r="Q418" s="32"/>
      <c r="R418" s="4"/>
      <c r="S418" s="4"/>
      <c r="T418" s="4"/>
      <c r="U418" s="4"/>
      <c r="V418" s="4"/>
      <c r="W418" s="4"/>
      <c r="X418" s="4"/>
      <c r="Y418" s="4"/>
      <c r="Z418" s="4"/>
    </row>
    <row x14ac:dyDescent="0.25" r="419" customHeight="1" ht="12.75">
      <c r="A419" s="4"/>
      <c r="B419" s="29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29"/>
      <c r="N419" s="29"/>
      <c r="O419" s="29"/>
      <c r="P419" s="32"/>
      <c r="Q419" s="32"/>
      <c r="R419" s="4"/>
      <c r="S419" s="4"/>
      <c r="T419" s="4"/>
      <c r="U419" s="4"/>
      <c r="V419" s="4"/>
      <c r="W419" s="4"/>
      <c r="X419" s="4"/>
      <c r="Y419" s="4"/>
      <c r="Z419" s="4"/>
    </row>
    <row x14ac:dyDescent="0.25" r="420" customHeight="1" ht="12.75">
      <c r="A420" s="4"/>
      <c r="B420" s="29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29"/>
      <c r="N420" s="29"/>
      <c r="O420" s="29"/>
      <c r="P420" s="32"/>
      <c r="Q420" s="32"/>
      <c r="R420" s="4"/>
      <c r="S420" s="4"/>
      <c r="T420" s="4"/>
      <c r="U420" s="4"/>
      <c r="V420" s="4"/>
      <c r="W420" s="4"/>
      <c r="X420" s="4"/>
      <c r="Y420" s="4"/>
      <c r="Z420" s="4"/>
    </row>
    <row x14ac:dyDescent="0.25" r="421" customHeight="1" ht="12.75">
      <c r="A421" s="4"/>
      <c r="B421" s="29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29"/>
      <c r="N421" s="29"/>
      <c r="O421" s="29"/>
      <c r="P421" s="32"/>
      <c r="Q421" s="32"/>
      <c r="R421" s="4"/>
      <c r="S421" s="4"/>
      <c r="T421" s="4"/>
      <c r="U421" s="4"/>
      <c r="V421" s="4"/>
      <c r="W421" s="4"/>
      <c r="X421" s="4"/>
      <c r="Y421" s="4"/>
      <c r="Z421" s="4"/>
    </row>
    <row x14ac:dyDescent="0.25" r="422" customHeight="1" ht="12.75">
      <c r="A422" s="4"/>
      <c r="B422" s="29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29"/>
      <c r="N422" s="29"/>
      <c r="O422" s="29"/>
      <c r="P422" s="32"/>
      <c r="Q422" s="32"/>
      <c r="R422" s="4"/>
      <c r="S422" s="4"/>
      <c r="T422" s="4"/>
      <c r="U422" s="4"/>
      <c r="V422" s="4"/>
      <c r="W422" s="4"/>
      <c r="X422" s="4"/>
      <c r="Y422" s="4"/>
      <c r="Z422" s="4"/>
    </row>
    <row x14ac:dyDescent="0.25" r="423" customHeight="1" ht="12.75">
      <c r="A423" s="4"/>
      <c r="B423" s="29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29"/>
      <c r="N423" s="29"/>
      <c r="O423" s="29"/>
      <c r="P423" s="32"/>
      <c r="Q423" s="32"/>
      <c r="R423" s="4"/>
      <c r="S423" s="4"/>
      <c r="T423" s="4"/>
      <c r="U423" s="4"/>
      <c r="V423" s="4"/>
      <c r="W423" s="4"/>
      <c r="X423" s="4"/>
      <c r="Y423" s="4"/>
      <c r="Z423" s="4"/>
    </row>
    <row x14ac:dyDescent="0.25" r="424" customHeight="1" ht="12.75">
      <c r="A424" s="4"/>
      <c r="B424" s="29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29"/>
      <c r="N424" s="29"/>
      <c r="O424" s="29"/>
      <c r="P424" s="32"/>
      <c r="Q424" s="32"/>
      <c r="R424" s="4"/>
      <c r="S424" s="4"/>
      <c r="T424" s="4"/>
      <c r="U424" s="4"/>
      <c r="V424" s="4"/>
      <c r="W424" s="4"/>
      <c r="X424" s="4"/>
      <c r="Y424" s="4"/>
      <c r="Z424" s="4"/>
    </row>
    <row x14ac:dyDescent="0.25" r="425" customHeight="1" ht="12.75">
      <c r="A425" s="4"/>
      <c r="B425" s="29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29"/>
      <c r="N425" s="29"/>
      <c r="O425" s="29"/>
      <c r="P425" s="32"/>
      <c r="Q425" s="32"/>
      <c r="R425" s="4"/>
      <c r="S425" s="4"/>
      <c r="T425" s="4"/>
      <c r="U425" s="4"/>
      <c r="V425" s="4"/>
      <c r="W425" s="4"/>
      <c r="X425" s="4"/>
      <c r="Y425" s="4"/>
      <c r="Z425" s="4"/>
    </row>
    <row x14ac:dyDescent="0.25" r="426" customHeight="1" ht="12.75">
      <c r="A426" s="4"/>
      <c r="B426" s="29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29"/>
      <c r="N426" s="29"/>
      <c r="O426" s="29"/>
      <c r="P426" s="32"/>
      <c r="Q426" s="32"/>
      <c r="R426" s="4"/>
      <c r="S426" s="4"/>
      <c r="T426" s="4"/>
      <c r="U426" s="4"/>
      <c r="V426" s="4"/>
      <c r="W426" s="4"/>
      <c r="X426" s="4"/>
      <c r="Y426" s="4"/>
      <c r="Z426" s="4"/>
    </row>
    <row x14ac:dyDescent="0.25" r="427" customHeight="1" ht="12.75">
      <c r="A427" s="4"/>
      <c r="B427" s="29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29"/>
      <c r="N427" s="29"/>
      <c r="O427" s="29"/>
      <c r="P427" s="32"/>
      <c r="Q427" s="32"/>
      <c r="R427" s="4"/>
      <c r="S427" s="4"/>
      <c r="T427" s="4"/>
      <c r="U427" s="4"/>
      <c r="V427" s="4"/>
      <c r="W427" s="4"/>
      <c r="X427" s="4"/>
      <c r="Y427" s="4"/>
      <c r="Z427" s="4"/>
    </row>
    <row x14ac:dyDescent="0.25" r="428" customHeight="1" ht="12.75">
      <c r="A428" s="4"/>
      <c r="B428" s="29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29"/>
      <c r="N428" s="29"/>
      <c r="O428" s="29"/>
      <c r="P428" s="32"/>
      <c r="Q428" s="32"/>
      <c r="R428" s="4"/>
      <c r="S428" s="4"/>
      <c r="T428" s="4"/>
      <c r="U428" s="4"/>
      <c r="V428" s="4"/>
      <c r="W428" s="4"/>
      <c r="X428" s="4"/>
      <c r="Y428" s="4"/>
      <c r="Z428" s="4"/>
    </row>
    <row x14ac:dyDescent="0.25" r="429" customHeight="1" ht="12.75">
      <c r="A429" s="4"/>
      <c r="B429" s="29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29"/>
      <c r="N429" s="29"/>
      <c r="O429" s="29"/>
      <c r="P429" s="32"/>
      <c r="Q429" s="32"/>
      <c r="R429" s="4"/>
      <c r="S429" s="4"/>
      <c r="T429" s="4"/>
      <c r="U429" s="4"/>
      <c r="V429" s="4"/>
      <c r="W429" s="4"/>
      <c r="X429" s="4"/>
      <c r="Y429" s="4"/>
      <c r="Z429" s="4"/>
    </row>
    <row x14ac:dyDescent="0.25" r="430" customHeight="1" ht="12.75">
      <c r="A430" s="4"/>
      <c r="B430" s="29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29"/>
      <c r="N430" s="29"/>
      <c r="O430" s="29"/>
      <c r="P430" s="32"/>
      <c r="Q430" s="32"/>
      <c r="R430" s="4"/>
      <c r="S430" s="4"/>
      <c r="T430" s="4"/>
      <c r="U430" s="4"/>
      <c r="V430" s="4"/>
      <c r="W430" s="4"/>
      <c r="X430" s="4"/>
      <c r="Y430" s="4"/>
      <c r="Z430" s="4"/>
    </row>
    <row x14ac:dyDescent="0.25" r="431" customHeight="1" ht="12.75">
      <c r="A431" s="4"/>
      <c r="B431" s="29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29"/>
      <c r="N431" s="29"/>
      <c r="O431" s="29"/>
      <c r="P431" s="32"/>
      <c r="Q431" s="32"/>
      <c r="R431" s="4"/>
      <c r="S431" s="4"/>
      <c r="T431" s="4"/>
      <c r="U431" s="4"/>
      <c r="V431" s="4"/>
      <c r="W431" s="4"/>
      <c r="X431" s="4"/>
      <c r="Y431" s="4"/>
      <c r="Z431" s="4"/>
    </row>
    <row x14ac:dyDescent="0.25" r="432" customHeight="1" ht="12.75">
      <c r="A432" s="4"/>
      <c r="B432" s="29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29"/>
      <c r="N432" s="29"/>
      <c r="O432" s="29"/>
      <c r="P432" s="32"/>
      <c r="Q432" s="32"/>
      <c r="R432" s="4"/>
      <c r="S432" s="4"/>
      <c r="T432" s="4"/>
      <c r="U432" s="4"/>
      <c r="V432" s="4"/>
      <c r="W432" s="4"/>
      <c r="X432" s="4"/>
      <c r="Y432" s="4"/>
      <c r="Z432" s="4"/>
    </row>
    <row x14ac:dyDescent="0.25" r="433" customHeight="1" ht="12.75">
      <c r="A433" s="4"/>
      <c r="B433" s="29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29"/>
      <c r="N433" s="29"/>
      <c r="O433" s="29"/>
      <c r="P433" s="32"/>
      <c r="Q433" s="32"/>
      <c r="R433" s="4"/>
      <c r="S433" s="4"/>
      <c r="T433" s="4"/>
      <c r="U433" s="4"/>
      <c r="V433" s="4"/>
      <c r="W433" s="4"/>
      <c r="X433" s="4"/>
      <c r="Y433" s="4"/>
      <c r="Z433" s="4"/>
    </row>
    <row x14ac:dyDescent="0.25" r="434" customHeight="1" ht="12.75">
      <c r="A434" s="4"/>
      <c r="B434" s="29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29"/>
      <c r="N434" s="29"/>
      <c r="O434" s="29"/>
      <c r="P434" s="32"/>
      <c r="Q434" s="32"/>
      <c r="R434" s="4"/>
      <c r="S434" s="4"/>
      <c r="T434" s="4"/>
      <c r="U434" s="4"/>
      <c r="V434" s="4"/>
      <c r="W434" s="4"/>
      <c r="X434" s="4"/>
      <c r="Y434" s="4"/>
      <c r="Z434" s="4"/>
    </row>
    <row x14ac:dyDescent="0.25" r="435" customHeight="1" ht="12.75">
      <c r="A435" s="4"/>
      <c r="B435" s="29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29"/>
      <c r="N435" s="29"/>
      <c r="O435" s="29"/>
      <c r="P435" s="32"/>
      <c r="Q435" s="32"/>
      <c r="R435" s="4"/>
      <c r="S435" s="4"/>
      <c r="T435" s="4"/>
      <c r="U435" s="4"/>
      <c r="V435" s="4"/>
      <c r="W435" s="4"/>
      <c r="X435" s="4"/>
      <c r="Y435" s="4"/>
      <c r="Z435" s="4"/>
    </row>
    <row x14ac:dyDescent="0.25" r="436" customHeight="1" ht="12.75">
      <c r="A436" s="4"/>
      <c r="B436" s="29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29"/>
      <c r="N436" s="29"/>
      <c r="O436" s="29"/>
      <c r="P436" s="32"/>
      <c r="Q436" s="32"/>
      <c r="R436" s="4"/>
      <c r="S436" s="4"/>
      <c r="T436" s="4"/>
      <c r="U436" s="4"/>
      <c r="V436" s="4"/>
      <c r="W436" s="4"/>
      <c r="X436" s="4"/>
      <c r="Y436" s="4"/>
      <c r="Z436" s="4"/>
    </row>
    <row x14ac:dyDescent="0.25" r="437" customHeight="1" ht="12.75">
      <c r="A437" s="4"/>
      <c r="B437" s="29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29"/>
      <c r="N437" s="29"/>
      <c r="O437" s="29"/>
      <c r="P437" s="32"/>
      <c r="Q437" s="32"/>
      <c r="R437" s="4"/>
      <c r="S437" s="4"/>
      <c r="T437" s="4"/>
      <c r="U437" s="4"/>
      <c r="V437" s="4"/>
      <c r="W437" s="4"/>
      <c r="X437" s="4"/>
      <c r="Y437" s="4"/>
      <c r="Z437" s="4"/>
    </row>
    <row x14ac:dyDescent="0.25" r="438" customHeight="1" ht="12.75">
      <c r="A438" s="4"/>
      <c r="B438" s="29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29"/>
      <c r="N438" s="29"/>
      <c r="O438" s="29"/>
      <c r="P438" s="32"/>
      <c r="Q438" s="32"/>
      <c r="R438" s="4"/>
      <c r="S438" s="4"/>
      <c r="T438" s="4"/>
      <c r="U438" s="4"/>
      <c r="V438" s="4"/>
      <c r="W438" s="4"/>
      <c r="X438" s="4"/>
      <c r="Y438" s="4"/>
      <c r="Z438" s="4"/>
    </row>
    <row x14ac:dyDescent="0.25" r="439" customHeight="1" ht="12.75">
      <c r="A439" s="4"/>
      <c r="B439" s="29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29"/>
      <c r="N439" s="29"/>
      <c r="O439" s="29"/>
      <c r="P439" s="32"/>
      <c r="Q439" s="32"/>
      <c r="R439" s="4"/>
      <c r="S439" s="4"/>
      <c r="T439" s="4"/>
      <c r="U439" s="4"/>
      <c r="V439" s="4"/>
      <c r="W439" s="4"/>
      <c r="X439" s="4"/>
      <c r="Y439" s="4"/>
      <c r="Z439" s="4"/>
    </row>
    <row x14ac:dyDescent="0.25" r="440" customHeight="1" ht="12.75">
      <c r="A440" s="4"/>
      <c r="B440" s="29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29"/>
      <c r="N440" s="29"/>
      <c r="O440" s="29"/>
      <c r="P440" s="32"/>
      <c r="Q440" s="32"/>
      <c r="R440" s="4"/>
      <c r="S440" s="4"/>
      <c r="T440" s="4"/>
      <c r="U440" s="4"/>
      <c r="V440" s="4"/>
      <c r="W440" s="4"/>
      <c r="X440" s="4"/>
      <c r="Y440" s="4"/>
      <c r="Z440" s="4"/>
    </row>
    <row x14ac:dyDescent="0.25" r="441" customHeight="1" ht="12.75">
      <c r="A441" s="4"/>
      <c r="B441" s="29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29"/>
      <c r="N441" s="29"/>
      <c r="O441" s="29"/>
      <c r="P441" s="32"/>
      <c r="Q441" s="32"/>
      <c r="R441" s="4"/>
      <c r="S441" s="4"/>
      <c r="T441" s="4"/>
      <c r="U441" s="4"/>
      <c r="V441" s="4"/>
      <c r="W441" s="4"/>
      <c r="X441" s="4"/>
      <c r="Y441" s="4"/>
      <c r="Z441" s="4"/>
    </row>
    <row x14ac:dyDescent="0.25" r="442" customHeight="1" ht="12.75">
      <c r="A442" s="4"/>
      <c r="B442" s="29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29"/>
      <c r="N442" s="29"/>
      <c r="O442" s="29"/>
      <c r="P442" s="32"/>
      <c r="Q442" s="32"/>
      <c r="R442" s="4"/>
      <c r="S442" s="4"/>
      <c r="T442" s="4"/>
      <c r="U442" s="4"/>
      <c r="V442" s="4"/>
      <c r="W442" s="4"/>
      <c r="X442" s="4"/>
      <c r="Y442" s="4"/>
      <c r="Z442" s="4"/>
    </row>
    <row x14ac:dyDescent="0.25" r="443" customHeight="1" ht="12.75">
      <c r="A443" s="4"/>
      <c r="B443" s="29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29"/>
      <c r="N443" s="29"/>
      <c r="O443" s="29"/>
      <c r="P443" s="32"/>
      <c r="Q443" s="32"/>
      <c r="R443" s="4"/>
      <c r="S443" s="4"/>
      <c r="T443" s="4"/>
      <c r="U443" s="4"/>
      <c r="V443" s="4"/>
      <c r="W443" s="4"/>
      <c r="X443" s="4"/>
      <c r="Y443" s="4"/>
      <c r="Z443" s="4"/>
    </row>
    <row x14ac:dyDescent="0.25" r="444" customHeight="1" ht="12.75">
      <c r="A444" s="4"/>
      <c r="B444" s="29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29"/>
      <c r="N444" s="29"/>
      <c r="O444" s="29"/>
      <c r="P444" s="32"/>
      <c r="Q444" s="32"/>
      <c r="R444" s="4"/>
      <c r="S444" s="4"/>
      <c r="T444" s="4"/>
      <c r="U444" s="4"/>
      <c r="V444" s="4"/>
      <c r="W444" s="4"/>
      <c r="X444" s="4"/>
      <c r="Y444" s="4"/>
      <c r="Z444" s="4"/>
    </row>
    <row x14ac:dyDescent="0.25" r="445" customHeight="1" ht="12.75">
      <c r="A445" s="4"/>
      <c r="B445" s="29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29"/>
      <c r="N445" s="29"/>
      <c r="O445" s="29"/>
      <c r="P445" s="32"/>
      <c r="Q445" s="32"/>
      <c r="R445" s="4"/>
      <c r="S445" s="4"/>
      <c r="T445" s="4"/>
      <c r="U445" s="4"/>
      <c r="V445" s="4"/>
      <c r="W445" s="4"/>
      <c r="X445" s="4"/>
      <c r="Y445" s="4"/>
      <c r="Z445" s="4"/>
    </row>
    <row x14ac:dyDescent="0.25" r="446" customHeight="1" ht="12.75">
      <c r="A446" s="4"/>
      <c r="B446" s="29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29"/>
      <c r="N446" s="29"/>
      <c r="O446" s="29"/>
      <c r="P446" s="32"/>
      <c r="Q446" s="32"/>
      <c r="R446" s="4"/>
      <c r="S446" s="4"/>
      <c r="T446" s="4"/>
      <c r="U446" s="4"/>
      <c r="V446" s="4"/>
      <c r="W446" s="4"/>
      <c r="X446" s="4"/>
      <c r="Y446" s="4"/>
      <c r="Z446" s="4"/>
    </row>
    <row x14ac:dyDescent="0.25" r="447" customHeight="1" ht="12.75">
      <c r="A447" s="4"/>
      <c r="B447" s="29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29"/>
      <c r="N447" s="29"/>
      <c r="O447" s="29"/>
      <c r="P447" s="32"/>
      <c r="Q447" s="32"/>
      <c r="R447" s="4"/>
      <c r="S447" s="4"/>
      <c r="T447" s="4"/>
      <c r="U447" s="4"/>
      <c r="V447" s="4"/>
      <c r="W447" s="4"/>
      <c r="X447" s="4"/>
      <c r="Y447" s="4"/>
      <c r="Z447" s="4"/>
    </row>
    <row x14ac:dyDescent="0.25" r="448" customHeight="1" ht="12.75">
      <c r="A448" s="4"/>
      <c r="B448" s="29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29"/>
      <c r="N448" s="29"/>
      <c r="O448" s="29"/>
      <c r="P448" s="32"/>
      <c r="Q448" s="32"/>
      <c r="R448" s="4"/>
      <c r="S448" s="4"/>
      <c r="T448" s="4"/>
      <c r="U448" s="4"/>
      <c r="V448" s="4"/>
      <c r="W448" s="4"/>
      <c r="X448" s="4"/>
      <c r="Y448" s="4"/>
      <c r="Z448" s="4"/>
    </row>
    <row x14ac:dyDescent="0.25" r="449" customHeight="1" ht="12.75">
      <c r="A449" s="4"/>
      <c r="B449" s="29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29"/>
      <c r="N449" s="29"/>
      <c r="O449" s="29"/>
      <c r="P449" s="32"/>
      <c r="Q449" s="32"/>
      <c r="R449" s="4"/>
      <c r="S449" s="4"/>
      <c r="T449" s="4"/>
      <c r="U449" s="4"/>
      <c r="V449" s="4"/>
      <c r="W449" s="4"/>
      <c r="X449" s="4"/>
      <c r="Y449" s="4"/>
      <c r="Z449" s="4"/>
    </row>
    <row x14ac:dyDescent="0.25" r="450" customHeight="1" ht="12.75">
      <c r="A450" s="4"/>
      <c r="B450" s="29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29"/>
      <c r="N450" s="29"/>
      <c r="O450" s="29"/>
      <c r="P450" s="32"/>
      <c r="Q450" s="32"/>
      <c r="R450" s="4"/>
      <c r="S450" s="4"/>
      <c r="T450" s="4"/>
      <c r="U450" s="4"/>
      <c r="V450" s="4"/>
      <c r="W450" s="4"/>
      <c r="X450" s="4"/>
      <c r="Y450" s="4"/>
      <c r="Z450" s="4"/>
    </row>
    <row x14ac:dyDescent="0.25" r="451" customHeight="1" ht="12.75">
      <c r="A451" s="4"/>
      <c r="B451" s="29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29"/>
      <c r="N451" s="29"/>
      <c r="O451" s="29"/>
      <c r="P451" s="32"/>
      <c r="Q451" s="32"/>
      <c r="R451" s="4"/>
      <c r="S451" s="4"/>
      <c r="T451" s="4"/>
      <c r="U451" s="4"/>
      <c r="V451" s="4"/>
      <c r="W451" s="4"/>
      <c r="X451" s="4"/>
      <c r="Y451" s="4"/>
      <c r="Z451" s="4"/>
    </row>
    <row x14ac:dyDescent="0.25" r="452" customHeight="1" ht="12.75">
      <c r="A452" s="4"/>
      <c r="B452" s="29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29"/>
      <c r="N452" s="29"/>
      <c r="O452" s="29"/>
      <c r="P452" s="32"/>
      <c r="Q452" s="32"/>
      <c r="R452" s="4"/>
      <c r="S452" s="4"/>
      <c r="T452" s="4"/>
      <c r="U452" s="4"/>
      <c r="V452" s="4"/>
      <c r="W452" s="4"/>
      <c r="X452" s="4"/>
      <c r="Y452" s="4"/>
      <c r="Z452" s="4"/>
    </row>
    <row x14ac:dyDescent="0.25" r="453" customHeight="1" ht="12.75">
      <c r="A453" s="4"/>
      <c r="B453" s="29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29"/>
      <c r="N453" s="29"/>
      <c r="O453" s="29"/>
      <c r="P453" s="32"/>
      <c r="Q453" s="32"/>
      <c r="R453" s="4"/>
      <c r="S453" s="4"/>
      <c r="T453" s="4"/>
      <c r="U453" s="4"/>
      <c r="V453" s="4"/>
      <c r="W453" s="4"/>
      <c r="X453" s="4"/>
      <c r="Y453" s="4"/>
      <c r="Z453" s="4"/>
    </row>
    <row x14ac:dyDescent="0.25" r="454" customHeight="1" ht="12.75">
      <c r="A454" s="4"/>
      <c r="B454" s="29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29"/>
      <c r="N454" s="29"/>
      <c r="O454" s="29"/>
      <c r="P454" s="32"/>
      <c r="Q454" s="32"/>
      <c r="R454" s="4"/>
      <c r="S454" s="4"/>
      <c r="T454" s="4"/>
      <c r="U454" s="4"/>
      <c r="V454" s="4"/>
      <c r="W454" s="4"/>
      <c r="X454" s="4"/>
      <c r="Y454" s="4"/>
      <c r="Z454" s="4"/>
    </row>
    <row x14ac:dyDescent="0.25" r="455" customHeight="1" ht="12.75">
      <c r="A455" s="4"/>
      <c r="B455" s="29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29"/>
      <c r="N455" s="29"/>
      <c r="O455" s="29"/>
      <c r="P455" s="32"/>
      <c r="Q455" s="32"/>
      <c r="R455" s="4"/>
      <c r="S455" s="4"/>
      <c r="T455" s="4"/>
      <c r="U455" s="4"/>
      <c r="V455" s="4"/>
      <c r="W455" s="4"/>
      <c r="X455" s="4"/>
      <c r="Y455" s="4"/>
      <c r="Z455" s="4"/>
    </row>
    <row x14ac:dyDescent="0.25" r="456" customHeight="1" ht="12.75">
      <c r="A456" s="4"/>
      <c r="B456" s="29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29"/>
      <c r="N456" s="29"/>
      <c r="O456" s="29"/>
      <c r="P456" s="32"/>
      <c r="Q456" s="32"/>
      <c r="R456" s="4"/>
      <c r="S456" s="4"/>
      <c r="T456" s="4"/>
      <c r="U456" s="4"/>
      <c r="V456" s="4"/>
      <c r="W456" s="4"/>
      <c r="X456" s="4"/>
      <c r="Y456" s="4"/>
      <c r="Z456" s="4"/>
    </row>
    <row x14ac:dyDescent="0.25" r="457" customHeight="1" ht="12.75">
      <c r="A457" s="4"/>
      <c r="B457" s="29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29"/>
      <c r="N457" s="29"/>
      <c r="O457" s="29"/>
      <c r="P457" s="32"/>
      <c r="Q457" s="32"/>
      <c r="R457" s="4"/>
      <c r="S457" s="4"/>
      <c r="T457" s="4"/>
      <c r="U457" s="4"/>
      <c r="V457" s="4"/>
      <c r="W457" s="4"/>
      <c r="X457" s="4"/>
      <c r="Y457" s="4"/>
      <c r="Z457" s="4"/>
    </row>
    <row x14ac:dyDescent="0.25" r="458" customHeight="1" ht="12.75">
      <c r="A458" s="4"/>
      <c r="B458" s="29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29"/>
      <c r="N458" s="29"/>
      <c r="O458" s="29"/>
      <c r="P458" s="32"/>
      <c r="Q458" s="32"/>
      <c r="R458" s="4"/>
      <c r="S458" s="4"/>
      <c r="T458" s="4"/>
      <c r="U458" s="4"/>
      <c r="V458" s="4"/>
      <c r="W458" s="4"/>
      <c r="X458" s="4"/>
      <c r="Y458" s="4"/>
      <c r="Z458" s="4"/>
    </row>
    <row x14ac:dyDescent="0.25" r="459" customHeight="1" ht="12.75">
      <c r="A459" s="4"/>
      <c r="B459" s="29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29"/>
      <c r="N459" s="29"/>
      <c r="O459" s="29"/>
      <c r="P459" s="32"/>
      <c r="Q459" s="32"/>
      <c r="R459" s="4"/>
      <c r="S459" s="4"/>
      <c r="T459" s="4"/>
      <c r="U459" s="4"/>
      <c r="V459" s="4"/>
      <c r="W459" s="4"/>
      <c r="X459" s="4"/>
      <c r="Y459" s="4"/>
      <c r="Z459" s="4"/>
    </row>
    <row x14ac:dyDescent="0.25" r="460" customHeight="1" ht="12.75">
      <c r="A460" s="4"/>
      <c r="B460" s="29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29"/>
      <c r="N460" s="29"/>
      <c r="O460" s="29"/>
      <c r="P460" s="32"/>
      <c r="Q460" s="32"/>
      <c r="R460" s="4"/>
      <c r="S460" s="4"/>
      <c r="T460" s="4"/>
      <c r="U460" s="4"/>
      <c r="V460" s="4"/>
      <c r="W460" s="4"/>
      <c r="X460" s="4"/>
      <c r="Y460" s="4"/>
      <c r="Z460" s="4"/>
    </row>
    <row x14ac:dyDescent="0.25" r="461" customHeight="1" ht="12.75">
      <c r="A461" s="4"/>
      <c r="B461" s="29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29"/>
      <c r="N461" s="29"/>
      <c r="O461" s="29"/>
      <c r="P461" s="32"/>
      <c r="Q461" s="32"/>
      <c r="R461" s="4"/>
      <c r="S461" s="4"/>
      <c r="T461" s="4"/>
      <c r="U461" s="4"/>
      <c r="V461" s="4"/>
      <c r="W461" s="4"/>
      <c r="X461" s="4"/>
      <c r="Y461" s="4"/>
      <c r="Z461" s="4"/>
    </row>
    <row x14ac:dyDescent="0.25" r="462" customHeight="1" ht="12.75">
      <c r="A462" s="4"/>
      <c r="B462" s="29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29"/>
      <c r="N462" s="29"/>
      <c r="O462" s="29"/>
      <c r="P462" s="32"/>
      <c r="Q462" s="32"/>
      <c r="R462" s="4"/>
      <c r="S462" s="4"/>
      <c r="T462" s="4"/>
      <c r="U462" s="4"/>
      <c r="V462" s="4"/>
      <c r="W462" s="4"/>
      <c r="X462" s="4"/>
      <c r="Y462" s="4"/>
      <c r="Z462" s="4"/>
    </row>
    <row x14ac:dyDescent="0.25" r="463" customHeight="1" ht="12.75">
      <c r="A463" s="4"/>
      <c r="B463" s="29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29"/>
      <c r="N463" s="29"/>
      <c r="O463" s="29"/>
      <c r="P463" s="32"/>
      <c r="Q463" s="32"/>
      <c r="R463" s="4"/>
      <c r="S463" s="4"/>
      <c r="T463" s="4"/>
      <c r="U463" s="4"/>
      <c r="V463" s="4"/>
      <c r="W463" s="4"/>
      <c r="X463" s="4"/>
      <c r="Y463" s="4"/>
      <c r="Z463" s="4"/>
    </row>
    <row x14ac:dyDescent="0.25" r="464" customHeight="1" ht="12.75">
      <c r="A464" s="4"/>
      <c r="B464" s="29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29"/>
      <c r="N464" s="29"/>
      <c r="O464" s="29"/>
      <c r="P464" s="32"/>
      <c r="Q464" s="32"/>
      <c r="R464" s="4"/>
      <c r="S464" s="4"/>
      <c r="T464" s="4"/>
      <c r="U464" s="4"/>
      <c r="V464" s="4"/>
      <c r="W464" s="4"/>
      <c r="X464" s="4"/>
      <c r="Y464" s="4"/>
      <c r="Z464" s="4"/>
    </row>
    <row x14ac:dyDescent="0.25" r="465" customHeight="1" ht="12.75">
      <c r="A465" s="4"/>
      <c r="B465" s="29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29"/>
      <c r="N465" s="29"/>
      <c r="O465" s="29"/>
      <c r="P465" s="32"/>
      <c r="Q465" s="32"/>
      <c r="R465" s="4"/>
      <c r="S465" s="4"/>
      <c r="T465" s="4"/>
      <c r="U465" s="4"/>
      <c r="V465" s="4"/>
      <c r="W465" s="4"/>
      <c r="X465" s="4"/>
      <c r="Y465" s="4"/>
      <c r="Z465" s="4"/>
    </row>
    <row x14ac:dyDescent="0.25" r="466" customHeight="1" ht="12.75">
      <c r="A466" s="4"/>
      <c r="B466" s="29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29"/>
      <c r="N466" s="29"/>
      <c r="O466" s="29"/>
      <c r="P466" s="32"/>
      <c r="Q466" s="32"/>
      <c r="R466" s="4"/>
      <c r="S466" s="4"/>
      <c r="T466" s="4"/>
      <c r="U466" s="4"/>
      <c r="V466" s="4"/>
      <c r="W466" s="4"/>
      <c r="X466" s="4"/>
      <c r="Y466" s="4"/>
      <c r="Z466" s="4"/>
    </row>
    <row x14ac:dyDescent="0.25" r="467" customHeight="1" ht="12.75">
      <c r="A467" s="4"/>
      <c r="B467" s="29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29"/>
      <c r="N467" s="29"/>
      <c r="O467" s="29"/>
      <c r="P467" s="32"/>
      <c r="Q467" s="32"/>
      <c r="R467" s="4"/>
      <c r="S467" s="4"/>
      <c r="T467" s="4"/>
      <c r="U467" s="4"/>
      <c r="V467" s="4"/>
      <c r="W467" s="4"/>
      <c r="X467" s="4"/>
      <c r="Y467" s="4"/>
      <c r="Z467" s="4"/>
    </row>
    <row x14ac:dyDescent="0.25" r="468" customHeight="1" ht="12.75">
      <c r="A468" s="4"/>
      <c r="B468" s="29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29"/>
      <c r="N468" s="29"/>
      <c r="O468" s="29"/>
      <c r="P468" s="32"/>
      <c r="Q468" s="32"/>
      <c r="R468" s="4"/>
      <c r="S468" s="4"/>
      <c r="T468" s="4"/>
      <c r="U468" s="4"/>
      <c r="V468" s="4"/>
      <c r="W468" s="4"/>
      <c r="X468" s="4"/>
      <c r="Y468" s="4"/>
      <c r="Z468" s="4"/>
    </row>
    <row x14ac:dyDescent="0.25" r="469" customHeight="1" ht="12.75">
      <c r="A469" s="4"/>
      <c r="B469" s="29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29"/>
      <c r="N469" s="29"/>
      <c r="O469" s="29"/>
      <c r="P469" s="32"/>
      <c r="Q469" s="32"/>
      <c r="R469" s="4"/>
      <c r="S469" s="4"/>
      <c r="T469" s="4"/>
      <c r="U469" s="4"/>
      <c r="V469" s="4"/>
      <c r="W469" s="4"/>
      <c r="X469" s="4"/>
      <c r="Y469" s="4"/>
      <c r="Z469" s="4"/>
    </row>
    <row x14ac:dyDescent="0.25" r="470" customHeight="1" ht="12.75">
      <c r="A470" s="4"/>
      <c r="B470" s="29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29"/>
      <c r="N470" s="29"/>
      <c r="O470" s="29"/>
      <c r="P470" s="32"/>
      <c r="Q470" s="32"/>
      <c r="R470" s="4"/>
      <c r="S470" s="4"/>
      <c r="T470" s="4"/>
      <c r="U470" s="4"/>
      <c r="V470" s="4"/>
      <c r="W470" s="4"/>
      <c r="X470" s="4"/>
      <c r="Y470" s="4"/>
      <c r="Z470" s="4"/>
    </row>
    <row x14ac:dyDescent="0.25" r="471" customHeight="1" ht="12.75">
      <c r="A471" s="4"/>
      <c r="B471" s="29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29"/>
      <c r="N471" s="29"/>
      <c r="O471" s="29"/>
      <c r="P471" s="32"/>
      <c r="Q471" s="32"/>
      <c r="R471" s="4"/>
      <c r="S471" s="4"/>
      <c r="T471" s="4"/>
      <c r="U471" s="4"/>
      <c r="V471" s="4"/>
      <c r="W471" s="4"/>
      <c r="X471" s="4"/>
      <c r="Y471" s="4"/>
      <c r="Z471" s="4"/>
    </row>
    <row x14ac:dyDescent="0.25" r="472" customHeight="1" ht="12.75">
      <c r="A472" s="4"/>
      <c r="B472" s="29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29"/>
      <c r="N472" s="29"/>
      <c r="O472" s="29"/>
      <c r="P472" s="32"/>
      <c r="Q472" s="32"/>
      <c r="R472" s="4"/>
      <c r="S472" s="4"/>
      <c r="T472" s="4"/>
      <c r="U472" s="4"/>
      <c r="V472" s="4"/>
      <c r="W472" s="4"/>
      <c r="X472" s="4"/>
      <c r="Y472" s="4"/>
      <c r="Z472" s="4"/>
    </row>
    <row x14ac:dyDescent="0.25" r="473" customHeight="1" ht="12.75">
      <c r="A473" s="4"/>
      <c r="B473" s="29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29"/>
      <c r="N473" s="29"/>
      <c r="O473" s="29"/>
      <c r="P473" s="32"/>
      <c r="Q473" s="32"/>
      <c r="R473" s="4"/>
      <c r="S473" s="4"/>
      <c r="T473" s="4"/>
      <c r="U473" s="4"/>
      <c r="V473" s="4"/>
      <c r="W473" s="4"/>
      <c r="X473" s="4"/>
      <c r="Y473" s="4"/>
      <c r="Z473" s="4"/>
    </row>
    <row x14ac:dyDescent="0.25" r="474" customHeight="1" ht="12.75">
      <c r="A474" s="4"/>
      <c r="B474" s="29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29"/>
      <c r="N474" s="29"/>
      <c r="O474" s="29"/>
      <c r="P474" s="32"/>
      <c r="Q474" s="32"/>
      <c r="R474" s="4"/>
      <c r="S474" s="4"/>
      <c r="T474" s="4"/>
      <c r="U474" s="4"/>
      <c r="V474" s="4"/>
      <c r="W474" s="4"/>
      <c r="X474" s="4"/>
      <c r="Y474" s="4"/>
      <c r="Z474" s="4"/>
    </row>
    <row x14ac:dyDescent="0.25" r="475" customHeight="1" ht="12.75">
      <c r="A475" s="4"/>
      <c r="B475" s="29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29"/>
      <c r="N475" s="29"/>
      <c r="O475" s="29"/>
      <c r="P475" s="32"/>
      <c r="Q475" s="32"/>
      <c r="R475" s="4"/>
      <c r="S475" s="4"/>
      <c r="T475" s="4"/>
      <c r="U475" s="4"/>
      <c r="V475" s="4"/>
      <c r="W475" s="4"/>
      <c r="X475" s="4"/>
      <c r="Y475" s="4"/>
      <c r="Z475" s="4"/>
    </row>
    <row x14ac:dyDescent="0.25" r="476" customHeight="1" ht="12.75">
      <c r="A476" s="4"/>
      <c r="B476" s="29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29"/>
      <c r="N476" s="29"/>
      <c r="O476" s="29"/>
      <c r="P476" s="32"/>
      <c r="Q476" s="32"/>
      <c r="R476" s="4"/>
      <c r="S476" s="4"/>
      <c r="T476" s="4"/>
      <c r="U476" s="4"/>
      <c r="V476" s="4"/>
      <c r="W476" s="4"/>
      <c r="X476" s="4"/>
      <c r="Y476" s="4"/>
      <c r="Z476" s="4"/>
    </row>
    <row x14ac:dyDescent="0.25" r="477" customHeight="1" ht="12.75">
      <c r="A477" s="4"/>
      <c r="B477" s="29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29"/>
      <c r="N477" s="29"/>
      <c r="O477" s="29"/>
      <c r="P477" s="32"/>
      <c r="Q477" s="32"/>
      <c r="R477" s="4"/>
      <c r="S477" s="4"/>
      <c r="T477" s="4"/>
      <c r="U477" s="4"/>
      <c r="V477" s="4"/>
      <c r="W477" s="4"/>
      <c r="X477" s="4"/>
      <c r="Y477" s="4"/>
      <c r="Z477" s="4"/>
    </row>
    <row x14ac:dyDescent="0.25" r="478" customHeight="1" ht="12.75">
      <c r="A478" s="4"/>
      <c r="B478" s="29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29"/>
      <c r="N478" s="29"/>
      <c r="O478" s="29"/>
      <c r="P478" s="32"/>
      <c r="Q478" s="32"/>
      <c r="R478" s="4"/>
      <c r="S478" s="4"/>
      <c r="T478" s="4"/>
      <c r="U478" s="4"/>
      <c r="V478" s="4"/>
      <c r="W478" s="4"/>
      <c r="X478" s="4"/>
      <c r="Y478" s="4"/>
      <c r="Z478" s="4"/>
    </row>
    <row x14ac:dyDescent="0.25" r="479" customHeight="1" ht="12.75">
      <c r="A479" s="4"/>
      <c r="B479" s="29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29"/>
      <c r="N479" s="29"/>
      <c r="O479" s="29"/>
      <c r="P479" s="32"/>
      <c r="Q479" s="32"/>
      <c r="R479" s="4"/>
      <c r="S479" s="4"/>
      <c r="T479" s="4"/>
      <c r="U479" s="4"/>
      <c r="V479" s="4"/>
      <c r="W479" s="4"/>
      <c r="X479" s="4"/>
      <c r="Y479" s="4"/>
      <c r="Z479" s="4"/>
    </row>
    <row x14ac:dyDescent="0.25" r="480" customHeight="1" ht="12.75">
      <c r="A480" s="4"/>
      <c r="B480" s="29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29"/>
      <c r="N480" s="29"/>
      <c r="O480" s="29"/>
      <c r="P480" s="32"/>
      <c r="Q480" s="32"/>
      <c r="R480" s="4"/>
      <c r="S480" s="4"/>
      <c r="T480" s="4"/>
      <c r="U480" s="4"/>
      <c r="V480" s="4"/>
      <c r="W480" s="4"/>
      <c r="X480" s="4"/>
      <c r="Y480" s="4"/>
      <c r="Z480" s="4"/>
    </row>
    <row x14ac:dyDescent="0.25" r="481" customHeight="1" ht="12.75">
      <c r="A481" s="4"/>
      <c r="B481" s="29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29"/>
      <c r="N481" s="29"/>
      <c r="O481" s="29"/>
      <c r="P481" s="32"/>
      <c r="Q481" s="32"/>
      <c r="R481" s="4"/>
      <c r="S481" s="4"/>
      <c r="T481" s="4"/>
      <c r="U481" s="4"/>
      <c r="V481" s="4"/>
      <c r="W481" s="4"/>
      <c r="X481" s="4"/>
      <c r="Y481" s="4"/>
      <c r="Z481" s="4"/>
    </row>
    <row x14ac:dyDescent="0.25" r="482" customHeight="1" ht="12.75">
      <c r="A482" s="4"/>
      <c r="B482" s="29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29"/>
      <c r="N482" s="29"/>
      <c r="O482" s="29"/>
      <c r="P482" s="32"/>
      <c r="Q482" s="32"/>
      <c r="R482" s="4"/>
      <c r="S482" s="4"/>
      <c r="T482" s="4"/>
      <c r="U482" s="4"/>
      <c r="V482" s="4"/>
      <c r="W482" s="4"/>
      <c r="X482" s="4"/>
      <c r="Y482" s="4"/>
      <c r="Z482" s="4"/>
    </row>
    <row x14ac:dyDescent="0.25" r="483" customHeight="1" ht="12.75">
      <c r="A483" s="4"/>
      <c r="B483" s="29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29"/>
      <c r="N483" s="29"/>
      <c r="O483" s="29"/>
      <c r="P483" s="32"/>
      <c r="Q483" s="32"/>
      <c r="R483" s="4"/>
      <c r="S483" s="4"/>
      <c r="T483" s="4"/>
      <c r="U483" s="4"/>
      <c r="V483" s="4"/>
      <c r="W483" s="4"/>
      <c r="X483" s="4"/>
      <c r="Y483" s="4"/>
      <c r="Z483" s="4"/>
    </row>
    <row x14ac:dyDescent="0.25" r="484" customHeight="1" ht="12.75">
      <c r="A484" s="4"/>
      <c r="B484" s="29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29"/>
      <c r="N484" s="29"/>
      <c r="O484" s="29"/>
      <c r="P484" s="32"/>
      <c r="Q484" s="32"/>
      <c r="R484" s="4"/>
      <c r="S484" s="4"/>
      <c r="T484" s="4"/>
      <c r="U484" s="4"/>
      <c r="V484" s="4"/>
      <c r="W484" s="4"/>
      <c r="X484" s="4"/>
      <c r="Y484" s="4"/>
      <c r="Z484" s="4"/>
    </row>
    <row x14ac:dyDescent="0.25" r="485" customHeight="1" ht="12.75">
      <c r="A485" s="4"/>
      <c r="B485" s="29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29"/>
      <c r="N485" s="29"/>
      <c r="O485" s="29"/>
      <c r="P485" s="32"/>
      <c r="Q485" s="32"/>
      <c r="R485" s="4"/>
      <c r="S485" s="4"/>
      <c r="T485" s="4"/>
      <c r="U485" s="4"/>
      <c r="V485" s="4"/>
      <c r="W485" s="4"/>
      <c r="X485" s="4"/>
      <c r="Y485" s="4"/>
      <c r="Z485" s="4"/>
    </row>
    <row x14ac:dyDescent="0.25" r="486" customHeight="1" ht="12.75">
      <c r="A486" s="4"/>
      <c r="B486" s="29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29"/>
      <c r="N486" s="29"/>
      <c r="O486" s="29"/>
      <c r="P486" s="32"/>
      <c r="Q486" s="32"/>
      <c r="R486" s="4"/>
      <c r="S486" s="4"/>
      <c r="T486" s="4"/>
      <c r="U486" s="4"/>
      <c r="V486" s="4"/>
      <c r="W486" s="4"/>
      <c r="X486" s="4"/>
      <c r="Y486" s="4"/>
      <c r="Z486" s="4"/>
    </row>
    <row x14ac:dyDescent="0.25" r="487" customHeight="1" ht="12.75">
      <c r="A487" s="4"/>
      <c r="B487" s="29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29"/>
      <c r="N487" s="29"/>
      <c r="O487" s="29"/>
      <c r="P487" s="32"/>
      <c r="Q487" s="32"/>
      <c r="R487" s="4"/>
      <c r="S487" s="4"/>
      <c r="T487" s="4"/>
      <c r="U487" s="4"/>
      <c r="V487" s="4"/>
      <c r="W487" s="4"/>
      <c r="X487" s="4"/>
      <c r="Y487" s="4"/>
      <c r="Z487" s="4"/>
    </row>
    <row x14ac:dyDescent="0.25" r="488" customHeight="1" ht="12.75">
      <c r="A488" s="4"/>
      <c r="B488" s="29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29"/>
      <c r="N488" s="29"/>
      <c r="O488" s="29"/>
      <c r="P488" s="32"/>
      <c r="Q488" s="32"/>
      <c r="R488" s="4"/>
      <c r="S488" s="4"/>
      <c r="T488" s="4"/>
      <c r="U488" s="4"/>
      <c r="V488" s="4"/>
      <c r="W488" s="4"/>
      <c r="X488" s="4"/>
      <c r="Y488" s="4"/>
      <c r="Z488" s="4"/>
    </row>
    <row x14ac:dyDescent="0.25" r="489" customHeight="1" ht="12.75">
      <c r="A489" s="4"/>
      <c r="B489" s="29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29"/>
      <c r="N489" s="29"/>
      <c r="O489" s="29"/>
      <c r="P489" s="32"/>
      <c r="Q489" s="32"/>
      <c r="R489" s="4"/>
      <c r="S489" s="4"/>
      <c r="T489" s="4"/>
      <c r="U489" s="4"/>
      <c r="V489" s="4"/>
      <c r="W489" s="4"/>
      <c r="X489" s="4"/>
      <c r="Y489" s="4"/>
      <c r="Z489" s="4"/>
    </row>
    <row x14ac:dyDescent="0.25" r="490" customHeight="1" ht="12.75">
      <c r="A490" s="4"/>
      <c r="B490" s="29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29"/>
      <c r="N490" s="29"/>
      <c r="O490" s="29"/>
      <c r="P490" s="32"/>
      <c r="Q490" s="32"/>
      <c r="R490" s="4"/>
      <c r="S490" s="4"/>
      <c r="T490" s="4"/>
      <c r="U490" s="4"/>
      <c r="V490" s="4"/>
      <c r="W490" s="4"/>
      <c r="X490" s="4"/>
      <c r="Y490" s="4"/>
      <c r="Z490" s="4"/>
    </row>
    <row x14ac:dyDescent="0.25" r="491" customHeight="1" ht="12.75">
      <c r="A491" s="4"/>
      <c r="B491" s="29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29"/>
      <c r="N491" s="29"/>
      <c r="O491" s="29"/>
      <c r="P491" s="32"/>
      <c r="Q491" s="32"/>
      <c r="R491" s="4"/>
      <c r="S491" s="4"/>
      <c r="T491" s="4"/>
      <c r="U491" s="4"/>
      <c r="V491" s="4"/>
      <c r="W491" s="4"/>
      <c r="X491" s="4"/>
      <c r="Y491" s="4"/>
      <c r="Z491" s="4"/>
    </row>
    <row x14ac:dyDescent="0.25" r="492" customHeight="1" ht="12.75">
      <c r="A492" s="4"/>
      <c r="B492" s="29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29"/>
      <c r="N492" s="29"/>
      <c r="O492" s="29"/>
      <c r="P492" s="32"/>
      <c r="Q492" s="32"/>
      <c r="R492" s="4"/>
      <c r="S492" s="4"/>
      <c r="T492" s="4"/>
      <c r="U492" s="4"/>
      <c r="V492" s="4"/>
      <c r="W492" s="4"/>
      <c r="X492" s="4"/>
      <c r="Y492" s="4"/>
      <c r="Z492" s="4"/>
    </row>
    <row x14ac:dyDescent="0.25" r="493" customHeight="1" ht="12.75">
      <c r="A493" s="4"/>
      <c r="B493" s="29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29"/>
      <c r="N493" s="29"/>
      <c r="O493" s="29"/>
      <c r="P493" s="32"/>
      <c r="Q493" s="32"/>
      <c r="R493" s="4"/>
      <c r="S493" s="4"/>
      <c r="T493" s="4"/>
      <c r="U493" s="4"/>
      <c r="V493" s="4"/>
      <c r="W493" s="4"/>
      <c r="X493" s="4"/>
      <c r="Y493" s="4"/>
      <c r="Z493" s="4"/>
    </row>
    <row x14ac:dyDescent="0.25" r="494" customHeight="1" ht="12.75">
      <c r="A494" s="4"/>
      <c r="B494" s="29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29"/>
      <c r="N494" s="29"/>
      <c r="O494" s="29"/>
      <c r="P494" s="32"/>
      <c r="Q494" s="32"/>
      <c r="R494" s="4"/>
      <c r="S494" s="4"/>
      <c r="T494" s="4"/>
      <c r="U494" s="4"/>
      <c r="V494" s="4"/>
      <c r="W494" s="4"/>
      <c r="X494" s="4"/>
      <c r="Y494" s="4"/>
      <c r="Z494" s="4"/>
    </row>
    <row x14ac:dyDescent="0.25" r="495" customHeight="1" ht="12.75">
      <c r="A495" s="4"/>
      <c r="B495" s="29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29"/>
      <c r="N495" s="29"/>
      <c r="O495" s="29"/>
      <c r="P495" s="32"/>
      <c r="Q495" s="32"/>
      <c r="R495" s="4"/>
      <c r="S495" s="4"/>
      <c r="T495" s="4"/>
      <c r="U495" s="4"/>
      <c r="V495" s="4"/>
      <c r="W495" s="4"/>
      <c r="X495" s="4"/>
      <c r="Y495" s="4"/>
      <c r="Z495" s="4"/>
    </row>
    <row x14ac:dyDescent="0.25" r="496" customHeight="1" ht="12.75">
      <c r="A496" s="4"/>
      <c r="B496" s="29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29"/>
      <c r="N496" s="29"/>
      <c r="O496" s="29"/>
      <c r="P496" s="32"/>
      <c r="Q496" s="32"/>
      <c r="R496" s="4"/>
      <c r="S496" s="4"/>
      <c r="T496" s="4"/>
      <c r="U496" s="4"/>
      <c r="V496" s="4"/>
      <c r="W496" s="4"/>
      <c r="X496" s="4"/>
      <c r="Y496" s="4"/>
      <c r="Z496" s="4"/>
    </row>
    <row x14ac:dyDescent="0.25" r="497" customHeight="1" ht="12.75">
      <c r="A497" s="4"/>
      <c r="B497" s="29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29"/>
      <c r="N497" s="29"/>
      <c r="O497" s="29"/>
      <c r="P497" s="32"/>
      <c r="Q497" s="32"/>
      <c r="R497" s="4"/>
      <c r="S497" s="4"/>
      <c r="T497" s="4"/>
      <c r="U497" s="4"/>
      <c r="V497" s="4"/>
      <c r="W497" s="4"/>
      <c r="X497" s="4"/>
      <c r="Y497" s="4"/>
      <c r="Z497" s="4"/>
    </row>
    <row x14ac:dyDescent="0.25" r="498" customHeight="1" ht="12.75">
      <c r="A498" s="4"/>
      <c r="B498" s="29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29"/>
      <c r="N498" s="29"/>
      <c r="O498" s="29"/>
      <c r="P498" s="32"/>
      <c r="Q498" s="32"/>
      <c r="R498" s="4"/>
      <c r="S498" s="4"/>
      <c r="T498" s="4"/>
      <c r="U498" s="4"/>
      <c r="V498" s="4"/>
      <c r="W498" s="4"/>
      <c r="X498" s="4"/>
      <c r="Y498" s="4"/>
      <c r="Z498" s="4"/>
    </row>
    <row x14ac:dyDescent="0.25" r="499" customHeight="1" ht="12.75">
      <c r="A499" s="4"/>
      <c r="B499" s="29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29"/>
      <c r="N499" s="29"/>
      <c r="O499" s="29"/>
      <c r="P499" s="32"/>
      <c r="Q499" s="32"/>
      <c r="R499" s="4"/>
      <c r="S499" s="4"/>
      <c r="T499" s="4"/>
      <c r="U499" s="4"/>
      <c r="V499" s="4"/>
      <c r="W499" s="4"/>
      <c r="X499" s="4"/>
      <c r="Y499" s="4"/>
      <c r="Z499" s="4"/>
    </row>
    <row x14ac:dyDescent="0.25" r="500" customHeight="1" ht="12.75">
      <c r="A500" s="4"/>
      <c r="B500" s="29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29"/>
      <c r="N500" s="29"/>
      <c r="O500" s="29"/>
      <c r="P500" s="32"/>
      <c r="Q500" s="32"/>
      <c r="R500" s="4"/>
      <c r="S500" s="4"/>
      <c r="T500" s="4"/>
      <c r="U500" s="4"/>
      <c r="V500" s="4"/>
      <c r="W500" s="4"/>
      <c r="X500" s="4"/>
      <c r="Y500" s="4"/>
      <c r="Z500" s="4"/>
    </row>
    <row x14ac:dyDescent="0.25" r="501" customHeight="1" ht="12.75">
      <c r="A501" s="4"/>
      <c r="B501" s="29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29"/>
      <c r="N501" s="29"/>
      <c r="O501" s="29"/>
      <c r="P501" s="32"/>
      <c r="Q501" s="32"/>
      <c r="R501" s="4"/>
      <c r="S501" s="4"/>
      <c r="T501" s="4"/>
      <c r="U501" s="4"/>
      <c r="V501" s="4"/>
      <c r="W501" s="4"/>
      <c r="X501" s="4"/>
      <c r="Y501" s="4"/>
      <c r="Z501" s="4"/>
    </row>
    <row x14ac:dyDescent="0.25" r="502" customHeight="1" ht="12.75">
      <c r="A502" s="4"/>
      <c r="B502" s="29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29"/>
      <c r="N502" s="29"/>
      <c r="O502" s="29"/>
      <c r="P502" s="32"/>
      <c r="Q502" s="32"/>
      <c r="R502" s="4"/>
      <c r="S502" s="4"/>
      <c r="T502" s="4"/>
      <c r="U502" s="4"/>
      <c r="V502" s="4"/>
      <c r="W502" s="4"/>
      <c r="X502" s="4"/>
      <c r="Y502" s="4"/>
      <c r="Z502" s="4"/>
    </row>
    <row x14ac:dyDescent="0.25" r="503" customHeight="1" ht="12.75">
      <c r="A503" s="4"/>
      <c r="B503" s="29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29"/>
      <c r="N503" s="29"/>
      <c r="O503" s="29"/>
      <c r="P503" s="32"/>
      <c r="Q503" s="32"/>
      <c r="R503" s="4"/>
      <c r="S503" s="4"/>
      <c r="T503" s="4"/>
      <c r="U503" s="4"/>
      <c r="V503" s="4"/>
      <c r="W503" s="4"/>
      <c r="X503" s="4"/>
      <c r="Y503" s="4"/>
      <c r="Z503" s="4"/>
    </row>
    <row x14ac:dyDescent="0.25" r="504" customHeight="1" ht="12.75">
      <c r="A504" s="4"/>
      <c r="B504" s="29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29"/>
      <c r="N504" s="29"/>
      <c r="O504" s="29"/>
      <c r="P504" s="32"/>
      <c r="Q504" s="32"/>
      <c r="R504" s="4"/>
      <c r="S504" s="4"/>
      <c r="T504" s="4"/>
      <c r="U504" s="4"/>
      <c r="V504" s="4"/>
      <c r="W504" s="4"/>
      <c r="X504" s="4"/>
      <c r="Y504" s="4"/>
      <c r="Z504" s="4"/>
    </row>
    <row x14ac:dyDescent="0.25" r="505" customHeight="1" ht="12.75">
      <c r="A505" s="4"/>
      <c r="B505" s="29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29"/>
      <c r="N505" s="29"/>
      <c r="O505" s="29"/>
      <c r="P505" s="32"/>
      <c r="Q505" s="32"/>
      <c r="R505" s="4"/>
      <c r="S505" s="4"/>
      <c r="T505" s="4"/>
      <c r="U505" s="4"/>
      <c r="V505" s="4"/>
      <c r="W505" s="4"/>
      <c r="X505" s="4"/>
      <c r="Y505" s="4"/>
      <c r="Z505" s="4"/>
    </row>
    <row x14ac:dyDescent="0.25" r="506" customHeight="1" ht="12.75">
      <c r="A506" s="4"/>
      <c r="B506" s="29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29"/>
      <c r="N506" s="29"/>
      <c r="O506" s="29"/>
      <c r="P506" s="32"/>
      <c r="Q506" s="32"/>
      <c r="R506" s="4"/>
      <c r="S506" s="4"/>
      <c r="T506" s="4"/>
      <c r="U506" s="4"/>
      <c r="V506" s="4"/>
      <c r="W506" s="4"/>
      <c r="X506" s="4"/>
      <c r="Y506" s="4"/>
      <c r="Z506" s="4"/>
    </row>
    <row x14ac:dyDescent="0.25" r="507" customHeight="1" ht="12.75">
      <c r="A507" s="4"/>
      <c r="B507" s="29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29"/>
      <c r="N507" s="29"/>
      <c r="O507" s="29"/>
      <c r="P507" s="32"/>
      <c r="Q507" s="32"/>
      <c r="R507" s="4"/>
      <c r="S507" s="4"/>
      <c r="T507" s="4"/>
      <c r="U507" s="4"/>
      <c r="V507" s="4"/>
      <c r="W507" s="4"/>
      <c r="X507" s="4"/>
      <c r="Y507" s="4"/>
      <c r="Z507" s="4"/>
    </row>
    <row x14ac:dyDescent="0.25" r="508" customHeight="1" ht="12.75">
      <c r="A508" s="4"/>
      <c r="B508" s="29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29"/>
      <c r="N508" s="29"/>
      <c r="O508" s="29"/>
      <c r="P508" s="32"/>
      <c r="Q508" s="32"/>
      <c r="R508" s="4"/>
      <c r="S508" s="4"/>
      <c r="T508" s="4"/>
      <c r="U508" s="4"/>
      <c r="V508" s="4"/>
      <c r="W508" s="4"/>
      <c r="X508" s="4"/>
      <c r="Y508" s="4"/>
      <c r="Z508" s="4"/>
    </row>
    <row x14ac:dyDescent="0.25" r="509" customHeight="1" ht="12.75">
      <c r="A509" s="4"/>
      <c r="B509" s="29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29"/>
      <c r="N509" s="29"/>
      <c r="O509" s="29"/>
      <c r="P509" s="32"/>
      <c r="Q509" s="32"/>
      <c r="R509" s="4"/>
      <c r="S509" s="4"/>
      <c r="T509" s="4"/>
      <c r="U509" s="4"/>
      <c r="V509" s="4"/>
      <c r="W509" s="4"/>
      <c r="X509" s="4"/>
      <c r="Y509" s="4"/>
      <c r="Z509" s="4"/>
    </row>
    <row x14ac:dyDescent="0.25" r="510" customHeight="1" ht="12.75">
      <c r="A510" s="4"/>
      <c r="B510" s="29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29"/>
      <c r="N510" s="29"/>
      <c r="O510" s="29"/>
      <c r="P510" s="32"/>
      <c r="Q510" s="32"/>
      <c r="R510" s="4"/>
      <c r="S510" s="4"/>
      <c r="T510" s="4"/>
      <c r="U510" s="4"/>
      <c r="V510" s="4"/>
      <c r="W510" s="4"/>
      <c r="X510" s="4"/>
      <c r="Y510" s="4"/>
      <c r="Z510" s="4"/>
    </row>
    <row x14ac:dyDescent="0.25" r="511" customHeight="1" ht="12.75">
      <c r="A511" s="4"/>
      <c r="B511" s="29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29"/>
      <c r="N511" s="29"/>
      <c r="O511" s="29"/>
      <c r="P511" s="32"/>
      <c r="Q511" s="32"/>
      <c r="R511" s="4"/>
      <c r="S511" s="4"/>
      <c r="T511" s="4"/>
      <c r="U511" s="4"/>
      <c r="V511" s="4"/>
      <c r="W511" s="4"/>
      <c r="X511" s="4"/>
      <c r="Y511" s="4"/>
      <c r="Z511" s="4"/>
    </row>
    <row x14ac:dyDescent="0.25" r="512" customHeight="1" ht="12.75">
      <c r="A512" s="4"/>
      <c r="B512" s="29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29"/>
      <c r="N512" s="29"/>
      <c r="O512" s="29"/>
      <c r="P512" s="32"/>
      <c r="Q512" s="32"/>
      <c r="R512" s="4"/>
      <c r="S512" s="4"/>
      <c r="T512" s="4"/>
      <c r="U512" s="4"/>
      <c r="V512" s="4"/>
      <c r="W512" s="4"/>
      <c r="X512" s="4"/>
      <c r="Y512" s="4"/>
      <c r="Z512" s="4"/>
    </row>
    <row x14ac:dyDescent="0.25" r="513" customHeight="1" ht="12.75">
      <c r="A513" s="4"/>
      <c r="B513" s="29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29"/>
      <c r="N513" s="29"/>
      <c r="O513" s="29"/>
      <c r="P513" s="32"/>
      <c r="Q513" s="32"/>
      <c r="R513" s="4"/>
      <c r="S513" s="4"/>
      <c r="T513" s="4"/>
      <c r="U513" s="4"/>
      <c r="V513" s="4"/>
      <c r="W513" s="4"/>
      <c r="X513" s="4"/>
      <c r="Y513" s="4"/>
      <c r="Z513" s="4"/>
    </row>
    <row x14ac:dyDescent="0.25" r="514" customHeight="1" ht="12.75">
      <c r="A514" s="4"/>
      <c r="B514" s="29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29"/>
      <c r="N514" s="29"/>
      <c r="O514" s="29"/>
      <c r="P514" s="32"/>
      <c r="Q514" s="32"/>
      <c r="R514" s="4"/>
      <c r="S514" s="4"/>
      <c r="T514" s="4"/>
      <c r="U514" s="4"/>
      <c r="V514" s="4"/>
      <c r="W514" s="4"/>
      <c r="X514" s="4"/>
      <c r="Y514" s="4"/>
      <c r="Z514" s="4"/>
    </row>
    <row x14ac:dyDescent="0.25" r="515" customHeight="1" ht="12.75">
      <c r="A515" s="4"/>
      <c r="B515" s="29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29"/>
      <c r="N515" s="29"/>
      <c r="O515" s="29"/>
      <c r="P515" s="32"/>
      <c r="Q515" s="32"/>
      <c r="R515" s="4"/>
      <c r="S515" s="4"/>
      <c r="T515" s="4"/>
      <c r="U515" s="4"/>
      <c r="V515" s="4"/>
      <c r="W515" s="4"/>
      <c r="X515" s="4"/>
      <c r="Y515" s="4"/>
      <c r="Z515" s="4"/>
    </row>
    <row x14ac:dyDescent="0.25" r="516" customHeight="1" ht="12.75">
      <c r="A516" s="4"/>
      <c r="B516" s="29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29"/>
      <c r="N516" s="29"/>
      <c r="O516" s="29"/>
      <c r="P516" s="32"/>
      <c r="Q516" s="32"/>
      <c r="R516" s="4"/>
      <c r="S516" s="4"/>
      <c r="T516" s="4"/>
      <c r="U516" s="4"/>
      <c r="V516" s="4"/>
      <c r="W516" s="4"/>
      <c r="X516" s="4"/>
      <c r="Y516" s="4"/>
      <c r="Z516" s="4"/>
    </row>
    <row x14ac:dyDescent="0.25" r="517" customHeight="1" ht="12.75">
      <c r="A517" s="4"/>
      <c r="B517" s="29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29"/>
      <c r="N517" s="29"/>
      <c r="O517" s="29"/>
      <c r="P517" s="32"/>
      <c r="Q517" s="32"/>
      <c r="R517" s="4"/>
      <c r="S517" s="4"/>
      <c r="T517" s="4"/>
      <c r="U517" s="4"/>
      <c r="V517" s="4"/>
      <c r="W517" s="4"/>
      <c r="X517" s="4"/>
      <c r="Y517" s="4"/>
      <c r="Z517" s="4"/>
    </row>
    <row x14ac:dyDescent="0.25" r="518" customHeight="1" ht="12.75">
      <c r="A518" s="4"/>
      <c r="B518" s="29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29"/>
      <c r="N518" s="29"/>
      <c r="O518" s="29"/>
      <c r="P518" s="32"/>
      <c r="Q518" s="32"/>
      <c r="R518" s="4"/>
      <c r="S518" s="4"/>
      <c r="T518" s="4"/>
      <c r="U518" s="4"/>
      <c r="V518" s="4"/>
      <c r="W518" s="4"/>
      <c r="X518" s="4"/>
      <c r="Y518" s="4"/>
      <c r="Z518" s="4"/>
    </row>
    <row x14ac:dyDescent="0.25" r="519" customHeight="1" ht="12.75">
      <c r="A519" s="4"/>
      <c r="B519" s="29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29"/>
      <c r="N519" s="29"/>
      <c r="O519" s="29"/>
      <c r="P519" s="32"/>
      <c r="Q519" s="32"/>
      <c r="R519" s="4"/>
      <c r="S519" s="4"/>
      <c r="T519" s="4"/>
      <c r="U519" s="4"/>
      <c r="V519" s="4"/>
      <c r="W519" s="4"/>
      <c r="X519" s="4"/>
      <c r="Y519" s="4"/>
      <c r="Z519" s="4"/>
    </row>
    <row x14ac:dyDescent="0.25" r="520" customHeight="1" ht="12.75">
      <c r="A520" s="4"/>
      <c r="B520" s="29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29"/>
      <c r="N520" s="29"/>
      <c r="O520" s="29"/>
      <c r="P520" s="32"/>
      <c r="Q520" s="32"/>
      <c r="R520" s="4"/>
      <c r="S520" s="4"/>
      <c r="T520" s="4"/>
      <c r="U520" s="4"/>
      <c r="V520" s="4"/>
      <c r="W520" s="4"/>
      <c r="X520" s="4"/>
      <c r="Y520" s="4"/>
      <c r="Z520" s="4"/>
    </row>
    <row x14ac:dyDescent="0.25" r="521" customHeight="1" ht="12.75">
      <c r="A521" s="4"/>
      <c r="B521" s="29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29"/>
      <c r="N521" s="29"/>
      <c r="O521" s="29"/>
      <c r="P521" s="32"/>
      <c r="Q521" s="32"/>
      <c r="R521" s="4"/>
      <c r="S521" s="4"/>
      <c r="T521" s="4"/>
      <c r="U521" s="4"/>
      <c r="V521" s="4"/>
      <c r="W521" s="4"/>
      <c r="X521" s="4"/>
      <c r="Y521" s="4"/>
      <c r="Z521" s="4"/>
    </row>
    <row x14ac:dyDescent="0.25" r="522" customHeight="1" ht="12.75">
      <c r="A522" s="4"/>
      <c r="B522" s="29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29"/>
      <c r="N522" s="29"/>
      <c r="O522" s="29"/>
      <c r="P522" s="32"/>
      <c r="Q522" s="32"/>
      <c r="R522" s="4"/>
      <c r="S522" s="4"/>
      <c r="T522" s="4"/>
      <c r="U522" s="4"/>
      <c r="V522" s="4"/>
      <c r="W522" s="4"/>
      <c r="X522" s="4"/>
      <c r="Y522" s="4"/>
      <c r="Z522" s="4"/>
    </row>
    <row x14ac:dyDescent="0.25" r="523" customHeight="1" ht="12.75">
      <c r="A523" s="4"/>
      <c r="B523" s="29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29"/>
      <c r="N523" s="29"/>
      <c r="O523" s="29"/>
      <c r="P523" s="32"/>
      <c r="Q523" s="32"/>
      <c r="R523" s="4"/>
      <c r="S523" s="4"/>
      <c r="T523" s="4"/>
      <c r="U523" s="4"/>
      <c r="V523" s="4"/>
      <c r="W523" s="4"/>
      <c r="X523" s="4"/>
      <c r="Y523" s="4"/>
      <c r="Z523" s="4"/>
    </row>
    <row x14ac:dyDescent="0.25" r="524" customHeight="1" ht="12.75">
      <c r="A524" s="4"/>
      <c r="B524" s="29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29"/>
      <c r="N524" s="29"/>
      <c r="O524" s="29"/>
      <c r="P524" s="32"/>
      <c r="Q524" s="32"/>
      <c r="R524" s="4"/>
      <c r="S524" s="4"/>
      <c r="T524" s="4"/>
      <c r="U524" s="4"/>
      <c r="V524" s="4"/>
      <c r="W524" s="4"/>
      <c r="X524" s="4"/>
      <c r="Y524" s="4"/>
      <c r="Z524" s="4"/>
    </row>
    <row x14ac:dyDescent="0.25" r="525" customHeight="1" ht="12.75">
      <c r="A525" s="4"/>
      <c r="B525" s="29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29"/>
      <c r="N525" s="29"/>
      <c r="O525" s="29"/>
      <c r="P525" s="32"/>
      <c r="Q525" s="32"/>
      <c r="R525" s="4"/>
      <c r="S525" s="4"/>
      <c r="T525" s="4"/>
      <c r="U525" s="4"/>
      <c r="V525" s="4"/>
      <c r="W525" s="4"/>
      <c r="X525" s="4"/>
      <c r="Y525" s="4"/>
      <c r="Z525" s="4"/>
    </row>
    <row x14ac:dyDescent="0.25" r="526" customHeight="1" ht="12.75">
      <c r="A526" s="4"/>
      <c r="B526" s="29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29"/>
      <c r="N526" s="29"/>
      <c r="O526" s="29"/>
      <c r="P526" s="32"/>
      <c r="Q526" s="32"/>
      <c r="R526" s="4"/>
      <c r="S526" s="4"/>
      <c r="T526" s="4"/>
      <c r="U526" s="4"/>
      <c r="V526" s="4"/>
      <c r="W526" s="4"/>
      <c r="X526" s="4"/>
      <c r="Y526" s="4"/>
      <c r="Z526" s="4"/>
    </row>
    <row x14ac:dyDescent="0.25" r="527" customHeight="1" ht="12.75">
      <c r="A527" s="4"/>
      <c r="B527" s="29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29"/>
      <c r="N527" s="29"/>
      <c r="O527" s="29"/>
      <c r="P527" s="32"/>
      <c r="Q527" s="32"/>
      <c r="R527" s="4"/>
      <c r="S527" s="4"/>
      <c r="T527" s="4"/>
      <c r="U527" s="4"/>
      <c r="V527" s="4"/>
      <c r="W527" s="4"/>
      <c r="X527" s="4"/>
      <c r="Y527" s="4"/>
      <c r="Z527" s="4"/>
    </row>
    <row x14ac:dyDescent="0.25" r="528" customHeight="1" ht="12.75">
      <c r="A528" s="4"/>
      <c r="B528" s="29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29"/>
      <c r="N528" s="29"/>
      <c r="O528" s="29"/>
      <c r="P528" s="32"/>
      <c r="Q528" s="32"/>
      <c r="R528" s="4"/>
      <c r="S528" s="4"/>
      <c r="T528" s="4"/>
      <c r="U528" s="4"/>
      <c r="V528" s="4"/>
      <c r="W528" s="4"/>
      <c r="X528" s="4"/>
      <c r="Y528" s="4"/>
      <c r="Z528" s="4"/>
    </row>
    <row x14ac:dyDescent="0.25" r="529" customHeight="1" ht="12.75">
      <c r="A529" s="4"/>
      <c r="B529" s="29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29"/>
      <c r="N529" s="29"/>
      <c r="O529" s="29"/>
      <c r="P529" s="32"/>
      <c r="Q529" s="32"/>
      <c r="R529" s="4"/>
      <c r="S529" s="4"/>
      <c r="T529" s="4"/>
      <c r="U529" s="4"/>
      <c r="V529" s="4"/>
      <c r="W529" s="4"/>
      <c r="X529" s="4"/>
      <c r="Y529" s="4"/>
      <c r="Z529" s="4"/>
    </row>
    <row x14ac:dyDescent="0.25" r="530" customHeight="1" ht="12.75">
      <c r="A530" s="4"/>
      <c r="B530" s="29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29"/>
      <c r="N530" s="29"/>
      <c r="O530" s="29"/>
      <c r="P530" s="32"/>
      <c r="Q530" s="32"/>
      <c r="R530" s="4"/>
      <c r="S530" s="4"/>
      <c r="T530" s="4"/>
      <c r="U530" s="4"/>
      <c r="V530" s="4"/>
      <c r="W530" s="4"/>
      <c r="X530" s="4"/>
      <c r="Y530" s="4"/>
      <c r="Z530" s="4"/>
    </row>
    <row x14ac:dyDescent="0.25" r="531" customHeight="1" ht="12.75">
      <c r="A531" s="4"/>
      <c r="B531" s="29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29"/>
      <c r="N531" s="29"/>
      <c r="O531" s="29"/>
      <c r="P531" s="32"/>
      <c r="Q531" s="32"/>
      <c r="R531" s="4"/>
      <c r="S531" s="4"/>
      <c r="T531" s="4"/>
      <c r="U531" s="4"/>
      <c r="V531" s="4"/>
      <c r="W531" s="4"/>
      <c r="X531" s="4"/>
      <c r="Y531" s="4"/>
      <c r="Z531" s="4"/>
    </row>
    <row x14ac:dyDescent="0.25" r="532" customHeight="1" ht="12.75">
      <c r="A532" s="4"/>
      <c r="B532" s="29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29"/>
      <c r="N532" s="29"/>
      <c r="O532" s="29"/>
      <c r="P532" s="32"/>
      <c r="Q532" s="32"/>
      <c r="R532" s="4"/>
      <c r="S532" s="4"/>
      <c r="T532" s="4"/>
      <c r="U532" s="4"/>
      <c r="V532" s="4"/>
      <c r="W532" s="4"/>
      <c r="X532" s="4"/>
      <c r="Y532" s="4"/>
      <c r="Z532" s="4"/>
    </row>
    <row x14ac:dyDescent="0.25" r="533" customHeight="1" ht="12.75">
      <c r="A533" s="4"/>
      <c r="B533" s="29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29"/>
      <c r="N533" s="29"/>
      <c r="O533" s="29"/>
      <c r="P533" s="32"/>
      <c r="Q533" s="32"/>
      <c r="R533" s="4"/>
      <c r="S533" s="4"/>
      <c r="T533" s="4"/>
      <c r="U533" s="4"/>
      <c r="V533" s="4"/>
      <c r="W533" s="4"/>
      <c r="X533" s="4"/>
      <c r="Y533" s="4"/>
      <c r="Z533" s="4"/>
    </row>
    <row x14ac:dyDescent="0.25" r="534" customHeight="1" ht="12.75">
      <c r="A534" s="4"/>
      <c r="B534" s="29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29"/>
      <c r="N534" s="29"/>
      <c r="O534" s="29"/>
      <c r="P534" s="32"/>
      <c r="Q534" s="32"/>
      <c r="R534" s="4"/>
      <c r="S534" s="4"/>
      <c r="T534" s="4"/>
      <c r="U534" s="4"/>
      <c r="V534" s="4"/>
      <c r="W534" s="4"/>
      <c r="X534" s="4"/>
      <c r="Y534" s="4"/>
      <c r="Z534" s="4"/>
    </row>
    <row x14ac:dyDescent="0.25" r="535" customHeight="1" ht="12.75">
      <c r="A535" s="4"/>
      <c r="B535" s="29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29"/>
      <c r="N535" s="29"/>
      <c r="O535" s="29"/>
      <c r="P535" s="32"/>
      <c r="Q535" s="32"/>
      <c r="R535" s="4"/>
      <c r="S535" s="4"/>
      <c r="T535" s="4"/>
      <c r="U535" s="4"/>
      <c r="V535" s="4"/>
      <c r="W535" s="4"/>
      <c r="X535" s="4"/>
      <c r="Y535" s="4"/>
      <c r="Z535" s="4"/>
    </row>
    <row x14ac:dyDescent="0.25" r="536" customHeight="1" ht="12.75">
      <c r="A536" s="4"/>
      <c r="B536" s="29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29"/>
      <c r="N536" s="29"/>
      <c r="O536" s="29"/>
      <c r="P536" s="32"/>
      <c r="Q536" s="32"/>
      <c r="R536" s="4"/>
      <c r="S536" s="4"/>
      <c r="T536" s="4"/>
      <c r="U536" s="4"/>
      <c r="V536" s="4"/>
      <c r="W536" s="4"/>
      <c r="X536" s="4"/>
      <c r="Y536" s="4"/>
      <c r="Z536" s="4"/>
    </row>
    <row x14ac:dyDescent="0.25" r="537" customHeight="1" ht="12.75">
      <c r="A537" s="4"/>
      <c r="B537" s="29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29"/>
      <c r="N537" s="29"/>
      <c r="O537" s="29"/>
      <c r="P537" s="32"/>
      <c r="Q537" s="32"/>
      <c r="R537" s="4"/>
      <c r="S537" s="4"/>
      <c r="T537" s="4"/>
      <c r="U537" s="4"/>
      <c r="V537" s="4"/>
      <c r="W537" s="4"/>
      <c r="X537" s="4"/>
      <c r="Y537" s="4"/>
      <c r="Z537" s="4"/>
    </row>
    <row x14ac:dyDescent="0.25" r="538" customHeight="1" ht="12.75">
      <c r="A538" s="4"/>
      <c r="B538" s="29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29"/>
      <c r="N538" s="29"/>
      <c r="O538" s="29"/>
      <c r="P538" s="32"/>
      <c r="Q538" s="32"/>
      <c r="R538" s="4"/>
      <c r="S538" s="4"/>
      <c r="T538" s="4"/>
      <c r="U538" s="4"/>
      <c r="V538" s="4"/>
      <c r="W538" s="4"/>
      <c r="X538" s="4"/>
      <c r="Y538" s="4"/>
      <c r="Z538" s="4"/>
    </row>
    <row x14ac:dyDescent="0.25" r="539" customHeight="1" ht="12.75">
      <c r="A539" s="4"/>
      <c r="B539" s="29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29"/>
      <c r="N539" s="29"/>
      <c r="O539" s="29"/>
      <c r="P539" s="32"/>
      <c r="Q539" s="32"/>
      <c r="R539" s="4"/>
      <c r="S539" s="4"/>
      <c r="T539" s="4"/>
      <c r="U539" s="4"/>
      <c r="V539" s="4"/>
      <c r="W539" s="4"/>
      <c r="X539" s="4"/>
      <c r="Y539" s="4"/>
      <c r="Z539" s="4"/>
    </row>
    <row x14ac:dyDescent="0.25" r="540" customHeight="1" ht="12.75">
      <c r="A540" s="4"/>
      <c r="B540" s="29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29"/>
      <c r="N540" s="29"/>
      <c r="O540" s="29"/>
      <c r="P540" s="32"/>
      <c r="Q540" s="32"/>
      <c r="R540" s="4"/>
      <c r="S540" s="4"/>
      <c r="T540" s="4"/>
      <c r="U540" s="4"/>
      <c r="V540" s="4"/>
      <c r="W540" s="4"/>
      <c r="X540" s="4"/>
      <c r="Y540" s="4"/>
      <c r="Z540" s="4"/>
    </row>
    <row x14ac:dyDescent="0.25" r="541" customHeight="1" ht="12.75">
      <c r="A541" s="4"/>
      <c r="B541" s="29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29"/>
      <c r="N541" s="29"/>
      <c r="O541" s="29"/>
      <c r="P541" s="32"/>
      <c r="Q541" s="32"/>
      <c r="R541" s="4"/>
      <c r="S541" s="4"/>
      <c r="T541" s="4"/>
      <c r="U541" s="4"/>
      <c r="V541" s="4"/>
      <c r="W541" s="4"/>
      <c r="X541" s="4"/>
      <c r="Y541" s="4"/>
      <c r="Z541" s="4"/>
    </row>
    <row x14ac:dyDescent="0.25" r="542" customHeight="1" ht="12.75">
      <c r="A542" s="4"/>
      <c r="B542" s="29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29"/>
      <c r="N542" s="29"/>
      <c r="O542" s="29"/>
      <c r="P542" s="32"/>
      <c r="Q542" s="32"/>
      <c r="R542" s="4"/>
      <c r="S542" s="4"/>
      <c r="T542" s="4"/>
      <c r="U542" s="4"/>
      <c r="V542" s="4"/>
      <c r="W542" s="4"/>
      <c r="X542" s="4"/>
      <c r="Y542" s="4"/>
      <c r="Z542" s="4"/>
    </row>
    <row x14ac:dyDescent="0.25" r="543" customHeight="1" ht="12.75">
      <c r="A543" s="4"/>
      <c r="B543" s="29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29"/>
      <c r="N543" s="29"/>
      <c r="O543" s="29"/>
      <c r="P543" s="32"/>
      <c r="Q543" s="32"/>
      <c r="R543" s="4"/>
      <c r="S543" s="4"/>
      <c r="T543" s="4"/>
      <c r="U543" s="4"/>
      <c r="V543" s="4"/>
      <c r="W543" s="4"/>
      <c r="X543" s="4"/>
      <c r="Y543" s="4"/>
      <c r="Z543" s="4"/>
    </row>
    <row x14ac:dyDescent="0.25" r="544" customHeight="1" ht="12.75">
      <c r="A544" s="4"/>
      <c r="B544" s="29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29"/>
      <c r="N544" s="29"/>
      <c r="O544" s="29"/>
      <c r="P544" s="32"/>
      <c r="Q544" s="32"/>
      <c r="R544" s="4"/>
      <c r="S544" s="4"/>
      <c r="T544" s="4"/>
      <c r="U544" s="4"/>
      <c r="V544" s="4"/>
      <c r="W544" s="4"/>
      <c r="X544" s="4"/>
      <c r="Y544" s="4"/>
      <c r="Z544" s="4"/>
    </row>
    <row x14ac:dyDescent="0.25" r="545" customHeight="1" ht="12.75">
      <c r="A545" s="4"/>
      <c r="B545" s="29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29"/>
      <c r="N545" s="29"/>
      <c r="O545" s="29"/>
      <c r="P545" s="32"/>
      <c r="Q545" s="32"/>
      <c r="R545" s="4"/>
      <c r="S545" s="4"/>
      <c r="T545" s="4"/>
      <c r="U545" s="4"/>
      <c r="V545" s="4"/>
      <c r="W545" s="4"/>
      <c r="X545" s="4"/>
      <c r="Y545" s="4"/>
      <c r="Z545" s="4"/>
    </row>
    <row x14ac:dyDescent="0.25" r="546" customHeight="1" ht="12.75">
      <c r="A546" s="4"/>
      <c r="B546" s="29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29"/>
      <c r="N546" s="29"/>
      <c r="O546" s="29"/>
      <c r="P546" s="32"/>
      <c r="Q546" s="32"/>
      <c r="R546" s="4"/>
      <c r="S546" s="4"/>
      <c r="T546" s="4"/>
      <c r="U546" s="4"/>
      <c r="V546" s="4"/>
      <c r="W546" s="4"/>
      <c r="X546" s="4"/>
      <c r="Y546" s="4"/>
      <c r="Z546" s="4"/>
    </row>
    <row x14ac:dyDescent="0.25" r="547" customHeight="1" ht="12.75">
      <c r="A547" s="4"/>
      <c r="B547" s="29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29"/>
      <c r="N547" s="29"/>
      <c r="O547" s="29"/>
      <c r="P547" s="32"/>
      <c r="Q547" s="32"/>
      <c r="R547" s="4"/>
      <c r="S547" s="4"/>
      <c r="T547" s="4"/>
      <c r="U547" s="4"/>
      <c r="V547" s="4"/>
      <c r="W547" s="4"/>
      <c r="X547" s="4"/>
      <c r="Y547" s="4"/>
      <c r="Z547" s="4"/>
    </row>
    <row x14ac:dyDescent="0.25" r="548" customHeight="1" ht="12.75">
      <c r="A548" s="4"/>
      <c r="B548" s="29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29"/>
      <c r="N548" s="29"/>
      <c r="O548" s="29"/>
      <c r="P548" s="32"/>
      <c r="Q548" s="32"/>
      <c r="R548" s="4"/>
      <c r="S548" s="4"/>
      <c r="T548" s="4"/>
      <c r="U548" s="4"/>
      <c r="V548" s="4"/>
      <c r="W548" s="4"/>
      <c r="X548" s="4"/>
      <c r="Y548" s="4"/>
      <c r="Z548" s="4"/>
    </row>
    <row x14ac:dyDescent="0.25" r="549" customHeight="1" ht="12.75">
      <c r="A549" s="4"/>
      <c r="B549" s="29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29"/>
      <c r="N549" s="29"/>
      <c r="O549" s="29"/>
      <c r="P549" s="32"/>
      <c r="Q549" s="32"/>
      <c r="R549" s="4"/>
      <c r="S549" s="4"/>
      <c r="T549" s="4"/>
      <c r="U549" s="4"/>
      <c r="V549" s="4"/>
      <c r="W549" s="4"/>
      <c r="X549" s="4"/>
      <c r="Y549" s="4"/>
      <c r="Z549" s="4"/>
    </row>
    <row x14ac:dyDescent="0.25" r="550" customHeight="1" ht="12.75">
      <c r="A550" s="4"/>
      <c r="B550" s="29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29"/>
      <c r="N550" s="29"/>
      <c r="O550" s="29"/>
      <c r="P550" s="32"/>
      <c r="Q550" s="32"/>
      <c r="R550" s="4"/>
      <c r="S550" s="4"/>
      <c r="T550" s="4"/>
      <c r="U550" s="4"/>
      <c r="V550" s="4"/>
      <c r="W550" s="4"/>
      <c r="X550" s="4"/>
      <c r="Y550" s="4"/>
      <c r="Z550" s="4"/>
    </row>
    <row x14ac:dyDescent="0.25" r="551" customHeight="1" ht="12.75">
      <c r="A551" s="4"/>
      <c r="B551" s="29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29"/>
      <c r="N551" s="29"/>
      <c r="O551" s="29"/>
      <c r="P551" s="32"/>
      <c r="Q551" s="32"/>
      <c r="R551" s="4"/>
      <c r="S551" s="4"/>
      <c r="T551" s="4"/>
      <c r="U551" s="4"/>
      <c r="V551" s="4"/>
      <c r="W551" s="4"/>
      <c r="X551" s="4"/>
      <c r="Y551" s="4"/>
      <c r="Z551" s="4"/>
    </row>
    <row x14ac:dyDescent="0.25" r="552" customHeight="1" ht="12.75">
      <c r="A552" s="4"/>
      <c r="B552" s="29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29"/>
      <c r="N552" s="29"/>
      <c r="O552" s="29"/>
      <c r="P552" s="32"/>
      <c r="Q552" s="32"/>
      <c r="R552" s="4"/>
      <c r="S552" s="4"/>
      <c r="T552" s="4"/>
      <c r="U552" s="4"/>
      <c r="V552" s="4"/>
      <c r="W552" s="4"/>
      <c r="X552" s="4"/>
      <c r="Y552" s="4"/>
      <c r="Z552" s="4"/>
    </row>
    <row x14ac:dyDescent="0.25" r="553" customHeight="1" ht="12.75">
      <c r="A553" s="4"/>
      <c r="B553" s="29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29"/>
      <c r="N553" s="29"/>
      <c r="O553" s="29"/>
      <c r="P553" s="32"/>
      <c r="Q553" s="32"/>
      <c r="R553" s="4"/>
      <c r="S553" s="4"/>
      <c r="T553" s="4"/>
      <c r="U553" s="4"/>
      <c r="V553" s="4"/>
      <c r="W553" s="4"/>
      <c r="X553" s="4"/>
      <c r="Y553" s="4"/>
      <c r="Z553" s="4"/>
    </row>
    <row x14ac:dyDescent="0.25" r="554" customHeight="1" ht="12.75">
      <c r="A554" s="4"/>
      <c r="B554" s="29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29"/>
      <c r="N554" s="29"/>
      <c r="O554" s="29"/>
      <c r="P554" s="32"/>
      <c r="Q554" s="32"/>
      <c r="R554" s="4"/>
      <c r="S554" s="4"/>
      <c r="T554" s="4"/>
      <c r="U554" s="4"/>
      <c r="V554" s="4"/>
      <c r="W554" s="4"/>
      <c r="X554" s="4"/>
      <c r="Y554" s="4"/>
      <c r="Z554" s="4"/>
    </row>
    <row x14ac:dyDescent="0.25" r="555" customHeight="1" ht="12.75">
      <c r="A555" s="4"/>
      <c r="B555" s="29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29"/>
      <c r="N555" s="29"/>
      <c r="O555" s="29"/>
      <c r="P555" s="32"/>
      <c r="Q555" s="32"/>
      <c r="R555" s="4"/>
      <c r="S555" s="4"/>
      <c r="T555" s="4"/>
      <c r="U555" s="4"/>
      <c r="V555" s="4"/>
      <c r="W555" s="4"/>
      <c r="X555" s="4"/>
      <c r="Y555" s="4"/>
      <c r="Z555" s="4"/>
    </row>
    <row x14ac:dyDescent="0.25" r="556" customHeight="1" ht="12.75">
      <c r="A556" s="4"/>
      <c r="B556" s="29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29"/>
      <c r="N556" s="29"/>
      <c r="O556" s="29"/>
      <c r="P556" s="32"/>
      <c r="Q556" s="32"/>
      <c r="R556" s="4"/>
      <c r="S556" s="4"/>
      <c r="T556" s="4"/>
      <c r="U556" s="4"/>
      <c r="V556" s="4"/>
      <c r="W556" s="4"/>
      <c r="X556" s="4"/>
      <c r="Y556" s="4"/>
      <c r="Z556" s="4"/>
    </row>
    <row x14ac:dyDescent="0.25" r="557" customHeight="1" ht="12.75">
      <c r="A557" s="4"/>
      <c r="B557" s="29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29"/>
      <c r="N557" s="29"/>
      <c r="O557" s="29"/>
      <c r="P557" s="32"/>
      <c r="Q557" s="32"/>
      <c r="R557" s="4"/>
      <c r="S557" s="4"/>
      <c r="T557" s="4"/>
      <c r="U557" s="4"/>
      <c r="V557" s="4"/>
      <c r="W557" s="4"/>
      <c r="X557" s="4"/>
      <c r="Y557" s="4"/>
      <c r="Z557" s="4"/>
    </row>
    <row x14ac:dyDescent="0.25" r="558" customHeight="1" ht="12.75">
      <c r="A558" s="4"/>
      <c r="B558" s="29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29"/>
      <c r="N558" s="29"/>
      <c r="O558" s="29"/>
      <c r="P558" s="32"/>
      <c r="Q558" s="32"/>
      <c r="R558" s="4"/>
      <c r="S558" s="4"/>
      <c r="T558" s="4"/>
      <c r="U558" s="4"/>
      <c r="V558" s="4"/>
      <c r="W558" s="4"/>
      <c r="X558" s="4"/>
      <c r="Y558" s="4"/>
      <c r="Z558" s="4"/>
    </row>
    <row x14ac:dyDescent="0.25" r="559" customHeight="1" ht="12.75">
      <c r="A559" s="4"/>
      <c r="B559" s="29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29"/>
      <c r="N559" s="29"/>
      <c r="O559" s="29"/>
      <c r="P559" s="32"/>
      <c r="Q559" s="32"/>
      <c r="R559" s="4"/>
      <c r="S559" s="4"/>
      <c r="T559" s="4"/>
      <c r="U559" s="4"/>
      <c r="V559" s="4"/>
      <c r="W559" s="4"/>
      <c r="X559" s="4"/>
      <c r="Y559" s="4"/>
      <c r="Z559" s="4"/>
    </row>
    <row x14ac:dyDescent="0.25" r="560" customHeight="1" ht="12.75">
      <c r="A560" s="4"/>
      <c r="B560" s="29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29"/>
      <c r="N560" s="29"/>
      <c r="O560" s="29"/>
      <c r="P560" s="32"/>
      <c r="Q560" s="32"/>
      <c r="R560" s="4"/>
      <c r="S560" s="4"/>
      <c r="T560" s="4"/>
      <c r="U560" s="4"/>
      <c r="V560" s="4"/>
      <c r="W560" s="4"/>
      <c r="X560" s="4"/>
      <c r="Y560" s="4"/>
      <c r="Z560" s="4"/>
    </row>
    <row x14ac:dyDescent="0.25" r="561" customHeight="1" ht="12.75">
      <c r="A561" s="4"/>
      <c r="B561" s="29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29"/>
      <c r="N561" s="29"/>
      <c r="O561" s="29"/>
      <c r="P561" s="32"/>
      <c r="Q561" s="32"/>
      <c r="R561" s="4"/>
      <c r="S561" s="4"/>
      <c r="T561" s="4"/>
      <c r="U561" s="4"/>
      <c r="V561" s="4"/>
      <c r="W561" s="4"/>
      <c r="X561" s="4"/>
      <c r="Y561" s="4"/>
      <c r="Z561" s="4"/>
    </row>
    <row x14ac:dyDescent="0.25" r="562" customHeight="1" ht="12.75">
      <c r="A562" s="4"/>
      <c r="B562" s="29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29"/>
      <c r="N562" s="29"/>
      <c r="O562" s="29"/>
      <c r="P562" s="32"/>
      <c r="Q562" s="32"/>
      <c r="R562" s="4"/>
      <c r="S562" s="4"/>
      <c r="T562" s="4"/>
      <c r="U562" s="4"/>
      <c r="V562" s="4"/>
      <c r="W562" s="4"/>
      <c r="X562" s="4"/>
      <c r="Y562" s="4"/>
      <c r="Z562" s="4"/>
    </row>
    <row x14ac:dyDescent="0.25" r="563" customHeight="1" ht="12.75">
      <c r="A563" s="4"/>
      <c r="B563" s="29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29"/>
      <c r="N563" s="29"/>
      <c r="O563" s="29"/>
      <c r="P563" s="32"/>
      <c r="Q563" s="32"/>
      <c r="R563" s="4"/>
      <c r="S563" s="4"/>
      <c r="T563" s="4"/>
      <c r="U563" s="4"/>
      <c r="V563" s="4"/>
      <c r="W563" s="4"/>
      <c r="X563" s="4"/>
      <c r="Y563" s="4"/>
      <c r="Z563" s="4"/>
    </row>
    <row x14ac:dyDescent="0.25" r="564" customHeight="1" ht="12.75">
      <c r="A564" s="4"/>
      <c r="B564" s="29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29"/>
      <c r="N564" s="29"/>
      <c r="O564" s="29"/>
      <c r="P564" s="32"/>
      <c r="Q564" s="32"/>
      <c r="R564" s="4"/>
      <c r="S564" s="4"/>
      <c r="T564" s="4"/>
      <c r="U564" s="4"/>
      <c r="V564" s="4"/>
      <c r="W564" s="4"/>
      <c r="X564" s="4"/>
      <c r="Y564" s="4"/>
      <c r="Z564" s="4"/>
    </row>
    <row x14ac:dyDescent="0.25" r="565" customHeight="1" ht="12.75">
      <c r="A565" s="4"/>
      <c r="B565" s="29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29"/>
      <c r="N565" s="29"/>
      <c r="O565" s="29"/>
      <c r="P565" s="32"/>
      <c r="Q565" s="32"/>
      <c r="R565" s="4"/>
      <c r="S565" s="4"/>
      <c r="T565" s="4"/>
      <c r="U565" s="4"/>
      <c r="V565" s="4"/>
      <c r="W565" s="4"/>
      <c r="X565" s="4"/>
      <c r="Y565" s="4"/>
      <c r="Z565" s="4"/>
    </row>
    <row x14ac:dyDescent="0.25" r="566" customHeight="1" ht="12.75">
      <c r="A566" s="4"/>
      <c r="B566" s="29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29"/>
      <c r="N566" s="29"/>
      <c r="O566" s="29"/>
      <c r="P566" s="32"/>
      <c r="Q566" s="32"/>
      <c r="R566" s="4"/>
      <c r="S566" s="4"/>
      <c r="T566" s="4"/>
      <c r="U566" s="4"/>
      <c r="V566" s="4"/>
      <c r="W566" s="4"/>
      <c r="X566" s="4"/>
      <c r="Y566" s="4"/>
      <c r="Z566" s="4"/>
    </row>
    <row x14ac:dyDescent="0.25" r="567" customHeight="1" ht="12.75">
      <c r="A567" s="4"/>
      <c r="B567" s="29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29"/>
      <c r="N567" s="29"/>
      <c r="O567" s="29"/>
      <c r="P567" s="32"/>
      <c r="Q567" s="32"/>
      <c r="R567" s="4"/>
      <c r="S567" s="4"/>
      <c r="T567" s="4"/>
      <c r="U567" s="4"/>
      <c r="V567" s="4"/>
      <c r="W567" s="4"/>
      <c r="X567" s="4"/>
      <c r="Y567" s="4"/>
      <c r="Z567" s="4"/>
    </row>
    <row x14ac:dyDescent="0.25" r="568" customHeight="1" ht="12.75">
      <c r="A568" s="4"/>
      <c r="B568" s="29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29"/>
      <c r="N568" s="29"/>
      <c r="O568" s="29"/>
      <c r="P568" s="32"/>
      <c r="Q568" s="32"/>
      <c r="R568" s="4"/>
      <c r="S568" s="4"/>
      <c r="T568" s="4"/>
      <c r="U568" s="4"/>
      <c r="V568" s="4"/>
      <c r="W568" s="4"/>
      <c r="X568" s="4"/>
      <c r="Y568" s="4"/>
      <c r="Z568" s="4"/>
    </row>
    <row x14ac:dyDescent="0.25" r="569" customHeight="1" ht="12.75">
      <c r="A569" s="4"/>
      <c r="B569" s="29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29"/>
      <c r="N569" s="29"/>
      <c r="O569" s="29"/>
      <c r="P569" s="32"/>
      <c r="Q569" s="32"/>
      <c r="R569" s="4"/>
      <c r="S569" s="4"/>
      <c r="T569" s="4"/>
      <c r="U569" s="4"/>
      <c r="V569" s="4"/>
      <c r="W569" s="4"/>
      <c r="X569" s="4"/>
      <c r="Y569" s="4"/>
      <c r="Z569" s="4"/>
    </row>
    <row x14ac:dyDescent="0.25" r="570" customHeight="1" ht="12.75">
      <c r="A570" s="4"/>
      <c r="B570" s="29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29"/>
      <c r="N570" s="29"/>
      <c r="O570" s="29"/>
      <c r="P570" s="32"/>
      <c r="Q570" s="32"/>
      <c r="R570" s="4"/>
      <c r="S570" s="4"/>
      <c r="T570" s="4"/>
      <c r="U570" s="4"/>
      <c r="V570" s="4"/>
      <c r="W570" s="4"/>
      <c r="X570" s="4"/>
      <c r="Y570" s="4"/>
      <c r="Z570" s="4"/>
    </row>
    <row x14ac:dyDescent="0.25" r="571" customHeight="1" ht="12.75">
      <c r="A571" s="4"/>
      <c r="B571" s="29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29"/>
      <c r="N571" s="29"/>
      <c r="O571" s="29"/>
      <c r="P571" s="32"/>
      <c r="Q571" s="32"/>
      <c r="R571" s="4"/>
      <c r="S571" s="4"/>
      <c r="T571" s="4"/>
      <c r="U571" s="4"/>
      <c r="V571" s="4"/>
      <c r="W571" s="4"/>
      <c r="X571" s="4"/>
      <c r="Y571" s="4"/>
      <c r="Z571" s="4"/>
    </row>
    <row x14ac:dyDescent="0.25" r="572" customHeight="1" ht="12.75">
      <c r="A572" s="4"/>
      <c r="B572" s="29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29"/>
      <c r="N572" s="29"/>
      <c r="O572" s="29"/>
      <c r="P572" s="32"/>
      <c r="Q572" s="32"/>
      <c r="R572" s="4"/>
      <c r="S572" s="4"/>
      <c r="T572" s="4"/>
      <c r="U572" s="4"/>
      <c r="V572" s="4"/>
      <c r="W572" s="4"/>
      <c r="X572" s="4"/>
      <c r="Y572" s="4"/>
      <c r="Z572" s="4"/>
    </row>
    <row x14ac:dyDescent="0.25" r="573" customHeight="1" ht="12.75">
      <c r="A573" s="4"/>
      <c r="B573" s="29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29"/>
      <c r="N573" s="29"/>
      <c r="O573" s="29"/>
      <c r="P573" s="32"/>
      <c r="Q573" s="32"/>
      <c r="R573" s="4"/>
      <c r="S573" s="4"/>
      <c r="T573" s="4"/>
      <c r="U573" s="4"/>
      <c r="V573" s="4"/>
      <c r="W573" s="4"/>
      <c r="X573" s="4"/>
      <c r="Y573" s="4"/>
      <c r="Z573" s="4"/>
    </row>
    <row x14ac:dyDescent="0.25" r="574" customHeight="1" ht="12.75">
      <c r="A574" s="4"/>
      <c r="B574" s="29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29"/>
      <c r="N574" s="29"/>
      <c r="O574" s="29"/>
      <c r="P574" s="32"/>
      <c r="Q574" s="32"/>
      <c r="R574" s="4"/>
      <c r="S574" s="4"/>
      <c r="T574" s="4"/>
      <c r="U574" s="4"/>
      <c r="V574" s="4"/>
      <c r="W574" s="4"/>
      <c r="X574" s="4"/>
      <c r="Y574" s="4"/>
      <c r="Z574" s="4"/>
    </row>
    <row x14ac:dyDescent="0.25" r="575" customHeight="1" ht="12.75">
      <c r="A575" s="4"/>
      <c r="B575" s="29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29"/>
      <c r="N575" s="29"/>
      <c r="O575" s="29"/>
      <c r="P575" s="32"/>
      <c r="Q575" s="32"/>
      <c r="R575" s="4"/>
      <c r="S575" s="4"/>
      <c r="T575" s="4"/>
      <c r="U575" s="4"/>
      <c r="V575" s="4"/>
      <c r="W575" s="4"/>
      <c r="X575" s="4"/>
      <c r="Y575" s="4"/>
      <c r="Z575" s="4"/>
    </row>
    <row x14ac:dyDescent="0.25" r="576" customHeight="1" ht="12.75">
      <c r="A576" s="4"/>
      <c r="B576" s="29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29"/>
      <c r="N576" s="29"/>
      <c r="O576" s="29"/>
      <c r="P576" s="32"/>
      <c r="Q576" s="32"/>
      <c r="R576" s="4"/>
      <c r="S576" s="4"/>
      <c r="T576" s="4"/>
      <c r="U576" s="4"/>
      <c r="V576" s="4"/>
      <c r="W576" s="4"/>
      <c r="X576" s="4"/>
      <c r="Y576" s="4"/>
      <c r="Z576" s="4"/>
    </row>
    <row x14ac:dyDescent="0.25" r="577" customHeight="1" ht="12.75">
      <c r="A577" s="4"/>
      <c r="B577" s="29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29"/>
      <c r="N577" s="29"/>
      <c r="O577" s="29"/>
      <c r="P577" s="32"/>
      <c r="Q577" s="32"/>
      <c r="R577" s="4"/>
      <c r="S577" s="4"/>
      <c r="T577" s="4"/>
      <c r="U577" s="4"/>
      <c r="V577" s="4"/>
      <c r="W577" s="4"/>
      <c r="X577" s="4"/>
      <c r="Y577" s="4"/>
      <c r="Z577" s="4"/>
    </row>
    <row x14ac:dyDescent="0.25" r="578" customHeight="1" ht="12.75">
      <c r="A578" s="4"/>
      <c r="B578" s="29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29"/>
      <c r="N578" s="29"/>
      <c r="O578" s="29"/>
      <c r="P578" s="32"/>
      <c r="Q578" s="32"/>
      <c r="R578" s="4"/>
      <c r="S578" s="4"/>
      <c r="T578" s="4"/>
      <c r="U578" s="4"/>
      <c r="V578" s="4"/>
      <c r="W578" s="4"/>
      <c r="X578" s="4"/>
      <c r="Y578" s="4"/>
      <c r="Z578" s="4"/>
    </row>
    <row x14ac:dyDescent="0.25" r="579" customHeight="1" ht="12.75">
      <c r="A579" s="4"/>
      <c r="B579" s="29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29"/>
      <c r="N579" s="29"/>
      <c r="O579" s="29"/>
      <c r="P579" s="32"/>
      <c r="Q579" s="32"/>
      <c r="R579" s="4"/>
      <c r="S579" s="4"/>
      <c r="T579" s="4"/>
      <c r="U579" s="4"/>
      <c r="V579" s="4"/>
      <c r="W579" s="4"/>
      <c r="X579" s="4"/>
      <c r="Y579" s="4"/>
      <c r="Z579" s="4"/>
    </row>
    <row x14ac:dyDescent="0.25" r="580" customHeight="1" ht="12.75">
      <c r="A580" s="4"/>
      <c r="B580" s="29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29"/>
      <c r="N580" s="29"/>
      <c r="O580" s="29"/>
      <c r="P580" s="32"/>
      <c r="Q580" s="32"/>
      <c r="R580" s="4"/>
      <c r="S580" s="4"/>
      <c r="T580" s="4"/>
      <c r="U580" s="4"/>
      <c r="V580" s="4"/>
      <c r="W580" s="4"/>
      <c r="X580" s="4"/>
      <c r="Y580" s="4"/>
      <c r="Z580" s="4"/>
    </row>
    <row x14ac:dyDescent="0.25" r="581" customHeight="1" ht="12.75">
      <c r="A581" s="4"/>
      <c r="B581" s="29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29"/>
      <c r="N581" s="29"/>
      <c r="O581" s="29"/>
      <c r="P581" s="32"/>
      <c r="Q581" s="32"/>
      <c r="R581" s="4"/>
      <c r="S581" s="4"/>
      <c r="T581" s="4"/>
      <c r="U581" s="4"/>
      <c r="V581" s="4"/>
      <c r="W581" s="4"/>
      <c r="X581" s="4"/>
      <c r="Y581" s="4"/>
      <c r="Z581" s="4"/>
    </row>
    <row x14ac:dyDescent="0.25" r="582" customHeight="1" ht="12.75">
      <c r="A582" s="4"/>
      <c r="B582" s="29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29"/>
      <c r="N582" s="29"/>
      <c r="O582" s="29"/>
      <c r="P582" s="32"/>
      <c r="Q582" s="32"/>
      <c r="R582" s="4"/>
      <c r="S582" s="4"/>
      <c r="T582" s="4"/>
      <c r="U582" s="4"/>
      <c r="V582" s="4"/>
      <c r="W582" s="4"/>
      <c r="X582" s="4"/>
      <c r="Y582" s="4"/>
      <c r="Z582" s="4"/>
    </row>
    <row x14ac:dyDescent="0.25" r="583" customHeight="1" ht="12.75">
      <c r="A583" s="4"/>
      <c r="B583" s="29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29"/>
      <c r="N583" s="29"/>
      <c r="O583" s="29"/>
      <c r="P583" s="32"/>
      <c r="Q583" s="32"/>
      <c r="R583" s="4"/>
      <c r="S583" s="4"/>
      <c r="T583" s="4"/>
      <c r="U583" s="4"/>
      <c r="V583" s="4"/>
      <c r="W583" s="4"/>
      <c r="X583" s="4"/>
      <c r="Y583" s="4"/>
      <c r="Z583" s="4"/>
    </row>
    <row x14ac:dyDescent="0.25" r="584" customHeight="1" ht="12.75">
      <c r="A584" s="4"/>
      <c r="B584" s="29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29"/>
      <c r="N584" s="29"/>
      <c r="O584" s="29"/>
      <c r="P584" s="32"/>
      <c r="Q584" s="32"/>
      <c r="R584" s="4"/>
      <c r="S584" s="4"/>
      <c r="T584" s="4"/>
      <c r="U584" s="4"/>
      <c r="V584" s="4"/>
      <c r="W584" s="4"/>
      <c r="X584" s="4"/>
      <c r="Y584" s="4"/>
      <c r="Z584" s="4"/>
    </row>
    <row x14ac:dyDescent="0.25" r="585" customHeight="1" ht="12.75">
      <c r="A585" s="4"/>
      <c r="B585" s="29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29"/>
      <c r="N585" s="29"/>
      <c r="O585" s="29"/>
      <c r="P585" s="32"/>
      <c r="Q585" s="32"/>
      <c r="R585" s="4"/>
      <c r="S585" s="4"/>
      <c r="T585" s="4"/>
      <c r="U585" s="4"/>
      <c r="V585" s="4"/>
      <c r="W585" s="4"/>
      <c r="X585" s="4"/>
      <c r="Y585" s="4"/>
      <c r="Z585" s="4"/>
    </row>
    <row x14ac:dyDescent="0.25" r="586" customHeight="1" ht="12.75">
      <c r="A586" s="4"/>
      <c r="B586" s="29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29"/>
      <c r="N586" s="29"/>
      <c r="O586" s="29"/>
      <c r="P586" s="32"/>
      <c r="Q586" s="32"/>
      <c r="R586" s="4"/>
      <c r="S586" s="4"/>
      <c r="T586" s="4"/>
      <c r="U586" s="4"/>
      <c r="V586" s="4"/>
      <c r="W586" s="4"/>
      <c r="X586" s="4"/>
      <c r="Y586" s="4"/>
      <c r="Z586" s="4"/>
    </row>
    <row x14ac:dyDescent="0.25" r="587" customHeight="1" ht="12.75">
      <c r="A587" s="4"/>
      <c r="B587" s="29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29"/>
      <c r="N587" s="29"/>
      <c r="O587" s="29"/>
      <c r="P587" s="32"/>
      <c r="Q587" s="32"/>
      <c r="R587" s="4"/>
      <c r="S587" s="4"/>
      <c r="T587" s="4"/>
      <c r="U587" s="4"/>
      <c r="V587" s="4"/>
      <c r="W587" s="4"/>
      <c r="X587" s="4"/>
      <c r="Y587" s="4"/>
      <c r="Z587" s="4"/>
    </row>
    <row x14ac:dyDescent="0.25" r="588" customHeight="1" ht="12.75">
      <c r="A588" s="4"/>
      <c r="B588" s="29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29"/>
      <c r="N588" s="29"/>
      <c r="O588" s="29"/>
      <c r="P588" s="32"/>
      <c r="Q588" s="32"/>
      <c r="R588" s="4"/>
      <c r="S588" s="4"/>
      <c r="T588" s="4"/>
      <c r="U588" s="4"/>
      <c r="V588" s="4"/>
      <c r="W588" s="4"/>
      <c r="X588" s="4"/>
      <c r="Y588" s="4"/>
      <c r="Z588" s="4"/>
    </row>
    <row x14ac:dyDescent="0.25" r="589" customHeight="1" ht="12.75">
      <c r="A589" s="4"/>
      <c r="B589" s="29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29"/>
      <c r="N589" s="29"/>
      <c r="O589" s="29"/>
      <c r="P589" s="32"/>
      <c r="Q589" s="32"/>
      <c r="R589" s="4"/>
      <c r="S589" s="4"/>
      <c r="T589" s="4"/>
      <c r="U589" s="4"/>
      <c r="V589" s="4"/>
      <c r="W589" s="4"/>
      <c r="X589" s="4"/>
      <c r="Y589" s="4"/>
      <c r="Z589" s="4"/>
    </row>
    <row x14ac:dyDescent="0.25" r="590" customHeight="1" ht="12.75">
      <c r="A590" s="4"/>
      <c r="B590" s="29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29"/>
      <c r="N590" s="29"/>
      <c r="O590" s="29"/>
      <c r="P590" s="32"/>
      <c r="Q590" s="32"/>
      <c r="R590" s="4"/>
      <c r="S590" s="4"/>
      <c r="T590" s="4"/>
      <c r="U590" s="4"/>
      <c r="V590" s="4"/>
      <c r="W590" s="4"/>
      <c r="X590" s="4"/>
      <c r="Y590" s="4"/>
      <c r="Z590" s="4"/>
    </row>
    <row x14ac:dyDescent="0.25" r="591" customHeight="1" ht="12.75">
      <c r="A591" s="4"/>
      <c r="B591" s="29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29"/>
      <c r="N591" s="29"/>
      <c r="O591" s="29"/>
      <c r="P591" s="32"/>
      <c r="Q591" s="32"/>
      <c r="R591" s="4"/>
      <c r="S591" s="4"/>
      <c r="T591" s="4"/>
      <c r="U591" s="4"/>
      <c r="V591" s="4"/>
      <c r="W591" s="4"/>
      <c r="X591" s="4"/>
      <c r="Y591" s="4"/>
      <c r="Z591" s="4"/>
    </row>
    <row x14ac:dyDescent="0.25" r="592" customHeight="1" ht="12.75">
      <c r="A592" s="4"/>
      <c r="B592" s="29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29"/>
      <c r="N592" s="29"/>
      <c r="O592" s="29"/>
      <c r="P592" s="32"/>
      <c r="Q592" s="32"/>
      <c r="R592" s="4"/>
      <c r="S592" s="4"/>
      <c r="T592" s="4"/>
      <c r="U592" s="4"/>
      <c r="V592" s="4"/>
      <c r="W592" s="4"/>
      <c r="X592" s="4"/>
      <c r="Y592" s="4"/>
      <c r="Z592" s="4"/>
    </row>
    <row x14ac:dyDescent="0.25" r="593" customHeight="1" ht="12.75">
      <c r="A593" s="4"/>
      <c r="B593" s="29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29"/>
      <c r="N593" s="29"/>
      <c r="O593" s="29"/>
      <c r="P593" s="32"/>
      <c r="Q593" s="32"/>
      <c r="R593" s="4"/>
      <c r="S593" s="4"/>
      <c r="T593" s="4"/>
      <c r="U593" s="4"/>
      <c r="V593" s="4"/>
      <c r="W593" s="4"/>
      <c r="X593" s="4"/>
      <c r="Y593" s="4"/>
      <c r="Z593" s="4"/>
    </row>
    <row x14ac:dyDescent="0.25" r="594" customHeight="1" ht="12.75">
      <c r="A594" s="4"/>
      <c r="B594" s="29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29"/>
      <c r="N594" s="29"/>
      <c r="O594" s="29"/>
      <c r="P594" s="32"/>
      <c r="Q594" s="32"/>
      <c r="R594" s="4"/>
      <c r="S594" s="4"/>
      <c r="T594" s="4"/>
      <c r="U594" s="4"/>
      <c r="V594" s="4"/>
      <c r="W594" s="4"/>
      <c r="X594" s="4"/>
      <c r="Y594" s="4"/>
      <c r="Z594" s="4"/>
    </row>
    <row x14ac:dyDescent="0.25" r="595" customHeight="1" ht="12.75">
      <c r="A595" s="4"/>
      <c r="B595" s="29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29"/>
      <c r="N595" s="29"/>
      <c r="O595" s="29"/>
      <c r="P595" s="32"/>
      <c r="Q595" s="32"/>
      <c r="R595" s="4"/>
      <c r="S595" s="4"/>
      <c r="T595" s="4"/>
      <c r="U595" s="4"/>
      <c r="V595" s="4"/>
      <c r="W595" s="4"/>
      <c r="X595" s="4"/>
      <c r="Y595" s="4"/>
      <c r="Z595" s="4"/>
    </row>
    <row x14ac:dyDescent="0.25" r="596" customHeight="1" ht="12.75">
      <c r="A596" s="4"/>
      <c r="B596" s="29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29"/>
      <c r="N596" s="29"/>
      <c r="O596" s="29"/>
      <c r="P596" s="32"/>
      <c r="Q596" s="32"/>
      <c r="R596" s="4"/>
      <c r="S596" s="4"/>
      <c r="T596" s="4"/>
      <c r="U596" s="4"/>
      <c r="V596" s="4"/>
      <c r="W596" s="4"/>
      <c r="X596" s="4"/>
      <c r="Y596" s="4"/>
      <c r="Z596" s="4"/>
    </row>
    <row x14ac:dyDescent="0.25" r="597" customHeight="1" ht="12.75">
      <c r="A597" s="4"/>
      <c r="B597" s="29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29"/>
      <c r="N597" s="29"/>
      <c r="O597" s="29"/>
      <c r="P597" s="32"/>
      <c r="Q597" s="32"/>
      <c r="R597" s="4"/>
      <c r="S597" s="4"/>
      <c r="T597" s="4"/>
      <c r="U597" s="4"/>
      <c r="V597" s="4"/>
      <c r="W597" s="4"/>
      <c r="X597" s="4"/>
      <c r="Y597" s="4"/>
      <c r="Z597" s="4"/>
    </row>
    <row x14ac:dyDescent="0.25" r="598" customHeight="1" ht="12.75">
      <c r="A598" s="4"/>
      <c r="B598" s="29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29"/>
      <c r="N598" s="29"/>
      <c r="O598" s="29"/>
      <c r="P598" s="32"/>
      <c r="Q598" s="32"/>
      <c r="R598" s="4"/>
      <c r="S598" s="4"/>
      <c r="T598" s="4"/>
      <c r="U598" s="4"/>
      <c r="V598" s="4"/>
      <c r="W598" s="4"/>
      <c r="X598" s="4"/>
      <c r="Y598" s="4"/>
      <c r="Z598" s="4"/>
    </row>
    <row x14ac:dyDescent="0.25" r="599" customHeight="1" ht="12.75">
      <c r="A599" s="4"/>
      <c r="B599" s="29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29"/>
      <c r="N599" s="29"/>
      <c r="O599" s="29"/>
      <c r="P599" s="32"/>
      <c r="Q599" s="32"/>
      <c r="R599" s="4"/>
      <c r="S599" s="4"/>
      <c r="T599" s="4"/>
      <c r="U599" s="4"/>
      <c r="V599" s="4"/>
      <c r="W599" s="4"/>
      <c r="X599" s="4"/>
      <c r="Y599" s="4"/>
      <c r="Z599" s="4"/>
    </row>
    <row x14ac:dyDescent="0.25" r="600" customHeight="1" ht="12.75">
      <c r="A600" s="4"/>
      <c r="B600" s="29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29"/>
      <c r="N600" s="29"/>
      <c r="O600" s="29"/>
      <c r="P600" s="32"/>
      <c r="Q600" s="32"/>
      <c r="R600" s="4"/>
      <c r="S600" s="4"/>
      <c r="T600" s="4"/>
      <c r="U600" s="4"/>
      <c r="V600" s="4"/>
      <c r="W600" s="4"/>
      <c r="X600" s="4"/>
      <c r="Y600" s="4"/>
      <c r="Z600" s="4"/>
    </row>
    <row x14ac:dyDescent="0.25" r="601" customHeight="1" ht="12.75">
      <c r="A601" s="4"/>
      <c r="B601" s="29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29"/>
      <c r="N601" s="29"/>
      <c r="O601" s="29"/>
      <c r="P601" s="32"/>
      <c r="Q601" s="32"/>
      <c r="R601" s="4"/>
      <c r="S601" s="4"/>
      <c r="T601" s="4"/>
      <c r="U601" s="4"/>
      <c r="V601" s="4"/>
      <c r="W601" s="4"/>
      <c r="X601" s="4"/>
      <c r="Y601" s="4"/>
      <c r="Z601" s="4"/>
    </row>
    <row x14ac:dyDescent="0.25" r="602" customHeight="1" ht="12.75">
      <c r="A602" s="4"/>
      <c r="B602" s="29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29"/>
      <c r="N602" s="29"/>
      <c r="O602" s="29"/>
      <c r="P602" s="32"/>
      <c r="Q602" s="32"/>
      <c r="R602" s="4"/>
      <c r="S602" s="4"/>
      <c r="T602" s="4"/>
      <c r="U602" s="4"/>
      <c r="V602" s="4"/>
      <c r="W602" s="4"/>
      <c r="X602" s="4"/>
      <c r="Y602" s="4"/>
      <c r="Z602" s="4"/>
    </row>
    <row x14ac:dyDescent="0.25" r="603" customHeight="1" ht="12.75">
      <c r="A603" s="4"/>
      <c r="B603" s="29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29"/>
      <c r="N603" s="29"/>
      <c r="O603" s="29"/>
      <c r="P603" s="32"/>
      <c r="Q603" s="32"/>
      <c r="R603" s="4"/>
      <c r="S603" s="4"/>
      <c r="T603" s="4"/>
      <c r="U603" s="4"/>
      <c r="V603" s="4"/>
      <c r="W603" s="4"/>
      <c r="X603" s="4"/>
      <c r="Y603" s="4"/>
      <c r="Z603" s="4"/>
    </row>
    <row x14ac:dyDescent="0.25" r="604" customHeight="1" ht="12.75">
      <c r="A604" s="4"/>
      <c r="B604" s="29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29"/>
      <c r="N604" s="29"/>
      <c r="O604" s="29"/>
      <c r="P604" s="32"/>
      <c r="Q604" s="32"/>
      <c r="R604" s="4"/>
      <c r="S604" s="4"/>
      <c r="T604" s="4"/>
      <c r="U604" s="4"/>
      <c r="V604" s="4"/>
      <c r="W604" s="4"/>
      <c r="X604" s="4"/>
      <c r="Y604" s="4"/>
      <c r="Z604" s="4"/>
    </row>
    <row x14ac:dyDescent="0.25" r="605" customHeight="1" ht="12.75">
      <c r="A605" s="4"/>
      <c r="B605" s="29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29"/>
      <c r="N605" s="29"/>
      <c r="O605" s="29"/>
      <c r="P605" s="32"/>
      <c r="Q605" s="32"/>
      <c r="R605" s="4"/>
      <c r="S605" s="4"/>
      <c r="T605" s="4"/>
      <c r="U605" s="4"/>
      <c r="V605" s="4"/>
      <c r="W605" s="4"/>
      <c r="X605" s="4"/>
      <c r="Y605" s="4"/>
      <c r="Z605" s="4"/>
    </row>
    <row x14ac:dyDescent="0.25" r="606" customHeight="1" ht="12.75">
      <c r="A606" s="4"/>
      <c r="B606" s="29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29"/>
      <c r="N606" s="29"/>
      <c r="O606" s="29"/>
      <c r="P606" s="32"/>
      <c r="Q606" s="32"/>
      <c r="R606" s="4"/>
      <c r="S606" s="4"/>
      <c r="T606" s="4"/>
      <c r="U606" s="4"/>
      <c r="V606" s="4"/>
      <c r="W606" s="4"/>
      <c r="X606" s="4"/>
      <c r="Y606" s="4"/>
      <c r="Z606" s="4"/>
    </row>
    <row x14ac:dyDescent="0.25" r="607" customHeight="1" ht="12.75">
      <c r="A607" s="4"/>
      <c r="B607" s="29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29"/>
      <c r="N607" s="29"/>
      <c r="O607" s="29"/>
      <c r="P607" s="32"/>
      <c r="Q607" s="32"/>
      <c r="R607" s="4"/>
      <c r="S607" s="4"/>
      <c r="T607" s="4"/>
      <c r="U607" s="4"/>
      <c r="V607" s="4"/>
      <c r="W607" s="4"/>
      <c r="X607" s="4"/>
      <c r="Y607" s="4"/>
      <c r="Z607" s="4"/>
    </row>
    <row x14ac:dyDescent="0.25" r="608" customHeight="1" ht="12.75">
      <c r="A608" s="4"/>
      <c r="B608" s="29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29"/>
      <c r="N608" s="29"/>
      <c r="O608" s="29"/>
      <c r="P608" s="32"/>
      <c r="Q608" s="32"/>
      <c r="R608" s="4"/>
      <c r="S608" s="4"/>
      <c r="T608" s="4"/>
      <c r="U608" s="4"/>
      <c r="V608" s="4"/>
      <c r="W608" s="4"/>
      <c r="X608" s="4"/>
      <c r="Y608" s="4"/>
      <c r="Z608" s="4"/>
    </row>
    <row x14ac:dyDescent="0.25" r="609" customHeight="1" ht="12.75">
      <c r="A609" s="4"/>
      <c r="B609" s="29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29"/>
      <c r="N609" s="29"/>
      <c r="O609" s="29"/>
      <c r="P609" s="32"/>
      <c r="Q609" s="32"/>
      <c r="R609" s="4"/>
      <c r="S609" s="4"/>
      <c r="T609" s="4"/>
      <c r="U609" s="4"/>
      <c r="V609" s="4"/>
      <c r="W609" s="4"/>
      <c r="X609" s="4"/>
      <c r="Y609" s="4"/>
      <c r="Z609" s="4"/>
    </row>
    <row x14ac:dyDescent="0.25" r="610" customHeight="1" ht="12.75">
      <c r="A610" s="4"/>
      <c r="B610" s="29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29"/>
      <c r="N610" s="29"/>
      <c r="O610" s="29"/>
      <c r="P610" s="32"/>
      <c r="Q610" s="32"/>
      <c r="R610" s="4"/>
      <c r="S610" s="4"/>
      <c r="T610" s="4"/>
      <c r="U610" s="4"/>
      <c r="V610" s="4"/>
      <c r="W610" s="4"/>
      <c r="X610" s="4"/>
      <c r="Y610" s="4"/>
      <c r="Z610" s="4"/>
    </row>
    <row x14ac:dyDescent="0.25" r="611" customHeight="1" ht="12.75">
      <c r="A611" s="4"/>
      <c r="B611" s="29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29"/>
      <c r="N611" s="29"/>
      <c r="O611" s="29"/>
      <c r="P611" s="32"/>
      <c r="Q611" s="32"/>
      <c r="R611" s="4"/>
      <c r="S611" s="4"/>
      <c r="T611" s="4"/>
      <c r="U611" s="4"/>
      <c r="V611" s="4"/>
      <c r="W611" s="4"/>
      <c r="X611" s="4"/>
      <c r="Y611" s="4"/>
      <c r="Z611" s="4"/>
    </row>
    <row x14ac:dyDescent="0.25" r="612" customHeight="1" ht="12.75">
      <c r="A612" s="4"/>
      <c r="B612" s="29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29"/>
      <c r="N612" s="29"/>
      <c r="O612" s="29"/>
      <c r="P612" s="32"/>
      <c r="Q612" s="32"/>
      <c r="R612" s="4"/>
      <c r="S612" s="4"/>
      <c r="T612" s="4"/>
      <c r="U612" s="4"/>
      <c r="V612" s="4"/>
      <c r="W612" s="4"/>
      <c r="X612" s="4"/>
      <c r="Y612" s="4"/>
      <c r="Z612" s="4"/>
    </row>
    <row x14ac:dyDescent="0.25" r="613" customHeight="1" ht="12.75">
      <c r="A613" s="4"/>
      <c r="B613" s="29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29"/>
      <c r="N613" s="29"/>
      <c r="O613" s="29"/>
      <c r="P613" s="32"/>
      <c r="Q613" s="32"/>
      <c r="R613" s="4"/>
      <c r="S613" s="4"/>
      <c r="T613" s="4"/>
      <c r="U613" s="4"/>
      <c r="V613" s="4"/>
      <c r="W613" s="4"/>
      <c r="X613" s="4"/>
      <c r="Y613" s="4"/>
      <c r="Z613" s="4"/>
    </row>
    <row x14ac:dyDescent="0.25" r="614" customHeight="1" ht="12.75">
      <c r="A614" s="4"/>
      <c r="B614" s="29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29"/>
      <c r="N614" s="29"/>
      <c r="O614" s="29"/>
      <c r="P614" s="32"/>
      <c r="Q614" s="32"/>
      <c r="R614" s="4"/>
      <c r="S614" s="4"/>
      <c r="T614" s="4"/>
      <c r="U614" s="4"/>
      <c r="V614" s="4"/>
      <c r="W614" s="4"/>
      <c r="X614" s="4"/>
      <c r="Y614" s="4"/>
      <c r="Z614" s="4"/>
    </row>
    <row x14ac:dyDescent="0.25" r="615" customHeight="1" ht="12.75">
      <c r="A615" s="4"/>
      <c r="B615" s="29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29"/>
      <c r="N615" s="29"/>
      <c r="O615" s="29"/>
      <c r="P615" s="32"/>
      <c r="Q615" s="32"/>
      <c r="R615" s="4"/>
      <c r="S615" s="4"/>
      <c r="T615" s="4"/>
      <c r="U615" s="4"/>
      <c r="V615" s="4"/>
      <c r="W615" s="4"/>
      <c r="X615" s="4"/>
      <c r="Y615" s="4"/>
      <c r="Z615" s="4"/>
    </row>
    <row x14ac:dyDescent="0.25" r="616" customHeight="1" ht="12.75">
      <c r="A616" s="4"/>
      <c r="B616" s="29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29"/>
      <c r="N616" s="29"/>
      <c r="O616" s="29"/>
      <c r="P616" s="32"/>
      <c r="Q616" s="32"/>
      <c r="R616" s="4"/>
      <c r="S616" s="4"/>
      <c r="T616" s="4"/>
      <c r="U616" s="4"/>
      <c r="V616" s="4"/>
      <c r="W616" s="4"/>
      <c r="X616" s="4"/>
      <c r="Y616" s="4"/>
      <c r="Z616" s="4"/>
    </row>
    <row x14ac:dyDescent="0.25" r="617" customHeight="1" ht="12.75">
      <c r="A617" s="4"/>
      <c r="B617" s="29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29"/>
      <c r="N617" s="29"/>
      <c r="O617" s="29"/>
      <c r="P617" s="32"/>
      <c r="Q617" s="32"/>
      <c r="R617" s="4"/>
      <c r="S617" s="4"/>
      <c r="T617" s="4"/>
      <c r="U617" s="4"/>
      <c r="V617" s="4"/>
      <c r="W617" s="4"/>
      <c r="X617" s="4"/>
      <c r="Y617" s="4"/>
      <c r="Z617" s="4"/>
    </row>
    <row x14ac:dyDescent="0.25" r="618" customHeight="1" ht="12.75">
      <c r="A618" s="4"/>
      <c r="B618" s="29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29"/>
      <c r="N618" s="29"/>
      <c r="O618" s="29"/>
      <c r="P618" s="32"/>
      <c r="Q618" s="32"/>
      <c r="R618" s="4"/>
      <c r="S618" s="4"/>
      <c r="T618" s="4"/>
      <c r="U618" s="4"/>
      <c r="V618" s="4"/>
      <c r="W618" s="4"/>
      <c r="X618" s="4"/>
      <c r="Y618" s="4"/>
      <c r="Z618" s="4"/>
    </row>
    <row x14ac:dyDescent="0.25" r="619" customHeight="1" ht="12.75">
      <c r="A619" s="4"/>
      <c r="B619" s="29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29"/>
      <c r="N619" s="29"/>
      <c r="O619" s="29"/>
      <c r="P619" s="32"/>
      <c r="Q619" s="32"/>
      <c r="R619" s="4"/>
      <c r="S619" s="4"/>
      <c r="T619" s="4"/>
      <c r="U619" s="4"/>
      <c r="V619" s="4"/>
      <c r="W619" s="4"/>
      <c r="X619" s="4"/>
      <c r="Y619" s="4"/>
      <c r="Z619" s="4"/>
    </row>
    <row x14ac:dyDescent="0.25" r="620" customHeight="1" ht="12.75">
      <c r="A620" s="4"/>
      <c r="B620" s="29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29"/>
      <c r="N620" s="29"/>
      <c r="O620" s="29"/>
      <c r="P620" s="32"/>
      <c r="Q620" s="32"/>
      <c r="R620" s="4"/>
      <c r="S620" s="4"/>
      <c r="T620" s="4"/>
      <c r="U620" s="4"/>
      <c r="V620" s="4"/>
      <c r="W620" s="4"/>
      <c r="X620" s="4"/>
      <c r="Y620" s="4"/>
      <c r="Z620" s="4"/>
    </row>
    <row x14ac:dyDescent="0.25" r="621" customHeight="1" ht="12.75">
      <c r="A621" s="4"/>
      <c r="B621" s="29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29"/>
      <c r="N621" s="29"/>
      <c r="O621" s="29"/>
      <c r="P621" s="32"/>
      <c r="Q621" s="32"/>
      <c r="R621" s="4"/>
      <c r="S621" s="4"/>
      <c r="T621" s="4"/>
      <c r="U621" s="4"/>
      <c r="V621" s="4"/>
      <c r="W621" s="4"/>
      <c r="X621" s="4"/>
      <c r="Y621" s="4"/>
      <c r="Z621" s="4"/>
    </row>
    <row x14ac:dyDescent="0.25" r="622" customHeight="1" ht="12.75">
      <c r="A622" s="4"/>
      <c r="B622" s="29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29"/>
      <c r="N622" s="29"/>
      <c r="O622" s="29"/>
      <c r="P622" s="32"/>
      <c r="Q622" s="32"/>
      <c r="R622" s="4"/>
      <c r="S622" s="4"/>
      <c r="T622" s="4"/>
      <c r="U622" s="4"/>
      <c r="V622" s="4"/>
      <c r="W622" s="4"/>
      <c r="X622" s="4"/>
      <c r="Y622" s="4"/>
      <c r="Z622" s="4"/>
    </row>
    <row x14ac:dyDescent="0.25" r="623" customHeight="1" ht="12.75">
      <c r="A623" s="4"/>
      <c r="B623" s="29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29"/>
      <c r="N623" s="29"/>
      <c r="O623" s="29"/>
      <c r="P623" s="32"/>
      <c r="Q623" s="32"/>
      <c r="R623" s="4"/>
      <c r="S623" s="4"/>
      <c r="T623" s="4"/>
      <c r="U623" s="4"/>
      <c r="V623" s="4"/>
      <c r="W623" s="4"/>
      <c r="X623" s="4"/>
      <c r="Y623" s="4"/>
      <c r="Z623" s="4"/>
    </row>
    <row x14ac:dyDescent="0.25" r="624" customHeight="1" ht="12.75">
      <c r="A624" s="4"/>
      <c r="B624" s="29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29"/>
      <c r="N624" s="29"/>
      <c r="O624" s="29"/>
      <c r="P624" s="32"/>
      <c r="Q624" s="32"/>
      <c r="R624" s="4"/>
      <c r="S624" s="4"/>
      <c r="T624" s="4"/>
      <c r="U624" s="4"/>
      <c r="V624" s="4"/>
      <c r="W624" s="4"/>
      <c r="X624" s="4"/>
      <c r="Y624" s="4"/>
      <c r="Z624" s="4"/>
    </row>
    <row x14ac:dyDescent="0.25" r="625" customHeight="1" ht="12.75">
      <c r="A625" s="4"/>
      <c r="B625" s="29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29"/>
      <c r="N625" s="29"/>
      <c r="O625" s="29"/>
      <c r="P625" s="32"/>
      <c r="Q625" s="32"/>
      <c r="R625" s="4"/>
      <c r="S625" s="4"/>
      <c r="T625" s="4"/>
      <c r="U625" s="4"/>
      <c r="V625" s="4"/>
      <c r="W625" s="4"/>
      <c r="X625" s="4"/>
      <c r="Y625" s="4"/>
      <c r="Z625" s="4"/>
    </row>
    <row x14ac:dyDescent="0.25" r="626" customHeight="1" ht="12.75">
      <c r="A626" s="4"/>
      <c r="B626" s="29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29"/>
      <c r="N626" s="29"/>
      <c r="O626" s="29"/>
      <c r="P626" s="32"/>
      <c r="Q626" s="32"/>
      <c r="R626" s="4"/>
      <c r="S626" s="4"/>
      <c r="T626" s="4"/>
      <c r="U626" s="4"/>
      <c r="V626" s="4"/>
      <c r="W626" s="4"/>
      <c r="X626" s="4"/>
      <c r="Y626" s="4"/>
      <c r="Z626" s="4"/>
    </row>
    <row x14ac:dyDescent="0.25" r="627" customHeight="1" ht="12.75">
      <c r="A627" s="4"/>
      <c r="B627" s="29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29"/>
      <c r="N627" s="29"/>
      <c r="O627" s="29"/>
      <c r="P627" s="32"/>
      <c r="Q627" s="32"/>
      <c r="R627" s="4"/>
      <c r="S627" s="4"/>
      <c r="T627" s="4"/>
      <c r="U627" s="4"/>
      <c r="V627" s="4"/>
      <c r="W627" s="4"/>
      <c r="X627" s="4"/>
      <c r="Y627" s="4"/>
      <c r="Z627" s="4"/>
    </row>
    <row x14ac:dyDescent="0.25" r="628" customHeight="1" ht="12.75">
      <c r="A628" s="4"/>
      <c r="B628" s="29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29"/>
      <c r="N628" s="29"/>
      <c r="O628" s="29"/>
      <c r="P628" s="32"/>
      <c r="Q628" s="32"/>
      <c r="R628" s="4"/>
      <c r="S628" s="4"/>
      <c r="T628" s="4"/>
      <c r="U628" s="4"/>
      <c r="V628" s="4"/>
      <c r="W628" s="4"/>
      <c r="X628" s="4"/>
      <c r="Y628" s="4"/>
      <c r="Z628" s="4"/>
    </row>
    <row x14ac:dyDescent="0.25" r="629" customHeight="1" ht="12.75">
      <c r="A629" s="4"/>
      <c r="B629" s="29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29"/>
      <c r="N629" s="29"/>
      <c r="O629" s="29"/>
      <c r="P629" s="32"/>
      <c r="Q629" s="32"/>
      <c r="R629" s="4"/>
      <c r="S629" s="4"/>
      <c r="T629" s="4"/>
      <c r="U629" s="4"/>
      <c r="V629" s="4"/>
      <c r="W629" s="4"/>
      <c r="X629" s="4"/>
      <c r="Y629" s="4"/>
      <c r="Z629" s="4"/>
    </row>
    <row x14ac:dyDescent="0.25" r="630" customHeight="1" ht="12.75">
      <c r="A630" s="4"/>
      <c r="B630" s="29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29"/>
      <c r="N630" s="29"/>
      <c r="O630" s="29"/>
      <c r="P630" s="32"/>
      <c r="Q630" s="32"/>
      <c r="R630" s="4"/>
      <c r="S630" s="4"/>
      <c r="T630" s="4"/>
      <c r="U630" s="4"/>
      <c r="V630" s="4"/>
      <c r="W630" s="4"/>
      <c r="X630" s="4"/>
      <c r="Y630" s="4"/>
      <c r="Z630" s="4"/>
    </row>
    <row x14ac:dyDescent="0.25" r="631" customHeight="1" ht="12.75">
      <c r="A631" s="4"/>
      <c r="B631" s="29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29"/>
      <c r="N631" s="29"/>
      <c r="O631" s="29"/>
      <c r="P631" s="32"/>
      <c r="Q631" s="32"/>
      <c r="R631" s="4"/>
      <c r="S631" s="4"/>
      <c r="T631" s="4"/>
      <c r="U631" s="4"/>
      <c r="V631" s="4"/>
      <c r="W631" s="4"/>
      <c r="X631" s="4"/>
      <c r="Y631" s="4"/>
      <c r="Z631" s="4"/>
    </row>
    <row x14ac:dyDescent="0.25" r="632" customHeight="1" ht="12.75">
      <c r="A632" s="4"/>
      <c r="B632" s="29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29"/>
      <c r="N632" s="29"/>
      <c r="O632" s="29"/>
      <c r="P632" s="32"/>
      <c r="Q632" s="32"/>
      <c r="R632" s="4"/>
      <c r="S632" s="4"/>
      <c r="T632" s="4"/>
      <c r="U632" s="4"/>
      <c r="V632" s="4"/>
      <c r="W632" s="4"/>
      <c r="X632" s="4"/>
      <c r="Y632" s="4"/>
      <c r="Z632" s="4"/>
    </row>
    <row x14ac:dyDescent="0.25" r="633" customHeight="1" ht="12.75">
      <c r="A633" s="4"/>
      <c r="B633" s="29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29"/>
      <c r="N633" s="29"/>
      <c r="O633" s="29"/>
      <c r="P633" s="32"/>
      <c r="Q633" s="32"/>
      <c r="R633" s="4"/>
      <c r="S633" s="4"/>
      <c r="T633" s="4"/>
      <c r="U633" s="4"/>
      <c r="V633" s="4"/>
      <c r="W633" s="4"/>
      <c r="X633" s="4"/>
      <c r="Y633" s="4"/>
      <c r="Z633" s="4"/>
    </row>
    <row x14ac:dyDescent="0.25" r="634" customHeight="1" ht="12.75">
      <c r="A634" s="4"/>
      <c r="B634" s="29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29"/>
      <c r="N634" s="29"/>
      <c r="O634" s="29"/>
      <c r="P634" s="32"/>
      <c r="Q634" s="32"/>
      <c r="R634" s="4"/>
      <c r="S634" s="4"/>
      <c r="T634" s="4"/>
      <c r="U634" s="4"/>
      <c r="V634" s="4"/>
      <c r="W634" s="4"/>
      <c r="X634" s="4"/>
      <c r="Y634" s="4"/>
      <c r="Z634" s="4"/>
    </row>
    <row x14ac:dyDescent="0.25" r="635" customHeight="1" ht="12.75">
      <c r="A635" s="4"/>
      <c r="B635" s="29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29"/>
      <c r="N635" s="29"/>
      <c r="O635" s="29"/>
      <c r="P635" s="32"/>
      <c r="Q635" s="32"/>
      <c r="R635" s="4"/>
      <c r="S635" s="4"/>
      <c r="T635" s="4"/>
      <c r="U635" s="4"/>
      <c r="V635" s="4"/>
      <c r="W635" s="4"/>
      <c r="X635" s="4"/>
      <c r="Y635" s="4"/>
      <c r="Z635" s="4"/>
    </row>
    <row x14ac:dyDescent="0.25" r="636" customHeight="1" ht="12.75">
      <c r="A636" s="4"/>
      <c r="B636" s="29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29"/>
      <c r="N636" s="29"/>
      <c r="O636" s="29"/>
      <c r="P636" s="32"/>
      <c r="Q636" s="32"/>
      <c r="R636" s="4"/>
      <c r="S636" s="4"/>
      <c r="T636" s="4"/>
      <c r="U636" s="4"/>
      <c r="V636" s="4"/>
      <c r="W636" s="4"/>
      <c r="X636" s="4"/>
      <c r="Y636" s="4"/>
      <c r="Z636" s="4"/>
    </row>
    <row x14ac:dyDescent="0.25" r="637" customHeight="1" ht="12.75">
      <c r="A637" s="4"/>
      <c r="B637" s="29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29"/>
      <c r="N637" s="29"/>
      <c r="O637" s="29"/>
      <c r="P637" s="32"/>
      <c r="Q637" s="32"/>
      <c r="R637" s="4"/>
      <c r="S637" s="4"/>
      <c r="T637" s="4"/>
      <c r="U637" s="4"/>
      <c r="V637" s="4"/>
      <c r="W637" s="4"/>
      <c r="X637" s="4"/>
      <c r="Y637" s="4"/>
      <c r="Z637" s="4"/>
    </row>
    <row x14ac:dyDescent="0.25" r="638" customHeight="1" ht="12.75">
      <c r="A638" s="4"/>
      <c r="B638" s="29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29"/>
      <c r="N638" s="29"/>
      <c r="O638" s="29"/>
      <c r="P638" s="32"/>
      <c r="Q638" s="32"/>
      <c r="R638" s="4"/>
      <c r="S638" s="4"/>
      <c r="T638" s="4"/>
      <c r="U638" s="4"/>
      <c r="V638" s="4"/>
      <c r="W638" s="4"/>
      <c r="X638" s="4"/>
      <c r="Y638" s="4"/>
      <c r="Z638" s="4"/>
    </row>
    <row x14ac:dyDescent="0.25" r="639" customHeight="1" ht="12.75">
      <c r="A639" s="4"/>
      <c r="B639" s="29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29"/>
      <c r="N639" s="29"/>
      <c r="O639" s="29"/>
      <c r="P639" s="32"/>
      <c r="Q639" s="32"/>
      <c r="R639" s="4"/>
      <c r="S639" s="4"/>
      <c r="T639" s="4"/>
      <c r="U639" s="4"/>
      <c r="V639" s="4"/>
      <c r="W639" s="4"/>
      <c r="X639" s="4"/>
      <c r="Y639" s="4"/>
      <c r="Z639" s="4"/>
    </row>
    <row x14ac:dyDescent="0.25" r="640" customHeight="1" ht="12.75">
      <c r="A640" s="4"/>
      <c r="B640" s="29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29"/>
      <c r="N640" s="29"/>
      <c r="O640" s="29"/>
      <c r="P640" s="32"/>
      <c r="Q640" s="32"/>
      <c r="R640" s="4"/>
      <c r="S640" s="4"/>
      <c r="T640" s="4"/>
      <c r="U640" s="4"/>
      <c r="V640" s="4"/>
      <c r="W640" s="4"/>
      <c r="X640" s="4"/>
      <c r="Y640" s="4"/>
      <c r="Z640" s="4"/>
    </row>
    <row x14ac:dyDescent="0.25" r="641" customHeight="1" ht="12.75">
      <c r="A641" s="4"/>
      <c r="B641" s="29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29"/>
      <c r="N641" s="29"/>
      <c r="O641" s="29"/>
      <c r="P641" s="32"/>
      <c r="Q641" s="32"/>
      <c r="R641" s="4"/>
      <c r="S641" s="4"/>
      <c r="T641" s="4"/>
      <c r="U641" s="4"/>
      <c r="V641" s="4"/>
      <c r="W641" s="4"/>
      <c r="X641" s="4"/>
      <c r="Y641" s="4"/>
      <c r="Z641" s="4"/>
    </row>
    <row x14ac:dyDescent="0.25" r="642" customHeight="1" ht="12.75">
      <c r="A642" s="4"/>
      <c r="B642" s="29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29"/>
      <c r="N642" s="29"/>
      <c r="O642" s="29"/>
      <c r="P642" s="32"/>
      <c r="Q642" s="32"/>
      <c r="R642" s="4"/>
      <c r="S642" s="4"/>
      <c r="T642" s="4"/>
      <c r="U642" s="4"/>
      <c r="V642" s="4"/>
      <c r="W642" s="4"/>
      <c r="X642" s="4"/>
      <c r="Y642" s="4"/>
      <c r="Z642" s="4"/>
    </row>
    <row x14ac:dyDescent="0.25" r="643" customHeight="1" ht="12.75">
      <c r="A643" s="4"/>
      <c r="B643" s="29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29"/>
      <c r="N643" s="29"/>
      <c r="O643" s="29"/>
      <c r="P643" s="32"/>
      <c r="Q643" s="32"/>
      <c r="R643" s="4"/>
      <c r="S643" s="4"/>
      <c r="T643" s="4"/>
      <c r="U643" s="4"/>
      <c r="V643" s="4"/>
      <c r="W643" s="4"/>
      <c r="X643" s="4"/>
      <c r="Y643" s="4"/>
      <c r="Z643" s="4"/>
    </row>
    <row x14ac:dyDescent="0.25" r="644" customHeight="1" ht="12.75">
      <c r="A644" s="4"/>
      <c r="B644" s="29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29"/>
      <c r="N644" s="29"/>
      <c r="O644" s="29"/>
      <c r="P644" s="32"/>
      <c r="Q644" s="32"/>
      <c r="R644" s="4"/>
      <c r="S644" s="4"/>
      <c r="T644" s="4"/>
      <c r="U644" s="4"/>
      <c r="V644" s="4"/>
      <c r="W644" s="4"/>
      <c r="X644" s="4"/>
      <c r="Y644" s="4"/>
      <c r="Z644" s="4"/>
    </row>
    <row x14ac:dyDescent="0.25" r="645" customHeight="1" ht="12.75">
      <c r="A645" s="4"/>
      <c r="B645" s="29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29"/>
      <c r="N645" s="29"/>
      <c r="O645" s="29"/>
      <c r="P645" s="32"/>
      <c r="Q645" s="32"/>
      <c r="R645" s="4"/>
      <c r="S645" s="4"/>
      <c r="T645" s="4"/>
      <c r="U645" s="4"/>
      <c r="V645" s="4"/>
      <c r="W645" s="4"/>
      <c r="X645" s="4"/>
      <c r="Y645" s="4"/>
      <c r="Z645" s="4"/>
    </row>
    <row x14ac:dyDescent="0.25" r="646" customHeight="1" ht="12.75">
      <c r="A646" s="4"/>
      <c r="B646" s="29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29"/>
      <c r="N646" s="29"/>
      <c r="O646" s="29"/>
      <c r="P646" s="32"/>
      <c r="Q646" s="32"/>
      <c r="R646" s="4"/>
      <c r="S646" s="4"/>
      <c r="T646" s="4"/>
      <c r="U646" s="4"/>
      <c r="V646" s="4"/>
      <c r="W646" s="4"/>
      <c r="X646" s="4"/>
      <c r="Y646" s="4"/>
      <c r="Z646" s="4"/>
    </row>
    <row x14ac:dyDescent="0.25" r="647" customHeight="1" ht="12.75">
      <c r="A647" s="4"/>
      <c r="B647" s="29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29"/>
      <c r="N647" s="29"/>
      <c r="O647" s="29"/>
      <c r="P647" s="32"/>
      <c r="Q647" s="32"/>
      <c r="R647" s="4"/>
      <c r="S647" s="4"/>
      <c r="T647" s="4"/>
      <c r="U647" s="4"/>
      <c r="V647" s="4"/>
      <c r="W647" s="4"/>
      <c r="X647" s="4"/>
      <c r="Y647" s="4"/>
      <c r="Z647" s="4"/>
    </row>
    <row x14ac:dyDescent="0.25" r="648" customHeight="1" ht="12.75">
      <c r="A648" s="4"/>
      <c r="B648" s="29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29"/>
      <c r="N648" s="29"/>
      <c r="O648" s="29"/>
      <c r="P648" s="32"/>
      <c r="Q648" s="32"/>
      <c r="R648" s="4"/>
      <c r="S648" s="4"/>
      <c r="T648" s="4"/>
      <c r="U648" s="4"/>
      <c r="V648" s="4"/>
      <c r="W648" s="4"/>
      <c r="X648" s="4"/>
      <c r="Y648" s="4"/>
      <c r="Z648" s="4"/>
    </row>
    <row x14ac:dyDescent="0.25" r="649" customHeight="1" ht="12.75">
      <c r="A649" s="4"/>
      <c r="B649" s="29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29"/>
      <c r="N649" s="29"/>
      <c r="O649" s="29"/>
      <c r="P649" s="32"/>
      <c r="Q649" s="32"/>
      <c r="R649" s="4"/>
      <c r="S649" s="4"/>
      <c r="T649" s="4"/>
      <c r="U649" s="4"/>
      <c r="V649" s="4"/>
      <c r="W649" s="4"/>
      <c r="X649" s="4"/>
      <c r="Y649" s="4"/>
      <c r="Z649" s="4"/>
    </row>
    <row x14ac:dyDescent="0.25" r="650" customHeight="1" ht="12.75">
      <c r="A650" s="4"/>
      <c r="B650" s="29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29"/>
      <c r="N650" s="29"/>
      <c r="O650" s="29"/>
      <c r="P650" s="32"/>
      <c r="Q650" s="32"/>
      <c r="R650" s="4"/>
      <c r="S650" s="4"/>
      <c r="T650" s="4"/>
      <c r="U650" s="4"/>
      <c r="V650" s="4"/>
      <c r="W650" s="4"/>
      <c r="X650" s="4"/>
      <c r="Y650" s="4"/>
      <c r="Z650" s="4"/>
    </row>
    <row x14ac:dyDescent="0.25" r="651" customHeight="1" ht="12.75">
      <c r="A651" s="4"/>
      <c r="B651" s="29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29"/>
      <c r="N651" s="29"/>
      <c r="O651" s="29"/>
      <c r="P651" s="32"/>
      <c r="Q651" s="32"/>
      <c r="R651" s="4"/>
      <c r="S651" s="4"/>
      <c r="T651" s="4"/>
      <c r="U651" s="4"/>
      <c r="V651" s="4"/>
      <c r="W651" s="4"/>
      <c r="X651" s="4"/>
      <c r="Y651" s="4"/>
      <c r="Z651" s="4"/>
    </row>
    <row x14ac:dyDescent="0.25" r="652" customHeight="1" ht="12.75">
      <c r="A652" s="4"/>
      <c r="B652" s="29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29"/>
      <c r="N652" s="29"/>
      <c r="O652" s="29"/>
      <c r="P652" s="32"/>
      <c r="Q652" s="32"/>
      <c r="R652" s="4"/>
      <c r="S652" s="4"/>
      <c r="T652" s="4"/>
      <c r="U652" s="4"/>
      <c r="V652" s="4"/>
      <c r="W652" s="4"/>
      <c r="X652" s="4"/>
      <c r="Y652" s="4"/>
      <c r="Z652" s="4"/>
    </row>
    <row x14ac:dyDescent="0.25" r="653" customHeight="1" ht="12.75">
      <c r="A653" s="4"/>
      <c r="B653" s="29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29"/>
      <c r="N653" s="29"/>
      <c r="O653" s="29"/>
      <c r="P653" s="32"/>
      <c r="Q653" s="32"/>
      <c r="R653" s="4"/>
      <c r="S653" s="4"/>
      <c r="T653" s="4"/>
      <c r="U653" s="4"/>
      <c r="V653" s="4"/>
      <c r="W653" s="4"/>
      <c r="X653" s="4"/>
      <c r="Y653" s="4"/>
      <c r="Z653" s="4"/>
    </row>
    <row x14ac:dyDescent="0.25" r="654" customHeight="1" ht="12.75">
      <c r="A654" s="4"/>
      <c r="B654" s="29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29"/>
      <c r="N654" s="29"/>
      <c r="O654" s="29"/>
      <c r="P654" s="32"/>
      <c r="Q654" s="32"/>
      <c r="R654" s="4"/>
      <c r="S654" s="4"/>
      <c r="T654" s="4"/>
      <c r="U654" s="4"/>
      <c r="V654" s="4"/>
      <c r="W654" s="4"/>
      <c r="X654" s="4"/>
      <c r="Y654" s="4"/>
      <c r="Z654" s="4"/>
    </row>
    <row x14ac:dyDescent="0.25" r="655" customHeight="1" ht="12.75">
      <c r="A655" s="4"/>
      <c r="B655" s="29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29"/>
      <c r="N655" s="29"/>
      <c r="O655" s="29"/>
      <c r="P655" s="32"/>
      <c r="Q655" s="32"/>
      <c r="R655" s="4"/>
      <c r="S655" s="4"/>
      <c r="T655" s="4"/>
      <c r="U655" s="4"/>
      <c r="V655" s="4"/>
      <c r="W655" s="4"/>
      <c r="X655" s="4"/>
      <c r="Y655" s="4"/>
      <c r="Z655" s="4"/>
    </row>
    <row x14ac:dyDescent="0.25" r="656" customHeight="1" ht="12.75">
      <c r="A656" s="4"/>
      <c r="B656" s="29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29"/>
      <c r="N656" s="29"/>
      <c r="O656" s="29"/>
      <c r="P656" s="32"/>
      <c r="Q656" s="32"/>
      <c r="R656" s="4"/>
      <c r="S656" s="4"/>
      <c r="T656" s="4"/>
      <c r="U656" s="4"/>
      <c r="V656" s="4"/>
      <c r="W656" s="4"/>
      <c r="X656" s="4"/>
      <c r="Y656" s="4"/>
      <c r="Z656" s="4"/>
    </row>
    <row x14ac:dyDescent="0.25" r="657" customHeight="1" ht="12.75">
      <c r="A657" s="4"/>
      <c r="B657" s="29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29"/>
      <c r="N657" s="29"/>
      <c r="O657" s="29"/>
      <c r="P657" s="32"/>
      <c r="Q657" s="32"/>
      <c r="R657" s="4"/>
      <c r="S657" s="4"/>
      <c r="T657" s="4"/>
      <c r="U657" s="4"/>
      <c r="V657" s="4"/>
      <c r="W657" s="4"/>
      <c r="X657" s="4"/>
      <c r="Y657" s="4"/>
      <c r="Z657" s="4"/>
    </row>
    <row x14ac:dyDescent="0.25" r="658" customHeight="1" ht="12.75">
      <c r="A658" s="4"/>
      <c r="B658" s="29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29"/>
      <c r="N658" s="29"/>
      <c r="O658" s="29"/>
      <c r="P658" s="32"/>
      <c r="Q658" s="32"/>
      <c r="R658" s="4"/>
      <c r="S658" s="4"/>
      <c r="T658" s="4"/>
      <c r="U658" s="4"/>
      <c r="V658" s="4"/>
      <c r="W658" s="4"/>
      <c r="X658" s="4"/>
      <c r="Y658" s="4"/>
      <c r="Z658" s="4"/>
    </row>
    <row x14ac:dyDescent="0.25" r="659" customHeight="1" ht="12.75">
      <c r="A659" s="4"/>
      <c r="B659" s="29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29"/>
      <c r="N659" s="29"/>
      <c r="O659" s="29"/>
      <c r="P659" s="32"/>
      <c r="Q659" s="32"/>
      <c r="R659" s="4"/>
      <c r="S659" s="4"/>
      <c r="T659" s="4"/>
      <c r="U659" s="4"/>
      <c r="V659" s="4"/>
      <c r="W659" s="4"/>
      <c r="X659" s="4"/>
      <c r="Y659" s="4"/>
      <c r="Z659" s="4"/>
    </row>
    <row x14ac:dyDescent="0.25" r="660" customHeight="1" ht="12.75">
      <c r="A660" s="4"/>
      <c r="B660" s="29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29"/>
      <c r="N660" s="29"/>
      <c r="O660" s="29"/>
      <c r="P660" s="32"/>
      <c r="Q660" s="32"/>
      <c r="R660" s="4"/>
      <c r="S660" s="4"/>
      <c r="T660" s="4"/>
      <c r="U660" s="4"/>
      <c r="V660" s="4"/>
      <c r="W660" s="4"/>
      <c r="X660" s="4"/>
      <c r="Y660" s="4"/>
      <c r="Z660" s="4"/>
    </row>
    <row x14ac:dyDescent="0.25" r="661" customHeight="1" ht="12.75">
      <c r="A661" s="4"/>
      <c r="B661" s="29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29"/>
      <c r="N661" s="29"/>
      <c r="O661" s="29"/>
      <c r="P661" s="32"/>
      <c r="Q661" s="32"/>
      <c r="R661" s="4"/>
      <c r="S661" s="4"/>
      <c r="T661" s="4"/>
      <c r="U661" s="4"/>
      <c r="V661" s="4"/>
      <c r="W661" s="4"/>
      <c r="X661" s="4"/>
      <c r="Y661" s="4"/>
      <c r="Z661" s="4"/>
    </row>
    <row x14ac:dyDescent="0.25" r="662" customHeight="1" ht="12.75">
      <c r="A662" s="4"/>
      <c r="B662" s="29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29"/>
      <c r="N662" s="29"/>
      <c r="O662" s="29"/>
      <c r="P662" s="32"/>
      <c r="Q662" s="32"/>
      <c r="R662" s="4"/>
      <c r="S662" s="4"/>
      <c r="T662" s="4"/>
      <c r="U662" s="4"/>
      <c r="V662" s="4"/>
      <c r="W662" s="4"/>
      <c r="X662" s="4"/>
      <c r="Y662" s="4"/>
      <c r="Z662" s="4"/>
    </row>
    <row x14ac:dyDescent="0.25" r="663" customHeight="1" ht="12.75">
      <c r="A663" s="4"/>
      <c r="B663" s="29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29"/>
      <c r="N663" s="29"/>
      <c r="O663" s="29"/>
      <c r="P663" s="32"/>
      <c r="Q663" s="32"/>
      <c r="R663" s="4"/>
      <c r="S663" s="4"/>
      <c r="T663" s="4"/>
      <c r="U663" s="4"/>
      <c r="V663" s="4"/>
      <c r="W663" s="4"/>
      <c r="X663" s="4"/>
      <c r="Y663" s="4"/>
      <c r="Z663" s="4"/>
    </row>
    <row x14ac:dyDescent="0.25" r="664" customHeight="1" ht="12.75">
      <c r="A664" s="4"/>
      <c r="B664" s="29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29"/>
      <c r="N664" s="29"/>
      <c r="O664" s="29"/>
      <c r="P664" s="32"/>
      <c r="Q664" s="32"/>
      <c r="R664" s="4"/>
      <c r="S664" s="4"/>
      <c r="T664" s="4"/>
      <c r="U664" s="4"/>
      <c r="V664" s="4"/>
      <c r="W664" s="4"/>
      <c r="X664" s="4"/>
      <c r="Y664" s="4"/>
      <c r="Z664" s="4"/>
    </row>
    <row x14ac:dyDescent="0.25" r="665" customHeight="1" ht="12.75">
      <c r="A665" s="4"/>
      <c r="B665" s="29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29"/>
      <c r="N665" s="29"/>
      <c r="O665" s="29"/>
      <c r="P665" s="32"/>
      <c r="Q665" s="32"/>
      <c r="R665" s="4"/>
      <c r="S665" s="4"/>
      <c r="T665" s="4"/>
      <c r="U665" s="4"/>
      <c r="V665" s="4"/>
      <c r="W665" s="4"/>
      <c r="X665" s="4"/>
      <c r="Y665" s="4"/>
      <c r="Z665" s="4"/>
    </row>
    <row x14ac:dyDescent="0.25" r="666" customHeight="1" ht="12.75">
      <c r="A666" s="4"/>
      <c r="B666" s="29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29"/>
      <c r="N666" s="29"/>
      <c r="O666" s="29"/>
      <c r="P666" s="32"/>
      <c r="Q666" s="32"/>
      <c r="R666" s="4"/>
      <c r="S666" s="4"/>
      <c r="T666" s="4"/>
      <c r="U666" s="4"/>
      <c r="V666" s="4"/>
      <c r="W666" s="4"/>
      <c r="X666" s="4"/>
      <c r="Y666" s="4"/>
      <c r="Z666" s="4"/>
    </row>
    <row x14ac:dyDescent="0.25" r="667" customHeight="1" ht="12.75">
      <c r="A667" s="4"/>
      <c r="B667" s="29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29"/>
      <c r="N667" s="29"/>
      <c r="O667" s="29"/>
      <c r="P667" s="32"/>
      <c r="Q667" s="32"/>
      <c r="R667" s="4"/>
      <c r="S667" s="4"/>
      <c r="T667" s="4"/>
      <c r="U667" s="4"/>
      <c r="V667" s="4"/>
      <c r="W667" s="4"/>
      <c r="X667" s="4"/>
      <c r="Y667" s="4"/>
      <c r="Z667" s="4"/>
    </row>
    <row x14ac:dyDescent="0.25" r="668" customHeight="1" ht="12.75">
      <c r="A668" s="4"/>
      <c r="B668" s="29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29"/>
      <c r="N668" s="29"/>
      <c r="O668" s="29"/>
      <c r="P668" s="32"/>
      <c r="Q668" s="32"/>
      <c r="R668" s="4"/>
      <c r="S668" s="4"/>
      <c r="T668" s="4"/>
      <c r="U668" s="4"/>
      <c r="V668" s="4"/>
      <c r="W668" s="4"/>
      <c r="X668" s="4"/>
      <c r="Y668" s="4"/>
      <c r="Z668" s="4"/>
    </row>
    <row x14ac:dyDescent="0.25" r="669" customHeight="1" ht="12.75">
      <c r="A669" s="4"/>
      <c r="B669" s="29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29"/>
      <c r="N669" s="29"/>
      <c r="O669" s="29"/>
      <c r="P669" s="32"/>
      <c r="Q669" s="32"/>
      <c r="R669" s="4"/>
      <c r="S669" s="4"/>
      <c r="T669" s="4"/>
      <c r="U669" s="4"/>
      <c r="V669" s="4"/>
      <c r="W669" s="4"/>
      <c r="X669" s="4"/>
      <c r="Y669" s="4"/>
      <c r="Z669" s="4"/>
    </row>
    <row x14ac:dyDescent="0.25" r="670" customHeight="1" ht="12.75">
      <c r="A670" s="4"/>
      <c r="B670" s="29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29"/>
      <c r="N670" s="29"/>
      <c r="O670" s="29"/>
      <c r="P670" s="32"/>
      <c r="Q670" s="32"/>
      <c r="R670" s="4"/>
      <c r="S670" s="4"/>
      <c r="T670" s="4"/>
      <c r="U670" s="4"/>
      <c r="V670" s="4"/>
      <c r="W670" s="4"/>
      <c r="X670" s="4"/>
      <c r="Y670" s="4"/>
      <c r="Z670" s="4"/>
    </row>
    <row x14ac:dyDescent="0.25" r="671" customHeight="1" ht="12.75">
      <c r="A671" s="4"/>
      <c r="B671" s="29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29"/>
      <c r="N671" s="29"/>
      <c r="O671" s="29"/>
      <c r="P671" s="32"/>
      <c r="Q671" s="32"/>
      <c r="R671" s="4"/>
      <c r="S671" s="4"/>
      <c r="T671" s="4"/>
      <c r="U671" s="4"/>
      <c r="V671" s="4"/>
      <c r="W671" s="4"/>
      <c r="X671" s="4"/>
      <c r="Y671" s="4"/>
      <c r="Z671" s="4"/>
    </row>
    <row x14ac:dyDescent="0.25" r="672" customHeight="1" ht="12.75">
      <c r="A672" s="4"/>
      <c r="B672" s="29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29"/>
      <c r="N672" s="29"/>
      <c r="O672" s="29"/>
      <c r="P672" s="32"/>
      <c r="Q672" s="32"/>
      <c r="R672" s="4"/>
      <c r="S672" s="4"/>
      <c r="T672" s="4"/>
      <c r="U672" s="4"/>
      <c r="V672" s="4"/>
      <c r="W672" s="4"/>
      <c r="X672" s="4"/>
      <c r="Y672" s="4"/>
      <c r="Z672" s="4"/>
    </row>
    <row x14ac:dyDescent="0.25" r="673" customHeight="1" ht="12.75">
      <c r="A673" s="4"/>
      <c r="B673" s="29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29"/>
      <c r="N673" s="29"/>
      <c r="O673" s="29"/>
      <c r="P673" s="32"/>
      <c r="Q673" s="32"/>
      <c r="R673" s="4"/>
      <c r="S673" s="4"/>
      <c r="T673" s="4"/>
      <c r="U673" s="4"/>
      <c r="V673" s="4"/>
      <c r="W673" s="4"/>
      <c r="X673" s="4"/>
      <c r="Y673" s="4"/>
      <c r="Z673" s="4"/>
    </row>
    <row x14ac:dyDescent="0.25" r="674" customHeight="1" ht="12.75">
      <c r="A674" s="4"/>
      <c r="B674" s="29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29"/>
      <c r="N674" s="29"/>
      <c r="O674" s="29"/>
      <c r="P674" s="32"/>
      <c r="Q674" s="32"/>
      <c r="R674" s="4"/>
      <c r="S674" s="4"/>
      <c r="T674" s="4"/>
      <c r="U674" s="4"/>
      <c r="V674" s="4"/>
      <c r="W674" s="4"/>
      <c r="X674" s="4"/>
      <c r="Y674" s="4"/>
      <c r="Z674" s="4"/>
    </row>
    <row x14ac:dyDescent="0.25" r="675" customHeight="1" ht="12.75">
      <c r="A675" s="4"/>
      <c r="B675" s="29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29"/>
      <c r="N675" s="29"/>
      <c r="O675" s="29"/>
      <c r="P675" s="32"/>
      <c r="Q675" s="32"/>
      <c r="R675" s="4"/>
      <c r="S675" s="4"/>
      <c r="T675" s="4"/>
      <c r="U675" s="4"/>
      <c r="V675" s="4"/>
      <c r="W675" s="4"/>
      <c r="X675" s="4"/>
      <c r="Y675" s="4"/>
      <c r="Z675" s="4"/>
    </row>
    <row x14ac:dyDescent="0.25" r="676" customHeight="1" ht="12.75">
      <c r="A676" s="4"/>
      <c r="B676" s="29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29"/>
      <c r="N676" s="29"/>
      <c r="O676" s="29"/>
      <c r="P676" s="32"/>
      <c r="Q676" s="32"/>
      <c r="R676" s="4"/>
      <c r="S676" s="4"/>
      <c r="T676" s="4"/>
      <c r="U676" s="4"/>
      <c r="V676" s="4"/>
      <c r="W676" s="4"/>
      <c r="X676" s="4"/>
      <c r="Y676" s="4"/>
      <c r="Z676" s="4"/>
    </row>
    <row x14ac:dyDescent="0.25" r="677" customHeight="1" ht="12.75">
      <c r="A677" s="4"/>
      <c r="B677" s="29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29"/>
      <c r="N677" s="29"/>
      <c r="O677" s="29"/>
      <c r="P677" s="32"/>
      <c r="Q677" s="32"/>
      <c r="R677" s="4"/>
      <c r="S677" s="4"/>
      <c r="T677" s="4"/>
      <c r="U677" s="4"/>
      <c r="V677" s="4"/>
      <c r="W677" s="4"/>
      <c r="X677" s="4"/>
      <c r="Y677" s="4"/>
      <c r="Z677" s="4"/>
    </row>
    <row x14ac:dyDescent="0.25" r="678" customHeight="1" ht="12.75">
      <c r="A678" s="4"/>
      <c r="B678" s="29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29"/>
      <c r="N678" s="29"/>
      <c r="O678" s="29"/>
      <c r="P678" s="32"/>
      <c r="Q678" s="32"/>
      <c r="R678" s="4"/>
      <c r="S678" s="4"/>
      <c r="T678" s="4"/>
      <c r="U678" s="4"/>
      <c r="V678" s="4"/>
      <c r="W678" s="4"/>
      <c r="X678" s="4"/>
      <c r="Y678" s="4"/>
      <c r="Z678" s="4"/>
    </row>
    <row x14ac:dyDescent="0.25" r="679" customHeight="1" ht="12.75">
      <c r="A679" s="4"/>
      <c r="B679" s="29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29"/>
      <c r="N679" s="29"/>
      <c r="O679" s="29"/>
      <c r="P679" s="32"/>
      <c r="Q679" s="32"/>
      <c r="R679" s="4"/>
      <c r="S679" s="4"/>
      <c r="T679" s="4"/>
      <c r="U679" s="4"/>
      <c r="V679" s="4"/>
      <c r="W679" s="4"/>
      <c r="X679" s="4"/>
      <c r="Y679" s="4"/>
      <c r="Z679" s="4"/>
    </row>
    <row x14ac:dyDescent="0.25" r="680" customHeight="1" ht="12.75">
      <c r="A680" s="4"/>
      <c r="B680" s="29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29"/>
      <c r="N680" s="29"/>
      <c r="O680" s="29"/>
      <c r="P680" s="32"/>
      <c r="Q680" s="32"/>
      <c r="R680" s="4"/>
      <c r="S680" s="4"/>
      <c r="T680" s="4"/>
      <c r="U680" s="4"/>
      <c r="V680" s="4"/>
      <c r="W680" s="4"/>
      <c r="X680" s="4"/>
      <c r="Y680" s="4"/>
      <c r="Z680" s="4"/>
    </row>
    <row x14ac:dyDescent="0.25" r="681" customHeight="1" ht="12.75">
      <c r="A681" s="4"/>
      <c r="B681" s="29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29"/>
      <c r="N681" s="29"/>
      <c r="O681" s="29"/>
      <c r="P681" s="32"/>
      <c r="Q681" s="32"/>
      <c r="R681" s="4"/>
      <c r="S681" s="4"/>
      <c r="T681" s="4"/>
      <c r="U681" s="4"/>
      <c r="V681" s="4"/>
      <c r="W681" s="4"/>
      <c r="X681" s="4"/>
      <c r="Y681" s="4"/>
      <c r="Z681" s="4"/>
    </row>
    <row x14ac:dyDescent="0.25" r="682" customHeight="1" ht="12.75">
      <c r="A682" s="4"/>
      <c r="B682" s="29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29"/>
      <c r="N682" s="29"/>
      <c r="O682" s="29"/>
      <c r="P682" s="32"/>
      <c r="Q682" s="32"/>
      <c r="R682" s="4"/>
      <c r="S682" s="4"/>
      <c r="T682" s="4"/>
      <c r="U682" s="4"/>
      <c r="V682" s="4"/>
      <c r="W682" s="4"/>
      <c r="X682" s="4"/>
      <c r="Y682" s="4"/>
      <c r="Z682" s="4"/>
    </row>
    <row x14ac:dyDescent="0.25" r="683" customHeight="1" ht="12.75">
      <c r="A683" s="4"/>
      <c r="B683" s="29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29"/>
      <c r="N683" s="29"/>
      <c r="O683" s="29"/>
      <c r="P683" s="32"/>
      <c r="Q683" s="32"/>
      <c r="R683" s="4"/>
      <c r="S683" s="4"/>
      <c r="T683" s="4"/>
      <c r="U683" s="4"/>
      <c r="V683" s="4"/>
      <c r="W683" s="4"/>
      <c r="X683" s="4"/>
      <c r="Y683" s="4"/>
      <c r="Z683" s="4"/>
    </row>
    <row x14ac:dyDescent="0.25" r="684" customHeight="1" ht="12.75">
      <c r="A684" s="4"/>
      <c r="B684" s="29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29"/>
      <c r="N684" s="29"/>
      <c r="O684" s="29"/>
      <c r="P684" s="32"/>
      <c r="Q684" s="32"/>
      <c r="R684" s="4"/>
      <c r="S684" s="4"/>
      <c r="T684" s="4"/>
      <c r="U684" s="4"/>
      <c r="V684" s="4"/>
      <c r="W684" s="4"/>
      <c r="X684" s="4"/>
      <c r="Y684" s="4"/>
      <c r="Z684" s="4"/>
    </row>
    <row x14ac:dyDescent="0.25" r="685" customHeight="1" ht="12.75">
      <c r="A685" s="4"/>
      <c r="B685" s="29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29"/>
      <c r="N685" s="29"/>
      <c r="O685" s="29"/>
      <c r="P685" s="32"/>
      <c r="Q685" s="32"/>
      <c r="R685" s="4"/>
      <c r="S685" s="4"/>
      <c r="T685" s="4"/>
      <c r="U685" s="4"/>
      <c r="V685" s="4"/>
      <c r="W685" s="4"/>
      <c r="X685" s="4"/>
      <c r="Y685" s="4"/>
      <c r="Z685" s="4"/>
    </row>
    <row x14ac:dyDescent="0.25" r="686" customHeight="1" ht="12.75">
      <c r="A686" s="4"/>
      <c r="B686" s="29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29"/>
      <c r="N686" s="29"/>
      <c r="O686" s="29"/>
      <c r="P686" s="32"/>
      <c r="Q686" s="32"/>
      <c r="R686" s="4"/>
      <c r="S686" s="4"/>
      <c r="T686" s="4"/>
      <c r="U686" s="4"/>
      <c r="V686" s="4"/>
      <c r="W686" s="4"/>
      <c r="X686" s="4"/>
      <c r="Y686" s="4"/>
      <c r="Z686" s="4"/>
    </row>
    <row x14ac:dyDescent="0.25" r="687" customHeight="1" ht="12.75">
      <c r="A687" s="4"/>
      <c r="B687" s="29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29"/>
      <c r="N687" s="29"/>
      <c r="O687" s="29"/>
      <c r="P687" s="32"/>
      <c r="Q687" s="32"/>
      <c r="R687" s="4"/>
      <c r="S687" s="4"/>
      <c r="T687" s="4"/>
      <c r="U687" s="4"/>
      <c r="V687" s="4"/>
      <c r="W687" s="4"/>
      <c r="X687" s="4"/>
      <c r="Y687" s="4"/>
      <c r="Z687" s="4"/>
    </row>
    <row x14ac:dyDescent="0.25" r="688" customHeight="1" ht="12.75">
      <c r="A688" s="4"/>
      <c r="B688" s="29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29"/>
      <c r="N688" s="29"/>
      <c r="O688" s="29"/>
      <c r="P688" s="32"/>
      <c r="Q688" s="32"/>
      <c r="R688" s="4"/>
      <c r="S688" s="4"/>
      <c r="T688" s="4"/>
      <c r="U688" s="4"/>
      <c r="V688" s="4"/>
      <c r="W688" s="4"/>
      <c r="X688" s="4"/>
      <c r="Y688" s="4"/>
      <c r="Z688" s="4"/>
    </row>
    <row x14ac:dyDescent="0.25" r="689" customHeight="1" ht="12.75">
      <c r="A689" s="4"/>
      <c r="B689" s="29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29"/>
      <c r="N689" s="29"/>
      <c r="O689" s="29"/>
      <c r="P689" s="32"/>
      <c r="Q689" s="32"/>
      <c r="R689" s="4"/>
      <c r="S689" s="4"/>
      <c r="T689" s="4"/>
      <c r="U689" s="4"/>
      <c r="V689" s="4"/>
      <c r="W689" s="4"/>
      <c r="X689" s="4"/>
      <c r="Y689" s="4"/>
      <c r="Z689" s="4"/>
    </row>
    <row x14ac:dyDescent="0.25" r="690" customHeight="1" ht="12.75">
      <c r="A690" s="4"/>
      <c r="B690" s="29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29"/>
      <c r="N690" s="29"/>
      <c r="O690" s="29"/>
      <c r="P690" s="32"/>
      <c r="Q690" s="32"/>
      <c r="R690" s="4"/>
      <c r="S690" s="4"/>
      <c r="T690" s="4"/>
      <c r="U690" s="4"/>
      <c r="V690" s="4"/>
      <c r="W690" s="4"/>
      <c r="X690" s="4"/>
      <c r="Y690" s="4"/>
      <c r="Z690" s="4"/>
    </row>
    <row x14ac:dyDescent="0.25" r="691" customHeight="1" ht="12.75">
      <c r="A691" s="4"/>
      <c r="B691" s="29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29"/>
      <c r="N691" s="29"/>
      <c r="O691" s="29"/>
      <c r="P691" s="32"/>
      <c r="Q691" s="32"/>
      <c r="R691" s="4"/>
      <c r="S691" s="4"/>
      <c r="T691" s="4"/>
      <c r="U691" s="4"/>
      <c r="V691" s="4"/>
      <c r="W691" s="4"/>
      <c r="X691" s="4"/>
      <c r="Y691" s="4"/>
      <c r="Z691" s="4"/>
    </row>
    <row x14ac:dyDescent="0.25" r="692" customHeight="1" ht="12.75">
      <c r="A692" s="4"/>
      <c r="B692" s="29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29"/>
      <c r="N692" s="29"/>
      <c r="O692" s="29"/>
      <c r="P692" s="32"/>
      <c r="Q692" s="32"/>
      <c r="R692" s="4"/>
      <c r="S692" s="4"/>
      <c r="T692" s="4"/>
      <c r="U692" s="4"/>
      <c r="V692" s="4"/>
      <c r="W692" s="4"/>
      <c r="X692" s="4"/>
      <c r="Y692" s="4"/>
      <c r="Z692" s="4"/>
    </row>
    <row x14ac:dyDescent="0.25" r="693" customHeight="1" ht="12.75">
      <c r="A693" s="4"/>
      <c r="B693" s="29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29"/>
      <c r="N693" s="29"/>
      <c r="O693" s="29"/>
      <c r="P693" s="32"/>
      <c r="Q693" s="32"/>
      <c r="R693" s="4"/>
      <c r="S693" s="4"/>
      <c r="T693" s="4"/>
      <c r="U693" s="4"/>
      <c r="V693" s="4"/>
      <c r="W693" s="4"/>
      <c r="X693" s="4"/>
      <c r="Y693" s="4"/>
      <c r="Z693" s="4"/>
    </row>
    <row x14ac:dyDescent="0.25" r="694" customHeight="1" ht="12.75">
      <c r="A694" s="4"/>
      <c r="B694" s="29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29"/>
      <c r="N694" s="29"/>
      <c r="O694" s="29"/>
      <c r="P694" s="32"/>
      <c r="Q694" s="32"/>
      <c r="R694" s="4"/>
      <c r="S694" s="4"/>
      <c r="T694" s="4"/>
      <c r="U694" s="4"/>
      <c r="V694" s="4"/>
      <c r="W694" s="4"/>
      <c r="X694" s="4"/>
      <c r="Y694" s="4"/>
      <c r="Z694" s="4"/>
    </row>
    <row x14ac:dyDescent="0.25" r="695" customHeight="1" ht="12.75">
      <c r="A695" s="4"/>
      <c r="B695" s="29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29"/>
      <c r="N695" s="29"/>
      <c r="O695" s="29"/>
      <c r="P695" s="32"/>
      <c r="Q695" s="32"/>
      <c r="R695" s="4"/>
      <c r="S695" s="4"/>
      <c r="T695" s="4"/>
      <c r="U695" s="4"/>
      <c r="V695" s="4"/>
      <c r="W695" s="4"/>
      <c r="X695" s="4"/>
      <c r="Y695" s="4"/>
      <c r="Z695" s="4"/>
    </row>
    <row x14ac:dyDescent="0.25" r="696" customHeight="1" ht="12.75">
      <c r="A696" s="4"/>
      <c r="B696" s="29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29"/>
      <c r="N696" s="29"/>
      <c r="O696" s="29"/>
      <c r="P696" s="32"/>
      <c r="Q696" s="32"/>
      <c r="R696" s="4"/>
      <c r="S696" s="4"/>
      <c r="T696" s="4"/>
      <c r="U696" s="4"/>
      <c r="V696" s="4"/>
      <c r="W696" s="4"/>
      <c r="X696" s="4"/>
      <c r="Y696" s="4"/>
      <c r="Z696" s="4"/>
    </row>
    <row x14ac:dyDescent="0.25" r="697" customHeight="1" ht="12.75">
      <c r="A697" s="4"/>
      <c r="B697" s="29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29"/>
      <c r="N697" s="29"/>
      <c r="O697" s="29"/>
      <c r="P697" s="32"/>
      <c r="Q697" s="32"/>
      <c r="R697" s="4"/>
      <c r="S697" s="4"/>
      <c r="T697" s="4"/>
      <c r="U697" s="4"/>
      <c r="V697" s="4"/>
      <c r="W697" s="4"/>
      <c r="X697" s="4"/>
      <c r="Y697" s="4"/>
      <c r="Z697" s="4"/>
    </row>
    <row x14ac:dyDescent="0.25" r="698" customHeight="1" ht="12.75">
      <c r="A698" s="4"/>
      <c r="B698" s="29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29"/>
      <c r="N698" s="29"/>
      <c r="O698" s="29"/>
      <c r="P698" s="32"/>
      <c r="Q698" s="32"/>
      <c r="R698" s="4"/>
      <c r="S698" s="4"/>
      <c r="T698" s="4"/>
      <c r="U698" s="4"/>
      <c r="V698" s="4"/>
      <c r="W698" s="4"/>
      <c r="X698" s="4"/>
      <c r="Y698" s="4"/>
      <c r="Z698" s="4"/>
    </row>
    <row x14ac:dyDescent="0.25" r="699" customHeight="1" ht="12.75">
      <c r="A699" s="4"/>
      <c r="B699" s="29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29"/>
      <c r="N699" s="29"/>
      <c r="O699" s="29"/>
      <c r="P699" s="32"/>
      <c r="Q699" s="32"/>
      <c r="R699" s="4"/>
      <c r="S699" s="4"/>
      <c r="T699" s="4"/>
      <c r="U699" s="4"/>
      <c r="V699" s="4"/>
      <c r="W699" s="4"/>
      <c r="X699" s="4"/>
      <c r="Y699" s="4"/>
      <c r="Z699" s="4"/>
    </row>
    <row x14ac:dyDescent="0.25" r="700" customHeight="1" ht="12.75">
      <c r="A700" s="4"/>
      <c r="B700" s="29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29"/>
      <c r="N700" s="29"/>
      <c r="O700" s="29"/>
      <c r="P700" s="32"/>
      <c r="Q700" s="32"/>
      <c r="R700" s="4"/>
      <c r="S700" s="4"/>
      <c r="T700" s="4"/>
      <c r="U700" s="4"/>
      <c r="V700" s="4"/>
      <c r="W700" s="4"/>
      <c r="X700" s="4"/>
      <c r="Y700" s="4"/>
      <c r="Z700" s="4"/>
    </row>
    <row x14ac:dyDescent="0.25" r="701" customHeight="1" ht="12.75">
      <c r="A701" s="4"/>
      <c r="B701" s="29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29"/>
      <c r="N701" s="29"/>
      <c r="O701" s="29"/>
      <c r="P701" s="32"/>
      <c r="Q701" s="32"/>
      <c r="R701" s="4"/>
      <c r="S701" s="4"/>
      <c r="T701" s="4"/>
      <c r="U701" s="4"/>
      <c r="V701" s="4"/>
      <c r="W701" s="4"/>
      <c r="X701" s="4"/>
      <c r="Y701" s="4"/>
      <c r="Z701" s="4"/>
    </row>
    <row x14ac:dyDescent="0.25" r="702" customHeight="1" ht="12.75">
      <c r="A702" s="4"/>
      <c r="B702" s="29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29"/>
      <c r="N702" s="29"/>
      <c r="O702" s="29"/>
      <c r="P702" s="32"/>
      <c r="Q702" s="32"/>
      <c r="R702" s="4"/>
      <c r="S702" s="4"/>
      <c r="T702" s="4"/>
      <c r="U702" s="4"/>
      <c r="V702" s="4"/>
      <c r="W702" s="4"/>
      <c r="X702" s="4"/>
      <c r="Y702" s="4"/>
      <c r="Z702" s="4"/>
    </row>
    <row x14ac:dyDescent="0.25" r="703" customHeight="1" ht="12.75">
      <c r="A703" s="4"/>
      <c r="B703" s="29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29"/>
      <c r="N703" s="29"/>
      <c r="O703" s="29"/>
      <c r="P703" s="32"/>
      <c r="Q703" s="32"/>
      <c r="R703" s="4"/>
      <c r="S703" s="4"/>
      <c r="T703" s="4"/>
      <c r="U703" s="4"/>
      <c r="V703" s="4"/>
      <c r="W703" s="4"/>
      <c r="X703" s="4"/>
      <c r="Y703" s="4"/>
      <c r="Z703" s="4"/>
    </row>
    <row x14ac:dyDescent="0.25" r="704" customHeight="1" ht="12.75">
      <c r="A704" s="4"/>
      <c r="B704" s="29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29"/>
      <c r="N704" s="29"/>
      <c r="O704" s="29"/>
      <c r="P704" s="32"/>
      <c r="Q704" s="32"/>
      <c r="R704" s="4"/>
      <c r="S704" s="4"/>
      <c r="T704" s="4"/>
      <c r="U704" s="4"/>
      <c r="V704" s="4"/>
      <c r="W704" s="4"/>
      <c r="X704" s="4"/>
      <c r="Y704" s="4"/>
      <c r="Z704" s="4"/>
    </row>
    <row x14ac:dyDescent="0.25" r="705" customHeight="1" ht="12.75">
      <c r="A705" s="4"/>
      <c r="B705" s="29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29"/>
      <c r="N705" s="29"/>
      <c r="O705" s="29"/>
      <c r="P705" s="32"/>
      <c r="Q705" s="32"/>
      <c r="R705" s="4"/>
      <c r="S705" s="4"/>
      <c r="T705" s="4"/>
      <c r="U705" s="4"/>
      <c r="V705" s="4"/>
      <c r="W705" s="4"/>
      <c r="X705" s="4"/>
      <c r="Y705" s="4"/>
      <c r="Z705" s="4"/>
    </row>
    <row x14ac:dyDescent="0.25" r="706" customHeight="1" ht="12.75">
      <c r="A706" s="4"/>
      <c r="B706" s="29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29"/>
      <c r="N706" s="29"/>
      <c r="O706" s="29"/>
      <c r="P706" s="32"/>
      <c r="Q706" s="32"/>
      <c r="R706" s="4"/>
      <c r="S706" s="4"/>
      <c r="T706" s="4"/>
      <c r="U706" s="4"/>
      <c r="V706" s="4"/>
      <c r="W706" s="4"/>
      <c r="X706" s="4"/>
      <c r="Y706" s="4"/>
      <c r="Z706" s="4"/>
    </row>
    <row x14ac:dyDescent="0.25" r="707" customHeight="1" ht="12.75">
      <c r="A707" s="4"/>
      <c r="B707" s="29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29"/>
      <c r="N707" s="29"/>
      <c r="O707" s="29"/>
      <c r="P707" s="32"/>
      <c r="Q707" s="32"/>
      <c r="R707" s="4"/>
      <c r="S707" s="4"/>
      <c r="T707" s="4"/>
      <c r="U707" s="4"/>
      <c r="V707" s="4"/>
      <c r="W707" s="4"/>
      <c r="X707" s="4"/>
      <c r="Y707" s="4"/>
      <c r="Z707" s="4"/>
    </row>
    <row x14ac:dyDescent="0.25" r="708" customHeight="1" ht="12.75">
      <c r="A708" s="4"/>
      <c r="B708" s="29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29"/>
      <c r="N708" s="29"/>
      <c r="O708" s="29"/>
      <c r="P708" s="32"/>
      <c r="Q708" s="32"/>
      <c r="R708" s="4"/>
      <c r="S708" s="4"/>
      <c r="T708" s="4"/>
      <c r="U708" s="4"/>
      <c r="V708" s="4"/>
      <c r="W708" s="4"/>
      <c r="X708" s="4"/>
      <c r="Y708" s="4"/>
      <c r="Z708" s="4"/>
    </row>
    <row x14ac:dyDescent="0.25" r="709" customHeight="1" ht="12.75">
      <c r="A709" s="4"/>
      <c r="B709" s="29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29"/>
      <c r="N709" s="29"/>
      <c r="O709" s="29"/>
      <c r="P709" s="32"/>
      <c r="Q709" s="32"/>
      <c r="R709" s="4"/>
      <c r="S709" s="4"/>
      <c r="T709" s="4"/>
      <c r="U709" s="4"/>
      <c r="V709" s="4"/>
      <c r="W709" s="4"/>
      <c r="X709" s="4"/>
      <c r="Y709" s="4"/>
      <c r="Z709" s="4"/>
    </row>
    <row x14ac:dyDescent="0.25" r="710" customHeight="1" ht="12.75">
      <c r="A710" s="4"/>
      <c r="B710" s="29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29"/>
      <c r="N710" s="29"/>
      <c r="O710" s="29"/>
      <c r="P710" s="32"/>
      <c r="Q710" s="32"/>
      <c r="R710" s="4"/>
      <c r="S710" s="4"/>
      <c r="T710" s="4"/>
      <c r="U710" s="4"/>
      <c r="V710" s="4"/>
      <c r="W710" s="4"/>
      <c r="X710" s="4"/>
      <c r="Y710" s="4"/>
      <c r="Z710" s="4"/>
    </row>
    <row x14ac:dyDescent="0.25" r="711" customHeight="1" ht="12.75">
      <c r="A711" s="4"/>
      <c r="B711" s="29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29"/>
      <c r="N711" s="29"/>
      <c r="O711" s="29"/>
      <c r="P711" s="32"/>
      <c r="Q711" s="32"/>
      <c r="R711" s="4"/>
      <c r="S711" s="4"/>
      <c r="T711" s="4"/>
      <c r="U711" s="4"/>
      <c r="V711" s="4"/>
      <c r="W711" s="4"/>
      <c r="X711" s="4"/>
      <c r="Y711" s="4"/>
      <c r="Z711" s="4"/>
    </row>
    <row x14ac:dyDescent="0.25" r="712" customHeight="1" ht="12.75">
      <c r="A712" s="4"/>
      <c r="B712" s="29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29"/>
      <c r="N712" s="29"/>
      <c r="O712" s="29"/>
      <c r="P712" s="32"/>
      <c r="Q712" s="32"/>
      <c r="R712" s="4"/>
      <c r="S712" s="4"/>
      <c r="T712" s="4"/>
      <c r="U712" s="4"/>
      <c r="V712" s="4"/>
      <c r="W712" s="4"/>
      <c r="X712" s="4"/>
      <c r="Y712" s="4"/>
      <c r="Z712" s="4"/>
    </row>
    <row x14ac:dyDescent="0.25" r="713" customHeight="1" ht="12.75">
      <c r="A713" s="4"/>
      <c r="B713" s="29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29"/>
      <c r="N713" s="29"/>
      <c r="O713" s="29"/>
      <c r="P713" s="32"/>
      <c r="Q713" s="32"/>
      <c r="R713" s="4"/>
      <c r="S713" s="4"/>
      <c r="T713" s="4"/>
      <c r="U713" s="4"/>
      <c r="V713" s="4"/>
      <c r="W713" s="4"/>
      <c r="X713" s="4"/>
      <c r="Y713" s="4"/>
      <c r="Z713" s="4"/>
    </row>
    <row x14ac:dyDescent="0.25" r="714" customHeight="1" ht="12.75">
      <c r="A714" s="4"/>
      <c r="B714" s="29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29"/>
      <c r="N714" s="29"/>
      <c r="O714" s="29"/>
      <c r="P714" s="32"/>
      <c r="Q714" s="32"/>
      <c r="R714" s="4"/>
      <c r="S714" s="4"/>
      <c r="T714" s="4"/>
      <c r="U714" s="4"/>
      <c r="V714" s="4"/>
      <c r="W714" s="4"/>
      <c r="X714" s="4"/>
      <c r="Y714" s="4"/>
      <c r="Z714" s="4"/>
    </row>
    <row x14ac:dyDescent="0.25" r="715" customHeight="1" ht="12.75">
      <c r="A715" s="4"/>
      <c r="B715" s="29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29"/>
      <c r="N715" s="29"/>
      <c r="O715" s="29"/>
      <c r="P715" s="32"/>
      <c r="Q715" s="32"/>
      <c r="R715" s="4"/>
      <c r="S715" s="4"/>
      <c r="T715" s="4"/>
      <c r="U715" s="4"/>
      <c r="V715" s="4"/>
      <c r="W715" s="4"/>
      <c r="X715" s="4"/>
      <c r="Y715" s="4"/>
      <c r="Z715" s="4"/>
    </row>
    <row x14ac:dyDescent="0.25" r="716" customHeight="1" ht="12.75">
      <c r="A716" s="4"/>
      <c r="B716" s="29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29"/>
      <c r="N716" s="29"/>
      <c r="O716" s="29"/>
      <c r="P716" s="32"/>
      <c r="Q716" s="32"/>
      <c r="R716" s="4"/>
      <c r="S716" s="4"/>
      <c r="T716" s="4"/>
      <c r="U716" s="4"/>
      <c r="V716" s="4"/>
      <c r="W716" s="4"/>
      <c r="X716" s="4"/>
      <c r="Y716" s="4"/>
      <c r="Z716" s="4"/>
    </row>
    <row x14ac:dyDescent="0.25" r="717" customHeight="1" ht="12.75">
      <c r="A717" s="4"/>
      <c r="B717" s="29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29"/>
      <c r="N717" s="29"/>
      <c r="O717" s="29"/>
      <c r="P717" s="32"/>
      <c r="Q717" s="32"/>
      <c r="R717" s="4"/>
      <c r="S717" s="4"/>
      <c r="T717" s="4"/>
      <c r="U717" s="4"/>
      <c r="V717" s="4"/>
      <c r="W717" s="4"/>
      <c r="X717" s="4"/>
      <c r="Y717" s="4"/>
      <c r="Z717" s="4"/>
    </row>
    <row x14ac:dyDescent="0.25" r="718" customHeight="1" ht="12.75">
      <c r="A718" s="4"/>
      <c r="B718" s="29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29"/>
      <c r="N718" s="29"/>
      <c r="O718" s="29"/>
      <c r="P718" s="32"/>
      <c r="Q718" s="32"/>
      <c r="R718" s="4"/>
      <c r="S718" s="4"/>
      <c r="T718" s="4"/>
      <c r="U718" s="4"/>
      <c r="V718" s="4"/>
      <c r="W718" s="4"/>
      <c r="X718" s="4"/>
      <c r="Y718" s="4"/>
      <c r="Z718" s="4"/>
    </row>
    <row x14ac:dyDescent="0.25" r="719" customHeight="1" ht="12.75">
      <c r="A719" s="4"/>
      <c r="B719" s="29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29"/>
      <c r="N719" s="29"/>
      <c r="O719" s="29"/>
      <c r="P719" s="32"/>
      <c r="Q719" s="32"/>
      <c r="R719" s="4"/>
      <c r="S719" s="4"/>
      <c r="T719" s="4"/>
      <c r="U719" s="4"/>
      <c r="V719" s="4"/>
      <c r="W719" s="4"/>
      <c r="X719" s="4"/>
      <c r="Y719" s="4"/>
      <c r="Z719" s="4"/>
    </row>
    <row x14ac:dyDescent="0.25" r="720" customHeight="1" ht="12.75">
      <c r="A720" s="4"/>
      <c r="B720" s="29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29"/>
      <c r="N720" s="29"/>
      <c r="O720" s="29"/>
      <c r="P720" s="32"/>
      <c r="Q720" s="32"/>
      <c r="R720" s="4"/>
      <c r="S720" s="4"/>
      <c r="T720" s="4"/>
      <c r="U720" s="4"/>
      <c r="V720" s="4"/>
      <c r="W720" s="4"/>
      <c r="X720" s="4"/>
      <c r="Y720" s="4"/>
      <c r="Z720" s="4"/>
    </row>
    <row x14ac:dyDescent="0.25" r="721" customHeight="1" ht="12.75">
      <c r="A721" s="4"/>
      <c r="B721" s="29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29"/>
      <c r="N721" s="29"/>
      <c r="O721" s="29"/>
      <c r="P721" s="32"/>
      <c r="Q721" s="32"/>
      <c r="R721" s="4"/>
      <c r="S721" s="4"/>
      <c r="T721" s="4"/>
      <c r="U721" s="4"/>
      <c r="V721" s="4"/>
      <c r="W721" s="4"/>
      <c r="X721" s="4"/>
      <c r="Y721" s="4"/>
      <c r="Z721" s="4"/>
    </row>
    <row x14ac:dyDescent="0.25" r="722" customHeight="1" ht="12.75">
      <c r="A722" s="4"/>
      <c r="B722" s="29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29"/>
      <c r="N722" s="29"/>
      <c r="O722" s="29"/>
      <c r="P722" s="32"/>
      <c r="Q722" s="32"/>
      <c r="R722" s="4"/>
      <c r="S722" s="4"/>
      <c r="T722" s="4"/>
      <c r="U722" s="4"/>
      <c r="V722" s="4"/>
      <c r="W722" s="4"/>
      <c r="X722" s="4"/>
      <c r="Y722" s="4"/>
      <c r="Z722" s="4"/>
    </row>
    <row x14ac:dyDescent="0.25" r="723" customHeight="1" ht="12.75">
      <c r="A723" s="4"/>
      <c r="B723" s="29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29"/>
      <c r="N723" s="29"/>
      <c r="O723" s="29"/>
      <c r="P723" s="32"/>
      <c r="Q723" s="32"/>
      <c r="R723" s="4"/>
      <c r="S723" s="4"/>
      <c r="T723" s="4"/>
      <c r="U723" s="4"/>
      <c r="V723" s="4"/>
      <c r="W723" s="4"/>
      <c r="X723" s="4"/>
      <c r="Y723" s="4"/>
      <c r="Z723" s="4"/>
    </row>
    <row x14ac:dyDescent="0.25" r="724" customHeight="1" ht="12.75">
      <c r="A724" s="4"/>
      <c r="B724" s="29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29"/>
      <c r="N724" s="29"/>
      <c r="O724" s="29"/>
      <c r="P724" s="32"/>
      <c r="Q724" s="32"/>
      <c r="R724" s="4"/>
      <c r="S724" s="4"/>
      <c r="T724" s="4"/>
      <c r="U724" s="4"/>
      <c r="V724" s="4"/>
      <c r="W724" s="4"/>
      <c r="X724" s="4"/>
      <c r="Y724" s="4"/>
      <c r="Z724" s="4"/>
    </row>
    <row x14ac:dyDescent="0.25" r="725" customHeight="1" ht="12.75">
      <c r="A725" s="4"/>
      <c r="B725" s="29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29"/>
      <c r="N725" s="29"/>
      <c r="O725" s="29"/>
      <c r="P725" s="32"/>
      <c r="Q725" s="32"/>
      <c r="R725" s="4"/>
      <c r="S725" s="4"/>
      <c r="T725" s="4"/>
      <c r="U725" s="4"/>
      <c r="V725" s="4"/>
      <c r="W725" s="4"/>
      <c r="X725" s="4"/>
      <c r="Y725" s="4"/>
      <c r="Z725" s="4"/>
    </row>
    <row x14ac:dyDescent="0.25" r="726" customHeight="1" ht="12.75">
      <c r="A726" s="4"/>
      <c r="B726" s="29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29"/>
      <c r="N726" s="29"/>
      <c r="O726" s="29"/>
      <c r="P726" s="32"/>
      <c r="Q726" s="32"/>
      <c r="R726" s="4"/>
      <c r="S726" s="4"/>
      <c r="T726" s="4"/>
      <c r="U726" s="4"/>
      <c r="V726" s="4"/>
      <c r="W726" s="4"/>
      <c r="X726" s="4"/>
      <c r="Y726" s="4"/>
      <c r="Z726" s="4"/>
    </row>
    <row x14ac:dyDescent="0.25" r="727" customHeight="1" ht="12.75">
      <c r="A727" s="4"/>
      <c r="B727" s="29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29"/>
      <c r="N727" s="29"/>
      <c r="O727" s="29"/>
      <c r="P727" s="32"/>
      <c r="Q727" s="32"/>
      <c r="R727" s="4"/>
      <c r="S727" s="4"/>
      <c r="T727" s="4"/>
      <c r="U727" s="4"/>
      <c r="V727" s="4"/>
      <c r="W727" s="4"/>
      <c r="X727" s="4"/>
      <c r="Y727" s="4"/>
      <c r="Z727" s="4"/>
    </row>
    <row x14ac:dyDescent="0.25" r="728" customHeight="1" ht="12.75">
      <c r="A728" s="4"/>
      <c r="B728" s="29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29"/>
      <c r="N728" s="29"/>
      <c r="O728" s="29"/>
      <c r="P728" s="32"/>
      <c r="Q728" s="32"/>
      <c r="R728" s="4"/>
      <c r="S728" s="4"/>
      <c r="T728" s="4"/>
      <c r="U728" s="4"/>
      <c r="V728" s="4"/>
      <c r="W728" s="4"/>
      <c r="X728" s="4"/>
      <c r="Y728" s="4"/>
      <c r="Z728" s="4"/>
    </row>
    <row x14ac:dyDescent="0.25" r="729" customHeight="1" ht="12.75">
      <c r="A729" s="4"/>
      <c r="B729" s="29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29"/>
      <c r="N729" s="29"/>
      <c r="O729" s="29"/>
      <c r="P729" s="32"/>
      <c r="Q729" s="32"/>
      <c r="R729" s="4"/>
      <c r="S729" s="4"/>
      <c r="T729" s="4"/>
      <c r="U729" s="4"/>
      <c r="V729" s="4"/>
      <c r="W729" s="4"/>
      <c r="X729" s="4"/>
      <c r="Y729" s="4"/>
      <c r="Z729" s="4"/>
    </row>
    <row x14ac:dyDescent="0.25" r="730" customHeight="1" ht="12.75">
      <c r="A730" s="4"/>
      <c r="B730" s="29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29"/>
      <c r="N730" s="29"/>
      <c r="O730" s="29"/>
      <c r="P730" s="32"/>
      <c r="Q730" s="32"/>
      <c r="R730" s="4"/>
      <c r="S730" s="4"/>
      <c r="T730" s="4"/>
      <c r="U730" s="4"/>
      <c r="V730" s="4"/>
      <c r="W730" s="4"/>
      <c r="X730" s="4"/>
      <c r="Y730" s="4"/>
      <c r="Z730" s="4"/>
    </row>
    <row x14ac:dyDescent="0.25" r="731" customHeight="1" ht="12.75">
      <c r="A731" s="4"/>
      <c r="B731" s="29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29"/>
      <c r="N731" s="29"/>
      <c r="O731" s="29"/>
      <c r="P731" s="32"/>
      <c r="Q731" s="32"/>
      <c r="R731" s="4"/>
      <c r="S731" s="4"/>
      <c r="T731" s="4"/>
      <c r="U731" s="4"/>
      <c r="V731" s="4"/>
      <c r="W731" s="4"/>
      <c r="X731" s="4"/>
      <c r="Y731" s="4"/>
      <c r="Z731" s="4"/>
    </row>
    <row x14ac:dyDescent="0.25" r="732" customHeight="1" ht="12.75">
      <c r="A732" s="4"/>
      <c r="B732" s="29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29"/>
      <c r="N732" s="29"/>
      <c r="O732" s="29"/>
      <c r="P732" s="32"/>
      <c r="Q732" s="32"/>
      <c r="R732" s="4"/>
      <c r="S732" s="4"/>
      <c r="T732" s="4"/>
      <c r="U732" s="4"/>
      <c r="V732" s="4"/>
      <c r="W732" s="4"/>
      <c r="X732" s="4"/>
      <c r="Y732" s="4"/>
      <c r="Z732" s="4"/>
    </row>
    <row x14ac:dyDescent="0.25" r="733" customHeight="1" ht="12.75">
      <c r="A733" s="4"/>
      <c r="B733" s="29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29"/>
      <c r="N733" s="29"/>
      <c r="O733" s="29"/>
      <c r="P733" s="32"/>
      <c r="Q733" s="32"/>
      <c r="R733" s="4"/>
      <c r="S733" s="4"/>
      <c r="T733" s="4"/>
      <c r="U733" s="4"/>
      <c r="V733" s="4"/>
      <c r="W733" s="4"/>
      <c r="X733" s="4"/>
      <c r="Y733" s="4"/>
      <c r="Z733" s="4"/>
    </row>
    <row x14ac:dyDescent="0.25" r="734" customHeight="1" ht="12.75">
      <c r="A734" s="4"/>
      <c r="B734" s="29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29"/>
      <c r="N734" s="29"/>
      <c r="O734" s="29"/>
      <c r="P734" s="32"/>
      <c r="Q734" s="32"/>
      <c r="R734" s="4"/>
      <c r="S734" s="4"/>
      <c r="T734" s="4"/>
      <c r="U734" s="4"/>
      <c r="V734" s="4"/>
      <c r="W734" s="4"/>
      <c r="X734" s="4"/>
      <c r="Y734" s="4"/>
      <c r="Z734" s="4"/>
    </row>
    <row x14ac:dyDescent="0.25" r="735" customHeight="1" ht="12.75">
      <c r="A735" s="4"/>
      <c r="B735" s="29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29"/>
      <c r="N735" s="29"/>
      <c r="O735" s="29"/>
      <c r="P735" s="32"/>
      <c r="Q735" s="32"/>
      <c r="R735" s="4"/>
      <c r="S735" s="4"/>
      <c r="T735" s="4"/>
      <c r="U735" s="4"/>
      <c r="V735" s="4"/>
      <c r="W735" s="4"/>
      <c r="X735" s="4"/>
      <c r="Y735" s="4"/>
      <c r="Z735" s="4"/>
    </row>
    <row x14ac:dyDescent="0.25" r="736" customHeight="1" ht="12.75">
      <c r="A736" s="4"/>
      <c r="B736" s="29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29"/>
      <c r="N736" s="29"/>
      <c r="O736" s="29"/>
      <c r="P736" s="32"/>
      <c r="Q736" s="32"/>
      <c r="R736" s="4"/>
      <c r="S736" s="4"/>
      <c r="T736" s="4"/>
      <c r="U736" s="4"/>
      <c r="V736" s="4"/>
      <c r="W736" s="4"/>
      <c r="X736" s="4"/>
      <c r="Y736" s="4"/>
      <c r="Z736" s="4"/>
    </row>
    <row x14ac:dyDescent="0.25" r="737" customHeight="1" ht="12.75">
      <c r="A737" s="4"/>
      <c r="B737" s="29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29"/>
      <c r="N737" s="29"/>
      <c r="O737" s="29"/>
      <c r="P737" s="32"/>
      <c r="Q737" s="32"/>
      <c r="R737" s="4"/>
      <c r="S737" s="4"/>
      <c r="T737" s="4"/>
      <c r="U737" s="4"/>
      <c r="V737" s="4"/>
      <c r="W737" s="4"/>
      <c r="X737" s="4"/>
      <c r="Y737" s="4"/>
      <c r="Z737" s="4"/>
    </row>
    <row x14ac:dyDescent="0.25" r="738" customHeight="1" ht="12.75">
      <c r="A738" s="4"/>
      <c r="B738" s="29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29"/>
      <c r="N738" s="29"/>
      <c r="O738" s="29"/>
      <c r="P738" s="32"/>
      <c r="Q738" s="32"/>
      <c r="R738" s="4"/>
      <c r="S738" s="4"/>
      <c r="T738" s="4"/>
      <c r="U738" s="4"/>
      <c r="V738" s="4"/>
      <c r="W738" s="4"/>
      <c r="X738" s="4"/>
      <c r="Y738" s="4"/>
      <c r="Z738" s="4"/>
    </row>
    <row x14ac:dyDescent="0.25" r="739" customHeight="1" ht="12.75">
      <c r="A739" s="4"/>
      <c r="B739" s="29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29"/>
      <c r="N739" s="29"/>
      <c r="O739" s="29"/>
      <c r="P739" s="32"/>
      <c r="Q739" s="32"/>
      <c r="R739" s="4"/>
      <c r="S739" s="4"/>
      <c r="T739" s="4"/>
      <c r="U739" s="4"/>
      <c r="V739" s="4"/>
      <c r="W739" s="4"/>
      <c r="X739" s="4"/>
      <c r="Y739" s="4"/>
      <c r="Z739" s="4"/>
    </row>
    <row x14ac:dyDescent="0.25" r="740" customHeight="1" ht="12.75">
      <c r="A740" s="4"/>
      <c r="B740" s="29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29"/>
      <c r="N740" s="29"/>
      <c r="O740" s="29"/>
      <c r="P740" s="32"/>
      <c r="Q740" s="32"/>
      <c r="R740" s="4"/>
      <c r="S740" s="4"/>
      <c r="T740" s="4"/>
      <c r="U740" s="4"/>
      <c r="V740" s="4"/>
      <c r="W740" s="4"/>
      <c r="X740" s="4"/>
      <c r="Y740" s="4"/>
      <c r="Z740" s="4"/>
    </row>
    <row x14ac:dyDescent="0.25" r="741" customHeight="1" ht="12.75">
      <c r="A741" s="4"/>
      <c r="B741" s="29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29"/>
      <c r="N741" s="29"/>
      <c r="O741" s="29"/>
      <c r="P741" s="32"/>
      <c r="Q741" s="32"/>
      <c r="R741" s="4"/>
      <c r="S741" s="4"/>
      <c r="T741" s="4"/>
      <c r="U741" s="4"/>
      <c r="V741" s="4"/>
      <c r="W741" s="4"/>
      <c r="X741" s="4"/>
      <c r="Y741" s="4"/>
      <c r="Z741" s="4"/>
    </row>
    <row x14ac:dyDescent="0.25" r="742" customHeight="1" ht="12.75">
      <c r="A742" s="4"/>
      <c r="B742" s="29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29"/>
      <c r="N742" s="29"/>
      <c r="O742" s="29"/>
      <c r="P742" s="32"/>
      <c r="Q742" s="32"/>
      <c r="R742" s="4"/>
      <c r="S742" s="4"/>
      <c r="T742" s="4"/>
      <c r="U742" s="4"/>
      <c r="V742" s="4"/>
      <c r="W742" s="4"/>
      <c r="X742" s="4"/>
      <c r="Y742" s="4"/>
      <c r="Z742" s="4"/>
    </row>
    <row x14ac:dyDescent="0.25" r="743" customHeight="1" ht="12.75">
      <c r="A743" s="4"/>
      <c r="B743" s="29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29"/>
      <c r="N743" s="29"/>
      <c r="O743" s="29"/>
      <c r="P743" s="32"/>
      <c r="Q743" s="32"/>
      <c r="R743" s="4"/>
      <c r="S743" s="4"/>
      <c r="T743" s="4"/>
      <c r="U743" s="4"/>
      <c r="V743" s="4"/>
      <c r="W743" s="4"/>
      <c r="X743" s="4"/>
      <c r="Y743" s="4"/>
      <c r="Z743" s="4"/>
    </row>
    <row x14ac:dyDescent="0.25" r="744" customHeight="1" ht="12.75">
      <c r="A744" s="4"/>
      <c r="B744" s="29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29"/>
      <c r="N744" s="29"/>
      <c r="O744" s="29"/>
      <c r="P744" s="32"/>
      <c r="Q744" s="32"/>
      <c r="R744" s="4"/>
      <c r="S744" s="4"/>
      <c r="T744" s="4"/>
      <c r="U744" s="4"/>
      <c r="V744" s="4"/>
      <c r="W744" s="4"/>
      <c r="X744" s="4"/>
      <c r="Y744" s="4"/>
      <c r="Z744" s="4"/>
    </row>
    <row x14ac:dyDescent="0.25" r="745" customHeight="1" ht="12.75">
      <c r="A745" s="4"/>
      <c r="B745" s="29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29"/>
      <c r="N745" s="29"/>
      <c r="O745" s="29"/>
      <c r="P745" s="32"/>
      <c r="Q745" s="32"/>
      <c r="R745" s="4"/>
      <c r="S745" s="4"/>
      <c r="T745" s="4"/>
      <c r="U745" s="4"/>
      <c r="V745" s="4"/>
      <c r="W745" s="4"/>
      <c r="X745" s="4"/>
      <c r="Y745" s="4"/>
      <c r="Z745" s="4"/>
    </row>
    <row x14ac:dyDescent="0.25" r="746" customHeight="1" ht="12.75">
      <c r="A746" s="4"/>
      <c r="B746" s="29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29"/>
      <c r="N746" s="29"/>
      <c r="O746" s="29"/>
      <c r="P746" s="32"/>
      <c r="Q746" s="32"/>
      <c r="R746" s="4"/>
      <c r="S746" s="4"/>
      <c r="T746" s="4"/>
      <c r="U746" s="4"/>
      <c r="V746" s="4"/>
      <c r="W746" s="4"/>
      <c r="X746" s="4"/>
      <c r="Y746" s="4"/>
      <c r="Z746" s="4"/>
    </row>
    <row x14ac:dyDescent="0.25" r="747" customHeight="1" ht="12.75">
      <c r="A747" s="4"/>
      <c r="B747" s="29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29"/>
      <c r="N747" s="29"/>
      <c r="O747" s="29"/>
      <c r="P747" s="32"/>
      <c r="Q747" s="32"/>
      <c r="R747" s="4"/>
      <c r="S747" s="4"/>
      <c r="T747" s="4"/>
      <c r="U747" s="4"/>
      <c r="V747" s="4"/>
      <c r="W747" s="4"/>
      <c r="X747" s="4"/>
      <c r="Y747" s="4"/>
      <c r="Z747" s="4"/>
    </row>
    <row x14ac:dyDescent="0.25" r="748" customHeight="1" ht="12.75">
      <c r="A748" s="4"/>
      <c r="B748" s="29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29"/>
      <c r="N748" s="29"/>
      <c r="O748" s="29"/>
      <c r="P748" s="32"/>
      <c r="Q748" s="32"/>
      <c r="R748" s="4"/>
      <c r="S748" s="4"/>
      <c r="T748" s="4"/>
      <c r="U748" s="4"/>
      <c r="V748" s="4"/>
      <c r="W748" s="4"/>
      <c r="X748" s="4"/>
      <c r="Y748" s="4"/>
      <c r="Z748" s="4"/>
    </row>
    <row x14ac:dyDescent="0.25" r="749" customHeight="1" ht="12.75">
      <c r="A749" s="4"/>
      <c r="B749" s="29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29"/>
      <c r="N749" s="29"/>
      <c r="O749" s="29"/>
      <c r="P749" s="32"/>
      <c r="Q749" s="32"/>
      <c r="R749" s="4"/>
      <c r="S749" s="4"/>
      <c r="T749" s="4"/>
      <c r="U749" s="4"/>
      <c r="V749" s="4"/>
      <c r="W749" s="4"/>
      <c r="X749" s="4"/>
      <c r="Y749" s="4"/>
      <c r="Z749" s="4"/>
    </row>
    <row x14ac:dyDescent="0.25" r="750" customHeight="1" ht="12.75">
      <c r="A750" s="4"/>
      <c r="B750" s="29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29"/>
      <c r="N750" s="29"/>
      <c r="O750" s="29"/>
      <c r="P750" s="32"/>
      <c r="Q750" s="32"/>
      <c r="R750" s="4"/>
      <c r="S750" s="4"/>
      <c r="T750" s="4"/>
      <c r="U750" s="4"/>
      <c r="V750" s="4"/>
      <c r="W750" s="4"/>
      <c r="X750" s="4"/>
      <c r="Y750" s="4"/>
      <c r="Z750" s="4"/>
    </row>
    <row x14ac:dyDescent="0.25" r="751" customHeight="1" ht="12.75">
      <c r="A751" s="4"/>
      <c r="B751" s="29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29"/>
      <c r="N751" s="29"/>
      <c r="O751" s="29"/>
      <c r="P751" s="32"/>
      <c r="Q751" s="32"/>
      <c r="R751" s="4"/>
      <c r="S751" s="4"/>
      <c r="T751" s="4"/>
      <c r="U751" s="4"/>
      <c r="V751" s="4"/>
      <c r="W751" s="4"/>
      <c r="X751" s="4"/>
      <c r="Y751" s="4"/>
      <c r="Z751" s="4"/>
    </row>
    <row x14ac:dyDescent="0.25" r="752" customHeight="1" ht="12.75">
      <c r="A752" s="4"/>
      <c r="B752" s="29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29"/>
      <c r="N752" s="29"/>
      <c r="O752" s="29"/>
      <c r="P752" s="32"/>
      <c r="Q752" s="32"/>
      <c r="R752" s="4"/>
      <c r="S752" s="4"/>
      <c r="T752" s="4"/>
      <c r="U752" s="4"/>
      <c r="V752" s="4"/>
      <c r="W752" s="4"/>
      <c r="X752" s="4"/>
      <c r="Y752" s="4"/>
      <c r="Z752" s="4"/>
    </row>
    <row x14ac:dyDescent="0.25" r="753" customHeight="1" ht="12.75">
      <c r="A753" s="4"/>
      <c r="B753" s="29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29"/>
      <c r="N753" s="29"/>
      <c r="O753" s="29"/>
      <c r="P753" s="32"/>
      <c r="Q753" s="32"/>
      <c r="R753" s="4"/>
      <c r="S753" s="4"/>
      <c r="T753" s="4"/>
      <c r="U753" s="4"/>
      <c r="V753" s="4"/>
      <c r="W753" s="4"/>
      <c r="X753" s="4"/>
      <c r="Y753" s="4"/>
      <c r="Z753" s="4"/>
    </row>
    <row x14ac:dyDescent="0.25" r="754" customHeight="1" ht="12.75">
      <c r="A754" s="4"/>
      <c r="B754" s="29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29"/>
      <c r="N754" s="29"/>
      <c r="O754" s="29"/>
      <c r="P754" s="32"/>
      <c r="Q754" s="32"/>
      <c r="R754" s="4"/>
      <c r="S754" s="4"/>
      <c r="T754" s="4"/>
      <c r="U754" s="4"/>
      <c r="V754" s="4"/>
      <c r="W754" s="4"/>
      <c r="X754" s="4"/>
      <c r="Y754" s="4"/>
      <c r="Z754" s="4"/>
    </row>
    <row x14ac:dyDescent="0.25" r="755" customHeight="1" ht="12.75">
      <c r="A755" s="4"/>
      <c r="B755" s="29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29"/>
      <c r="N755" s="29"/>
      <c r="O755" s="29"/>
      <c r="P755" s="32"/>
      <c r="Q755" s="32"/>
      <c r="R755" s="4"/>
      <c r="S755" s="4"/>
      <c r="T755" s="4"/>
      <c r="U755" s="4"/>
      <c r="V755" s="4"/>
      <c r="W755" s="4"/>
      <c r="X755" s="4"/>
      <c r="Y755" s="4"/>
      <c r="Z755" s="4"/>
    </row>
    <row x14ac:dyDescent="0.25" r="756" customHeight="1" ht="12.75">
      <c r="A756" s="4"/>
      <c r="B756" s="29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29"/>
      <c r="N756" s="29"/>
      <c r="O756" s="29"/>
      <c r="P756" s="32"/>
      <c r="Q756" s="32"/>
      <c r="R756" s="4"/>
      <c r="S756" s="4"/>
      <c r="T756" s="4"/>
      <c r="U756" s="4"/>
      <c r="V756" s="4"/>
      <c r="W756" s="4"/>
      <c r="X756" s="4"/>
      <c r="Y756" s="4"/>
      <c r="Z756" s="4"/>
    </row>
    <row x14ac:dyDescent="0.25" r="757" customHeight="1" ht="12.75">
      <c r="A757" s="4"/>
      <c r="B757" s="29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29"/>
      <c r="N757" s="29"/>
      <c r="O757" s="29"/>
      <c r="P757" s="32"/>
      <c r="Q757" s="32"/>
      <c r="R757" s="4"/>
      <c r="S757" s="4"/>
      <c r="T757" s="4"/>
      <c r="U757" s="4"/>
      <c r="V757" s="4"/>
      <c r="W757" s="4"/>
      <c r="X757" s="4"/>
      <c r="Y757" s="4"/>
      <c r="Z757" s="4"/>
    </row>
    <row x14ac:dyDescent="0.25" r="758" customHeight="1" ht="12.75">
      <c r="A758" s="4"/>
      <c r="B758" s="29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29"/>
      <c r="N758" s="29"/>
      <c r="O758" s="29"/>
      <c r="P758" s="32"/>
      <c r="Q758" s="32"/>
      <c r="R758" s="4"/>
      <c r="S758" s="4"/>
      <c r="T758" s="4"/>
      <c r="U758" s="4"/>
      <c r="V758" s="4"/>
      <c r="W758" s="4"/>
      <c r="X758" s="4"/>
      <c r="Y758" s="4"/>
      <c r="Z758" s="4"/>
    </row>
    <row x14ac:dyDescent="0.25" r="759" customHeight="1" ht="12.75">
      <c r="A759" s="4"/>
      <c r="B759" s="29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29"/>
      <c r="N759" s="29"/>
      <c r="O759" s="29"/>
      <c r="P759" s="32"/>
      <c r="Q759" s="32"/>
      <c r="R759" s="4"/>
      <c r="S759" s="4"/>
      <c r="T759" s="4"/>
      <c r="U759" s="4"/>
      <c r="V759" s="4"/>
      <c r="W759" s="4"/>
      <c r="X759" s="4"/>
      <c r="Y759" s="4"/>
      <c r="Z759" s="4"/>
    </row>
    <row x14ac:dyDescent="0.25" r="760" customHeight="1" ht="12.75">
      <c r="A760" s="4"/>
      <c r="B760" s="29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29"/>
      <c r="N760" s="29"/>
      <c r="O760" s="29"/>
      <c r="P760" s="32"/>
      <c r="Q760" s="32"/>
      <c r="R760" s="4"/>
      <c r="S760" s="4"/>
      <c r="T760" s="4"/>
      <c r="U760" s="4"/>
      <c r="V760" s="4"/>
      <c r="W760" s="4"/>
      <c r="X760" s="4"/>
      <c r="Y760" s="4"/>
      <c r="Z760" s="4"/>
    </row>
    <row x14ac:dyDescent="0.25" r="761" customHeight="1" ht="12.75">
      <c r="A761" s="4"/>
      <c r="B761" s="29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29"/>
      <c r="N761" s="29"/>
      <c r="O761" s="29"/>
      <c r="P761" s="32"/>
      <c r="Q761" s="32"/>
      <c r="R761" s="4"/>
      <c r="S761" s="4"/>
      <c r="T761" s="4"/>
      <c r="U761" s="4"/>
      <c r="V761" s="4"/>
      <c r="W761" s="4"/>
      <c r="X761" s="4"/>
      <c r="Y761" s="4"/>
      <c r="Z761" s="4"/>
    </row>
    <row x14ac:dyDescent="0.25" r="762" customHeight="1" ht="12.75">
      <c r="A762" s="4"/>
      <c r="B762" s="29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29"/>
      <c r="N762" s="29"/>
      <c r="O762" s="29"/>
      <c r="P762" s="32"/>
      <c r="Q762" s="32"/>
      <c r="R762" s="4"/>
      <c r="S762" s="4"/>
      <c r="T762" s="4"/>
      <c r="U762" s="4"/>
      <c r="V762" s="4"/>
      <c r="W762" s="4"/>
      <c r="X762" s="4"/>
      <c r="Y762" s="4"/>
      <c r="Z762" s="4"/>
    </row>
    <row x14ac:dyDescent="0.25" r="763" customHeight="1" ht="12.75">
      <c r="A763" s="4"/>
      <c r="B763" s="29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29"/>
      <c r="N763" s="29"/>
      <c r="O763" s="29"/>
      <c r="P763" s="32"/>
      <c r="Q763" s="32"/>
      <c r="R763" s="4"/>
      <c r="S763" s="4"/>
      <c r="T763" s="4"/>
      <c r="U763" s="4"/>
      <c r="V763" s="4"/>
      <c r="W763" s="4"/>
      <c r="X763" s="4"/>
      <c r="Y763" s="4"/>
      <c r="Z763" s="4"/>
    </row>
    <row x14ac:dyDescent="0.25" r="764" customHeight="1" ht="12.75">
      <c r="A764" s="4"/>
      <c r="B764" s="29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29"/>
      <c r="N764" s="29"/>
      <c r="O764" s="29"/>
      <c r="P764" s="32"/>
      <c r="Q764" s="32"/>
      <c r="R764" s="4"/>
      <c r="S764" s="4"/>
      <c r="T764" s="4"/>
      <c r="U764" s="4"/>
      <c r="V764" s="4"/>
      <c r="W764" s="4"/>
      <c r="X764" s="4"/>
      <c r="Y764" s="4"/>
      <c r="Z764" s="4"/>
    </row>
    <row x14ac:dyDescent="0.25" r="765" customHeight="1" ht="12.75">
      <c r="A765" s="4"/>
      <c r="B765" s="29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29"/>
      <c r="N765" s="29"/>
      <c r="O765" s="29"/>
      <c r="P765" s="32"/>
      <c r="Q765" s="32"/>
      <c r="R765" s="4"/>
      <c r="S765" s="4"/>
      <c r="T765" s="4"/>
      <c r="U765" s="4"/>
      <c r="V765" s="4"/>
      <c r="W765" s="4"/>
      <c r="X765" s="4"/>
      <c r="Y765" s="4"/>
      <c r="Z765" s="4"/>
    </row>
    <row x14ac:dyDescent="0.25" r="766" customHeight="1" ht="12.75">
      <c r="A766" s="4"/>
      <c r="B766" s="29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29"/>
      <c r="N766" s="29"/>
      <c r="O766" s="29"/>
      <c r="P766" s="32"/>
      <c r="Q766" s="32"/>
      <c r="R766" s="4"/>
      <c r="S766" s="4"/>
      <c r="T766" s="4"/>
      <c r="U766" s="4"/>
      <c r="V766" s="4"/>
      <c r="W766" s="4"/>
      <c r="X766" s="4"/>
      <c r="Y766" s="4"/>
      <c r="Z766" s="4"/>
    </row>
    <row x14ac:dyDescent="0.25" r="767" customHeight="1" ht="12.75">
      <c r="A767" s="4"/>
      <c r="B767" s="29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29"/>
      <c r="N767" s="29"/>
      <c r="O767" s="29"/>
      <c r="P767" s="32"/>
      <c r="Q767" s="32"/>
      <c r="R767" s="4"/>
      <c r="S767" s="4"/>
      <c r="T767" s="4"/>
      <c r="U767" s="4"/>
      <c r="V767" s="4"/>
      <c r="W767" s="4"/>
      <c r="X767" s="4"/>
      <c r="Y767" s="4"/>
      <c r="Z767" s="4"/>
    </row>
    <row x14ac:dyDescent="0.25" r="768" customHeight="1" ht="12.75">
      <c r="A768" s="4"/>
      <c r="B768" s="29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29"/>
      <c r="N768" s="29"/>
      <c r="O768" s="29"/>
      <c r="P768" s="32"/>
      <c r="Q768" s="32"/>
      <c r="R768" s="4"/>
      <c r="S768" s="4"/>
      <c r="T768" s="4"/>
      <c r="U768" s="4"/>
      <c r="V768" s="4"/>
      <c r="W768" s="4"/>
      <c r="X768" s="4"/>
      <c r="Y768" s="4"/>
      <c r="Z768" s="4"/>
    </row>
    <row x14ac:dyDescent="0.25" r="769" customHeight="1" ht="12.75">
      <c r="A769" s="4"/>
      <c r="B769" s="29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29"/>
      <c r="N769" s="29"/>
      <c r="O769" s="29"/>
      <c r="P769" s="32"/>
      <c r="Q769" s="32"/>
      <c r="R769" s="4"/>
      <c r="S769" s="4"/>
      <c r="T769" s="4"/>
      <c r="U769" s="4"/>
      <c r="V769" s="4"/>
      <c r="W769" s="4"/>
      <c r="X769" s="4"/>
      <c r="Y769" s="4"/>
      <c r="Z769" s="4"/>
    </row>
    <row x14ac:dyDescent="0.25" r="770" customHeight="1" ht="12.75">
      <c r="A770" s="4"/>
      <c r="B770" s="29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29"/>
      <c r="N770" s="29"/>
      <c r="O770" s="29"/>
      <c r="P770" s="32"/>
      <c r="Q770" s="32"/>
      <c r="R770" s="4"/>
      <c r="S770" s="4"/>
      <c r="T770" s="4"/>
      <c r="U770" s="4"/>
      <c r="V770" s="4"/>
      <c r="W770" s="4"/>
      <c r="X770" s="4"/>
      <c r="Y770" s="4"/>
      <c r="Z770" s="4"/>
    </row>
    <row x14ac:dyDescent="0.25" r="771" customHeight="1" ht="12.75">
      <c r="A771" s="4"/>
      <c r="B771" s="29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29"/>
      <c r="N771" s="29"/>
      <c r="O771" s="29"/>
      <c r="P771" s="32"/>
      <c r="Q771" s="32"/>
      <c r="R771" s="4"/>
      <c r="S771" s="4"/>
      <c r="T771" s="4"/>
      <c r="U771" s="4"/>
      <c r="V771" s="4"/>
      <c r="W771" s="4"/>
      <c r="X771" s="4"/>
      <c r="Y771" s="4"/>
      <c r="Z771" s="4"/>
    </row>
    <row x14ac:dyDescent="0.25" r="772" customHeight="1" ht="12.75">
      <c r="A772" s="4"/>
      <c r="B772" s="29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29"/>
      <c r="N772" s="29"/>
      <c r="O772" s="29"/>
      <c r="P772" s="32"/>
      <c r="Q772" s="32"/>
      <c r="R772" s="4"/>
      <c r="S772" s="4"/>
      <c r="T772" s="4"/>
      <c r="U772" s="4"/>
      <c r="V772" s="4"/>
      <c r="W772" s="4"/>
      <c r="X772" s="4"/>
      <c r="Y772" s="4"/>
      <c r="Z772" s="4"/>
    </row>
    <row x14ac:dyDescent="0.25" r="773" customHeight="1" ht="12.75">
      <c r="A773" s="4"/>
      <c r="B773" s="29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29"/>
      <c r="N773" s="29"/>
      <c r="O773" s="29"/>
      <c r="P773" s="32"/>
      <c r="Q773" s="32"/>
      <c r="R773" s="4"/>
      <c r="S773" s="4"/>
      <c r="T773" s="4"/>
      <c r="U773" s="4"/>
      <c r="V773" s="4"/>
      <c r="W773" s="4"/>
      <c r="X773" s="4"/>
      <c r="Y773" s="4"/>
      <c r="Z773" s="4"/>
    </row>
    <row x14ac:dyDescent="0.25" r="774" customHeight="1" ht="12.75">
      <c r="A774" s="4"/>
      <c r="B774" s="29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29"/>
      <c r="N774" s="29"/>
      <c r="O774" s="29"/>
      <c r="P774" s="32"/>
      <c r="Q774" s="32"/>
      <c r="R774" s="4"/>
      <c r="S774" s="4"/>
      <c r="T774" s="4"/>
      <c r="U774" s="4"/>
      <c r="V774" s="4"/>
      <c r="W774" s="4"/>
      <c r="X774" s="4"/>
      <c r="Y774" s="4"/>
      <c r="Z774" s="4"/>
    </row>
    <row x14ac:dyDescent="0.25" r="775" customHeight="1" ht="12.75">
      <c r="A775" s="4"/>
      <c r="B775" s="29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29"/>
      <c r="N775" s="29"/>
      <c r="O775" s="29"/>
      <c r="P775" s="32"/>
      <c r="Q775" s="32"/>
      <c r="R775" s="4"/>
      <c r="S775" s="4"/>
      <c r="T775" s="4"/>
      <c r="U775" s="4"/>
      <c r="V775" s="4"/>
      <c r="W775" s="4"/>
      <c r="X775" s="4"/>
      <c r="Y775" s="4"/>
      <c r="Z775" s="4"/>
    </row>
    <row x14ac:dyDescent="0.25" r="776" customHeight="1" ht="12.75">
      <c r="A776" s="4"/>
      <c r="B776" s="29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29"/>
      <c r="N776" s="29"/>
      <c r="O776" s="29"/>
      <c r="P776" s="32"/>
      <c r="Q776" s="32"/>
      <c r="R776" s="4"/>
      <c r="S776" s="4"/>
      <c r="T776" s="4"/>
      <c r="U776" s="4"/>
      <c r="V776" s="4"/>
      <c r="W776" s="4"/>
      <c r="X776" s="4"/>
      <c r="Y776" s="4"/>
      <c r="Z776" s="4"/>
    </row>
    <row x14ac:dyDescent="0.25" r="777" customHeight="1" ht="12.75">
      <c r="A777" s="4"/>
      <c r="B777" s="29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29"/>
      <c r="N777" s="29"/>
      <c r="O777" s="29"/>
      <c r="P777" s="32"/>
      <c r="Q777" s="32"/>
      <c r="R777" s="4"/>
      <c r="S777" s="4"/>
      <c r="T777" s="4"/>
      <c r="U777" s="4"/>
      <c r="V777" s="4"/>
      <c r="W777" s="4"/>
      <c r="X777" s="4"/>
      <c r="Y777" s="4"/>
      <c r="Z777" s="4"/>
    </row>
    <row x14ac:dyDescent="0.25" r="778" customHeight="1" ht="12.75">
      <c r="A778" s="4"/>
      <c r="B778" s="29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29"/>
      <c r="N778" s="29"/>
      <c r="O778" s="29"/>
      <c r="P778" s="32"/>
      <c r="Q778" s="32"/>
      <c r="R778" s="4"/>
      <c r="S778" s="4"/>
      <c r="T778" s="4"/>
      <c r="U778" s="4"/>
      <c r="V778" s="4"/>
      <c r="W778" s="4"/>
      <c r="X778" s="4"/>
      <c r="Y778" s="4"/>
      <c r="Z778" s="4"/>
    </row>
    <row x14ac:dyDescent="0.25" r="779" customHeight="1" ht="12.75">
      <c r="A779" s="4"/>
      <c r="B779" s="29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29"/>
      <c r="N779" s="29"/>
      <c r="O779" s="29"/>
      <c r="P779" s="32"/>
      <c r="Q779" s="32"/>
      <c r="R779" s="4"/>
      <c r="S779" s="4"/>
      <c r="T779" s="4"/>
      <c r="U779" s="4"/>
      <c r="V779" s="4"/>
      <c r="W779" s="4"/>
      <c r="X779" s="4"/>
      <c r="Y779" s="4"/>
      <c r="Z779" s="4"/>
    </row>
    <row x14ac:dyDescent="0.25" r="780" customHeight="1" ht="12.75">
      <c r="A780" s="4"/>
      <c r="B780" s="29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29"/>
      <c r="N780" s="29"/>
      <c r="O780" s="29"/>
      <c r="P780" s="32"/>
      <c r="Q780" s="32"/>
      <c r="R780" s="4"/>
      <c r="S780" s="4"/>
      <c r="T780" s="4"/>
      <c r="U780" s="4"/>
      <c r="V780" s="4"/>
      <c r="W780" s="4"/>
      <c r="X780" s="4"/>
      <c r="Y780" s="4"/>
      <c r="Z780" s="4"/>
    </row>
    <row x14ac:dyDescent="0.25" r="781" customHeight="1" ht="12.75">
      <c r="A781" s="4"/>
      <c r="B781" s="29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29"/>
      <c r="N781" s="29"/>
      <c r="O781" s="29"/>
      <c r="P781" s="32"/>
      <c r="Q781" s="32"/>
      <c r="R781" s="4"/>
      <c r="S781" s="4"/>
      <c r="T781" s="4"/>
      <c r="U781" s="4"/>
      <c r="V781" s="4"/>
      <c r="W781" s="4"/>
      <c r="X781" s="4"/>
      <c r="Y781" s="4"/>
      <c r="Z781" s="4"/>
    </row>
    <row x14ac:dyDescent="0.25" r="782" customHeight="1" ht="12.75">
      <c r="A782" s="4"/>
      <c r="B782" s="29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29"/>
      <c r="N782" s="29"/>
      <c r="O782" s="29"/>
      <c r="P782" s="32"/>
      <c r="Q782" s="32"/>
      <c r="R782" s="4"/>
      <c r="S782" s="4"/>
      <c r="T782" s="4"/>
      <c r="U782" s="4"/>
      <c r="V782" s="4"/>
      <c r="W782" s="4"/>
      <c r="X782" s="4"/>
      <c r="Y782" s="4"/>
      <c r="Z782" s="4"/>
    </row>
    <row x14ac:dyDescent="0.25" r="783" customHeight="1" ht="12.75">
      <c r="A783" s="4"/>
      <c r="B783" s="29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29"/>
      <c r="N783" s="29"/>
      <c r="O783" s="29"/>
      <c r="P783" s="32"/>
      <c r="Q783" s="32"/>
      <c r="R783" s="4"/>
      <c r="S783" s="4"/>
      <c r="T783" s="4"/>
      <c r="U783" s="4"/>
      <c r="V783" s="4"/>
      <c r="W783" s="4"/>
      <c r="X783" s="4"/>
      <c r="Y783" s="4"/>
      <c r="Z783" s="4"/>
    </row>
    <row x14ac:dyDescent="0.25" r="784" customHeight="1" ht="12.75">
      <c r="A784" s="4"/>
      <c r="B784" s="29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29"/>
      <c r="N784" s="29"/>
      <c r="O784" s="29"/>
      <c r="P784" s="32"/>
      <c r="Q784" s="32"/>
      <c r="R784" s="4"/>
      <c r="S784" s="4"/>
      <c r="T784" s="4"/>
      <c r="U784" s="4"/>
      <c r="V784" s="4"/>
      <c r="W784" s="4"/>
      <c r="X784" s="4"/>
      <c r="Y784" s="4"/>
      <c r="Z784" s="4"/>
    </row>
    <row x14ac:dyDescent="0.25" r="785" customHeight="1" ht="12.75">
      <c r="A785" s="4"/>
      <c r="B785" s="29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29"/>
      <c r="N785" s="29"/>
      <c r="O785" s="29"/>
      <c r="P785" s="32"/>
      <c r="Q785" s="32"/>
      <c r="R785" s="4"/>
      <c r="S785" s="4"/>
      <c r="T785" s="4"/>
      <c r="U785" s="4"/>
      <c r="V785" s="4"/>
      <c r="W785" s="4"/>
      <c r="X785" s="4"/>
      <c r="Y785" s="4"/>
      <c r="Z785" s="4"/>
    </row>
    <row x14ac:dyDescent="0.25" r="786" customHeight="1" ht="12.75">
      <c r="A786" s="4"/>
      <c r="B786" s="29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29"/>
      <c r="N786" s="29"/>
      <c r="O786" s="29"/>
      <c r="P786" s="32"/>
      <c r="Q786" s="32"/>
      <c r="R786" s="4"/>
      <c r="S786" s="4"/>
      <c r="T786" s="4"/>
      <c r="U786" s="4"/>
      <c r="V786" s="4"/>
      <c r="W786" s="4"/>
      <c r="X786" s="4"/>
      <c r="Y786" s="4"/>
      <c r="Z786" s="4"/>
    </row>
    <row x14ac:dyDescent="0.25" r="787" customHeight="1" ht="12.75">
      <c r="A787" s="4"/>
      <c r="B787" s="29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29"/>
      <c r="N787" s="29"/>
      <c r="O787" s="29"/>
      <c r="P787" s="32"/>
      <c r="Q787" s="32"/>
      <c r="R787" s="4"/>
      <c r="S787" s="4"/>
      <c r="T787" s="4"/>
      <c r="U787" s="4"/>
      <c r="V787" s="4"/>
      <c r="W787" s="4"/>
      <c r="X787" s="4"/>
      <c r="Y787" s="4"/>
      <c r="Z787" s="4"/>
    </row>
    <row x14ac:dyDescent="0.25" r="788" customHeight="1" ht="12.75">
      <c r="A788" s="4"/>
      <c r="B788" s="29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29"/>
      <c r="N788" s="29"/>
      <c r="O788" s="29"/>
      <c r="P788" s="32"/>
      <c r="Q788" s="32"/>
      <c r="R788" s="4"/>
      <c r="S788" s="4"/>
      <c r="T788" s="4"/>
      <c r="U788" s="4"/>
      <c r="V788" s="4"/>
      <c r="W788" s="4"/>
      <c r="X788" s="4"/>
      <c r="Y788" s="4"/>
      <c r="Z788" s="4"/>
    </row>
    <row x14ac:dyDescent="0.25" r="789" customHeight="1" ht="12.75">
      <c r="A789" s="4"/>
      <c r="B789" s="29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29"/>
      <c r="N789" s="29"/>
      <c r="O789" s="29"/>
      <c r="P789" s="32"/>
      <c r="Q789" s="32"/>
      <c r="R789" s="4"/>
      <c r="S789" s="4"/>
      <c r="T789" s="4"/>
      <c r="U789" s="4"/>
      <c r="V789" s="4"/>
      <c r="W789" s="4"/>
      <c r="X789" s="4"/>
      <c r="Y789" s="4"/>
      <c r="Z789" s="4"/>
    </row>
    <row x14ac:dyDescent="0.25" r="790" customHeight="1" ht="12.75">
      <c r="A790" s="4"/>
      <c r="B790" s="29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29"/>
      <c r="N790" s="29"/>
      <c r="O790" s="29"/>
      <c r="P790" s="32"/>
      <c r="Q790" s="32"/>
      <c r="R790" s="4"/>
      <c r="S790" s="4"/>
      <c r="T790" s="4"/>
      <c r="U790" s="4"/>
      <c r="V790" s="4"/>
      <c r="W790" s="4"/>
      <c r="X790" s="4"/>
      <c r="Y790" s="4"/>
      <c r="Z790" s="4"/>
    </row>
    <row x14ac:dyDescent="0.25" r="791" customHeight="1" ht="12.75">
      <c r="A791" s="4"/>
      <c r="B791" s="29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29"/>
      <c r="N791" s="29"/>
      <c r="O791" s="29"/>
      <c r="P791" s="32"/>
      <c r="Q791" s="32"/>
      <c r="R791" s="4"/>
      <c r="S791" s="4"/>
      <c r="T791" s="4"/>
      <c r="U791" s="4"/>
      <c r="V791" s="4"/>
      <c r="W791" s="4"/>
      <c r="X791" s="4"/>
      <c r="Y791" s="4"/>
      <c r="Z791" s="4"/>
    </row>
    <row x14ac:dyDescent="0.25" r="792" customHeight="1" ht="12.75">
      <c r="A792" s="4"/>
      <c r="B792" s="29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29"/>
      <c r="N792" s="29"/>
      <c r="O792" s="29"/>
      <c r="P792" s="32"/>
      <c r="Q792" s="32"/>
      <c r="R792" s="4"/>
      <c r="S792" s="4"/>
      <c r="T792" s="4"/>
      <c r="U792" s="4"/>
      <c r="V792" s="4"/>
      <c r="W792" s="4"/>
      <c r="X792" s="4"/>
      <c r="Y792" s="4"/>
      <c r="Z792" s="4"/>
    </row>
    <row x14ac:dyDescent="0.25" r="793" customHeight="1" ht="12.75">
      <c r="A793" s="4"/>
      <c r="B793" s="29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29"/>
      <c r="N793" s="29"/>
      <c r="O793" s="29"/>
      <c r="P793" s="32"/>
      <c r="Q793" s="32"/>
      <c r="R793" s="4"/>
      <c r="S793" s="4"/>
      <c r="T793" s="4"/>
      <c r="U793" s="4"/>
      <c r="V793" s="4"/>
      <c r="W793" s="4"/>
      <c r="X793" s="4"/>
      <c r="Y793" s="4"/>
      <c r="Z793" s="4"/>
    </row>
    <row x14ac:dyDescent="0.25" r="794" customHeight="1" ht="12.75">
      <c r="A794" s="4"/>
      <c r="B794" s="29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29"/>
      <c r="N794" s="29"/>
      <c r="O794" s="29"/>
      <c r="P794" s="32"/>
      <c r="Q794" s="32"/>
      <c r="R794" s="4"/>
      <c r="S794" s="4"/>
      <c r="T794" s="4"/>
      <c r="U794" s="4"/>
      <c r="V794" s="4"/>
      <c r="W794" s="4"/>
      <c r="X794" s="4"/>
      <c r="Y794" s="4"/>
      <c r="Z794" s="4"/>
    </row>
    <row x14ac:dyDescent="0.25" r="795" customHeight="1" ht="12.75">
      <c r="A795" s="4"/>
      <c r="B795" s="29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29"/>
      <c r="N795" s="29"/>
      <c r="O795" s="29"/>
      <c r="P795" s="32"/>
      <c r="Q795" s="32"/>
      <c r="R795" s="4"/>
      <c r="S795" s="4"/>
      <c r="T795" s="4"/>
      <c r="U795" s="4"/>
      <c r="V795" s="4"/>
      <c r="W795" s="4"/>
      <c r="X795" s="4"/>
      <c r="Y795" s="4"/>
      <c r="Z795" s="4"/>
    </row>
    <row x14ac:dyDescent="0.25" r="796" customHeight="1" ht="12.75">
      <c r="A796" s="4"/>
      <c r="B796" s="29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29"/>
      <c r="N796" s="29"/>
      <c r="O796" s="29"/>
      <c r="P796" s="32"/>
      <c r="Q796" s="32"/>
      <c r="R796" s="4"/>
      <c r="S796" s="4"/>
      <c r="T796" s="4"/>
      <c r="U796" s="4"/>
      <c r="V796" s="4"/>
      <c r="W796" s="4"/>
      <c r="X796" s="4"/>
      <c r="Y796" s="4"/>
      <c r="Z796" s="4"/>
    </row>
    <row x14ac:dyDescent="0.25" r="797" customHeight="1" ht="12.75">
      <c r="A797" s="4"/>
      <c r="B797" s="29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29"/>
      <c r="N797" s="29"/>
      <c r="O797" s="29"/>
      <c r="P797" s="32"/>
      <c r="Q797" s="32"/>
      <c r="R797" s="4"/>
      <c r="S797" s="4"/>
      <c r="T797" s="4"/>
      <c r="U797" s="4"/>
      <c r="V797" s="4"/>
      <c r="W797" s="4"/>
      <c r="X797" s="4"/>
      <c r="Y797" s="4"/>
      <c r="Z797" s="4"/>
    </row>
    <row x14ac:dyDescent="0.25" r="798" customHeight="1" ht="12.75">
      <c r="A798" s="4"/>
      <c r="B798" s="29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29"/>
      <c r="N798" s="29"/>
      <c r="O798" s="29"/>
      <c r="P798" s="32"/>
      <c r="Q798" s="32"/>
      <c r="R798" s="4"/>
      <c r="S798" s="4"/>
      <c r="T798" s="4"/>
      <c r="U798" s="4"/>
      <c r="V798" s="4"/>
      <c r="W798" s="4"/>
      <c r="X798" s="4"/>
      <c r="Y798" s="4"/>
      <c r="Z798" s="4"/>
    </row>
    <row x14ac:dyDescent="0.25" r="799" customHeight="1" ht="12.75">
      <c r="A799" s="4"/>
      <c r="B799" s="29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29"/>
      <c r="N799" s="29"/>
      <c r="O799" s="29"/>
      <c r="P799" s="32"/>
      <c r="Q799" s="32"/>
      <c r="R799" s="4"/>
      <c r="S799" s="4"/>
      <c r="T799" s="4"/>
      <c r="U799" s="4"/>
      <c r="V799" s="4"/>
      <c r="W799" s="4"/>
      <c r="X799" s="4"/>
      <c r="Y799" s="4"/>
      <c r="Z799" s="4"/>
    </row>
    <row x14ac:dyDescent="0.25" r="800" customHeight="1" ht="12.75">
      <c r="A800" s="4"/>
      <c r="B800" s="29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29"/>
      <c r="N800" s="29"/>
      <c r="O800" s="29"/>
      <c r="P800" s="32"/>
      <c r="Q800" s="32"/>
      <c r="R800" s="4"/>
      <c r="S800" s="4"/>
      <c r="T800" s="4"/>
      <c r="U800" s="4"/>
      <c r="V800" s="4"/>
      <c r="W800" s="4"/>
      <c r="X800" s="4"/>
      <c r="Y800" s="4"/>
      <c r="Z800" s="4"/>
    </row>
    <row x14ac:dyDescent="0.25" r="801" customHeight="1" ht="12.75">
      <c r="A801" s="4"/>
      <c r="B801" s="29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29"/>
      <c r="N801" s="29"/>
      <c r="O801" s="29"/>
      <c r="P801" s="32"/>
      <c r="Q801" s="32"/>
      <c r="R801" s="4"/>
      <c r="S801" s="4"/>
      <c r="T801" s="4"/>
      <c r="U801" s="4"/>
      <c r="V801" s="4"/>
      <c r="W801" s="4"/>
      <c r="X801" s="4"/>
      <c r="Y801" s="4"/>
      <c r="Z801" s="4"/>
    </row>
    <row x14ac:dyDescent="0.25" r="802" customHeight="1" ht="12.75">
      <c r="A802" s="4"/>
      <c r="B802" s="29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29"/>
      <c r="N802" s="29"/>
      <c r="O802" s="29"/>
      <c r="P802" s="32"/>
      <c r="Q802" s="32"/>
      <c r="R802" s="4"/>
      <c r="S802" s="4"/>
      <c r="T802" s="4"/>
      <c r="U802" s="4"/>
      <c r="V802" s="4"/>
      <c r="W802" s="4"/>
      <c r="X802" s="4"/>
      <c r="Y802" s="4"/>
      <c r="Z802" s="4"/>
    </row>
    <row x14ac:dyDescent="0.25" r="803" customHeight="1" ht="12.75">
      <c r="A803" s="4"/>
      <c r="B803" s="29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29"/>
      <c r="N803" s="29"/>
      <c r="O803" s="29"/>
      <c r="P803" s="32"/>
      <c r="Q803" s="32"/>
      <c r="R803" s="4"/>
      <c r="S803" s="4"/>
      <c r="T803" s="4"/>
      <c r="U803" s="4"/>
      <c r="V803" s="4"/>
      <c r="W803" s="4"/>
      <c r="X803" s="4"/>
      <c r="Y803" s="4"/>
      <c r="Z803" s="4"/>
    </row>
    <row x14ac:dyDescent="0.25" r="804" customHeight="1" ht="12.75">
      <c r="A804" s="4"/>
      <c r="B804" s="29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29"/>
      <c r="N804" s="29"/>
      <c r="O804" s="29"/>
      <c r="P804" s="32"/>
      <c r="Q804" s="32"/>
      <c r="R804" s="4"/>
      <c r="S804" s="4"/>
      <c r="T804" s="4"/>
      <c r="U804" s="4"/>
      <c r="V804" s="4"/>
      <c r="W804" s="4"/>
      <c r="X804" s="4"/>
      <c r="Y804" s="4"/>
      <c r="Z804" s="4"/>
    </row>
    <row x14ac:dyDescent="0.25" r="805" customHeight="1" ht="12.75">
      <c r="A805" s="4"/>
      <c r="B805" s="29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29"/>
      <c r="N805" s="29"/>
      <c r="O805" s="29"/>
      <c r="P805" s="32"/>
      <c r="Q805" s="32"/>
      <c r="R805" s="4"/>
      <c r="S805" s="4"/>
      <c r="T805" s="4"/>
      <c r="U805" s="4"/>
      <c r="V805" s="4"/>
      <c r="W805" s="4"/>
      <c r="X805" s="4"/>
      <c r="Y805" s="4"/>
      <c r="Z805" s="4"/>
    </row>
    <row x14ac:dyDescent="0.25" r="806" customHeight="1" ht="12.75">
      <c r="A806" s="4"/>
      <c r="B806" s="29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29"/>
      <c r="N806" s="29"/>
      <c r="O806" s="29"/>
      <c r="P806" s="32"/>
      <c r="Q806" s="32"/>
      <c r="R806" s="4"/>
      <c r="S806" s="4"/>
      <c r="T806" s="4"/>
      <c r="U806" s="4"/>
      <c r="V806" s="4"/>
      <c r="W806" s="4"/>
      <c r="X806" s="4"/>
      <c r="Y806" s="4"/>
      <c r="Z806" s="4"/>
    </row>
    <row x14ac:dyDescent="0.25" r="807" customHeight="1" ht="12.75">
      <c r="A807" s="4"/>
      <c r="B807" s="29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29"/>
      <c r="N807" s="29"/>
      <c r="O807" s="29"/>
      <c r="P807" s="32"/>
      <c r="Q807" s="32"/>
      <c r="R807" s="4"/>
      <c r="S807" s="4"/>
      <c r="T807" s="4"/>
      <c r="U807" s="4"/>
      <c r="V807" s="4"/>
      <c r="W807" s="4"/>
      <c r="X807" s="4"/>
      <c r="Y807" s="4"/>
      <c r="Z807" s="4"/>
    </row>
    <row x14ac:dyDescent="0.25" r="808" customHeight="1" ht="12.75">
      <c r="A808" s="4"/>
      <c r="B808" s="29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29"/>
      <c r="N808" s="29"/>
      <c r="O808" s="29"/>
      <c r="P808" s="32"/>
      <c r="Q808" s="32"/>
      <c r="R808" s="4"/>
      <c r="S808" s="4"/>
      <c r="T808" s="4"/>
      <c r="U808" s="4"/>
      <c r="V808" s="4"/>
      <c r="W808" s="4"/>
      <c r="X808" s="4"/>
      <c r="Y808" s="4"/>
      <c r="Z808" s="4"/>
    </row>
    <row x14ac:dyDescent="0.25" r="809" customHeight="1" ht="12.75">
      <c r="A809" s="4"/>
      <c r="B809" s="29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29"/>
      <c r="N809" s="29"/>
      <c r="O809" s="29"/>
      <c r="P809" s="32"/>
      <c r="Q809" s="32"/>
      <c r="R809" s="4"/>
      <c r="S809" s="4"/>
      <c r="T809" s="4"/>
      <c r="U809" s="4"/>
      <c r="V809" s="4"/>
      <c r="W809" s="4"/>
      <c r="X809" s="4"/>
      <c r="Y809" s="4"/>
      <c r="Z809" s="4"/>
    </row>
    <row x14ac:dyDescent="0.25" r="810" customHeight="1" ht="12.75">
      <c r="A810" s="4"/>
      <c r="B810" s="29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29"/>
      <c r="N810" s="29"/>
      <c r="O810" s="29"/>
      <c r="P810" s="32"/>
      <c r="Q810" s="32"/>
      <c r="R810" s="4"/>
      <c r="S810" s="4"/>
      <c r="T810" s="4"/>
      <c r="U810" s="4"/>
      <c r="V810" s="4"/>
      <c r="W810" s="4"/>
      <c r="X810" s="4"/>
      <c r="Y810" s="4"/>
      <c r="Z810" s="4"/>
    </row>
    <row x14ac:dyDescent="0.25" r="811" customHeight="1" ht="12.75">
      <c r="A811" s="4"/>
      <c r="B811" s="29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29"/>
      <c r="N811" s="29"/>
      <c r="O811" s="29"/>
      <c r="P811" s="32"/>
      <c r="Q811" s="32"/>
      <c r="R811" s="4"/>
      <c r="S811" s="4"/>
      <c r="T811" s="4"/>
      <c r="U811" s="4"/>
      <c r="V811" s="4"/>
      <c r="W811" s="4"/>
      <c r="X811" s="4"/>
      <c r="Y811" s="4"/>
      <c r="Z811" s="4"/>
    </row>
    <row x14ac:dyDescent="0.25" r="812" customHeight="1" ht="12.75">
      <c r="A812" s="4"/>
      <c r="B812" s="29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29"/>
      <c r="N812" s="29"/>
      <c r="O812" s="29"/>
      <c r="P812" s="32"/>
      <c r="Q812" s="32"/>
      <c r="R812" s="4"/>
      <c r="S812" s="4"/>
      <c r="T812" s="4"/>
      <c r="U812" s="4"/>
      <c r="V812" s="4"/>
      <c r="W812" s="4"/>
      <c r="X812" s="4"/>
      <c r="Y812" s="4"/>
      <c r="Z812" s="4"/>
    </row>
    <row x14ac:dyDescent="0.25" r="813" customHeight="1" ht="12.75">
      <c r="A813" s="4"/>
      <c r="B813" s="29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29"/>
      <c r="N813" s="29"/>
      <c r="O813" s="29"/>
      <c r="P813" s="32"/>
      <c r="Q813" s="32"/>
      <c r="R813" s="4"/>
      <c r="S813" s="4"/>
      <c r="T813" s="4"/>
      <c r="U813" s="4"/>
      <c r="V813" s="4"/>
      <c r="W813" s="4"/>
      <c r="X813" s="4"/>
      <c r="Y813" s="4"/>
      <c r="Z813" s="4"/>
    </row>
    <row x14ac:dyDescent="0.25" r="814" customHeight="1" ht="12.75">
      <c r="A814" s="4"/>
      <c r="B814" s="29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29"/>
      <c r="N814" s="29"/>
      <c r="O814" s="29"/>
      <c r="P814" s="32"/>
      <c r="Q814" s="32"/>
      <c r="R814" s="4"/>
      <c r="S814" s="4"/>
      <c r="T814" s="4"/>
      <c r="U814" s="4"/>
      <c r="V814" s="4"/>
      <c r="W814" s="4"/>
      <c r="X814" s="4"/>
      <c r="Y814" s="4"/>
      <c r="Z814" s="4"/>
    </row>
    <row x14ac:dyDescent="0.25" r="815" customHeight="1" ht="12.75">
      <c r="A815" s="4"/>
      <c r="B815" s="29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29"/>
      <c r="N815" s="29"/>
      <c r="O815" s="29"/>
      <c r="P815" s="32"/>
      <c r="Q815" s="32"/>
      <c r="R815" s="4"/>
      <c r="S815" s="4"/>
      <c r="T815" s="4"/>
      <c r="U815" s="4"/>
      <c r="V815" s="4"/>
      <c r="W815" s="4"/>
      <c r="X815" s="4"/>
      <c r="Y815" s="4"/>
      <c r="Z815" s="4"/>
    </row>
    <row x14ac:dyDescent="0.25" r="816" customHeight="1" ht="12.75">
      <c r="A816" s="4"/>
      <c r="B816" s="29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29"/>
      <c r="N816" s="29"/>
      <c r="O816" s="29"/>
      <c r="P816" s="32"/>
      <c r="Q816" s="32"/>
      <c r="R816" s="4"/>
      <c r="S816" s="4"/>
      <c r="T816" s="4"/>
      <c r="U816" s="4"/>
      <c r="V816" s="4"/>
      <c r="W816" s="4"/>
      <c r="X816" s="4"/>
      <c r="Y816" s="4"/>
      <c r="Z816" s="4"/>
    </row>
    <row x14ac:dyDescent="0.25" r="817" customHeight="1" ht="12.75">
      <c r="A817" s="4"/>
      <c r="B817" s="29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29"/>
      <c r="N817" s="29"/>
      <c r="O817" s="29"/>
      <c r="P817" s="32"/>
      <c r="Q817" s="32"/>
      <c r="R817" s="4"/>
      <c r="S817" s="4"/>
      <c r="T817" s="4"/>
      <c r="U817" s="4"/>
      <c r="V817" s="4"/>
      <c r="W817" s="4"/>
      <c r="X817" s="4"/>
      <c r="Y817" s="4"/>
      <c r="Z817" s="4"/>
    </row>
    <row x14ac:dyDescent="0.25" r="818" customHeight="1" ht="12.75">
      <c r="A818" s="4"/>
      <c r="B818" s="29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29"/>
      <c r="N818" s="29"/>
      <c r="O818" s="29"/>
      <c r="P818" s="32"/>
      <c r="Q818" s="32"/>
      <c r="R818" s="4"/>
      <c r="S818" s="4"/>
      <c r="T818" s="4"/>
      <c r="U818" s="4"/>
      <c r="V818" s="4"/>
      <c r="W818" s="4"/>
      <c r="X818" s="4"/>
      <c r="Y818" s="4"/>
      <c r="Z818" s="4"/>
    </row>
    <row x14ac:dyDescent="0.25" r="819" customHeight="1" ht="12.75">
      <c r="A819" s="4"/>
      <c r="B819" s="29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29"/>
      <c r="N819" s="29"/>
      <c r="O819" s="29"/>
      <c r="P819" s="32"/>
      <c r="Q819" s="32"/>
      <c r="R819" s="4"/>
      <c r="S819" s="4"/>
      <c r="T819" s="4"/>
      <c r="U819" s="4"/>
      <c r="V819" s="4"/>
      <c r="W819" s="4"/>
      <c r="X819" s="4"/>
      <c r="Y819" s="4"/>
      <c r="Z819" s="4"/>
    </row>
    <row x14ac:dyDescent="0.25" r="820" customHeight="1" ht="12.75">
      <c r="A820" s="4"/>
      <c r="B820" s="29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29"/>
      <c r="N820" s="29"/>
      <c r="O820" s="29"/>
      <c r="P820" s="32"/>
      <c r="Q820" s="32"/>
      <c r="R820" s="4"/>
      <c r="S820" s="4"/>
      <c r="T820" s="4"/>
      <c r="U820" s="4"/>
      <c r="V820" s="4"/>
      <c r="W820" s="4"/>
      <c r="X820" s="4"/>
      <c r="Y820" s="4"/>
      <c r="Z820" s="4"/>
    </row>
    <row x14ac:dyDescent="0.25" r="821" customHeight="1" ht="12.75">
      <c r="A821" s="4"/>
      <c r="B821" s="29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29"/>
      <c r="N821" s="29"/>
      <c r="O821" s="29"/>
      <c r="P821" s="32"/>
      <c r="Q821" s="32"/>
      <c r="R821" s="4"/>
      <c r="S821" s="4"/>
      <c r="T821" s="4"/>
      <c r="U821" s="4"/>
      <c r="V821" s="4"/>
      <c r="W821" s="4"/>
      <c r="X821" s="4"/>
      <c r="Y821" s="4"/>
      <c r="Z821" s="4"/>
    </row>
    <row x14ac:dyDescent="0.25" r="822" customHeight="1" ht="12.75">
      <c r="A822" s="4"/>
      <c r="B822" s="29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29"/>
      <c r="N822" s="29"/>
      <c r="O822" s="29"/>
      <c r="P822" s="32"/>
      <c r="Q822" s="32"/>
      <c r="R822" s="4"/>
      <c r="S822" s="4"/>
      <c r="T822" s="4"/>
      <c r="U822" s="4"/>
      <c r="V822" s="4"/>
      <c r="W822" s="4"/>
      <c r="X822" s="4"/>
      <c r="Y822" s="4"/>
      <c r="Z822" s="4"/>
    </row>
    <row x14ac:dyDescent="0.25" r="823" customHeight="1" ht="12.75">
      <c r="A823" s="4"/>
      <c r="B823" s="29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29"/>
      <c r="N823" s="29"/>
      <c r="O823" s="29"/>
      <c r="P823" s="32"/>
      <c r="Q823" s="32"/>
      <c r="R823" s="4"/>
      <c r="S823" s="4"/>
      <c r="T823" s="4"/>
      <c r="U823" s="4"/>
      <c r="V823" s="4"/>
      <c r="W823" s="4"/>
      <c r="X823" s="4"/>
      <c r="Y823" s="4"/>
      <c r="Z823" s="4"/>
    </row>
    <row x14ac:dyDescent="0.25" r="824" customHeight="1" ht="12.75">
      <c r="A824" s="4"/>
      <c r="B824" s="29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29"/>
      <c r="N824" s="29"/>
      <c r="O824" s="29"/>
      <c r="P824" s="32"/>
      <c r="Q824" s="32"/>
      <c r="R824" s="4"/>
      <c r="S824" s="4"/>
      <c r="T824" s="4"/>
      <c r="U824" s="4"/>
      <c r="V824" s="4"/>
      <c r="W824" s="4"/>
      <c r="X824" s="4"/>
      <c r="Y824" s="4"/>
      <c r="Z824" s="4"/>
    </row>
    <row x14ac:dyDescent="0.25" r="825" customHeight="1" ht="12.75">
      <c r="A825" s="4"/>
      <c r="B825" s="29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29"/>
      <c r="N825" s="29"/>
      <c r="O825" s="29"/>
      <c r="P825" s="32"/>
      <c r="Q825" s="32"/>
      <c r="R825" s="4"/>
      <c r="S825" s="4"/>
      <c r="T825" s="4"/>
      <c r="U825" s="4"/>
      <c r="V825" s="4"/>
      <c r="W825" s="4"/>
      <c r="X825" s="4"/>
      <c r="Y825" s="4"/>
      <c r="Z825" s="4"/>
    </row>
    <row x14ac:dyDescent="0.25" r="826" customHeight="1" ht="12.75">
      <c r="A826" s="4"/>
      <c r="B826" s="29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29"/>
      <c r="N826" s="29"/>
      <c r="O826" s="29"/>
      <c r="P826" s="32"/>
      <c r="Q826" s="32"/>
      <c r="R826" s="4"/>
      <c r="S826" s="4"/>
      <c r="T826" s="4"/>
      <c r="U826" s="4"/>
      <c r="V826" s="4"/>
      <c r="W826" s="4"/>
      <c r="X826" s="4"/>
      <c r="Y826" s="4"/>
      <c r="Z826" s="4"/>
    </row>
    <row x14ac:dyDescent="0.25" r="827" customHeight="1" ht="12.75">
      <c r="A827" s="4"/>
      <c r="B827" s="29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29"/>
      <c r="N827" s="29"/>
      <c r="O827" s="29"/>
      <c r="P827" s="32"/>
      <c r="Q827" s="32"/>
      <c r="R827" s="4"/>
      <c r="S827" s="4"/>
      <c r="T827" s="4"/>
      <c r="U827" s="4"/>
      <c r="V827" s="4"/>
      <c r="W827" s="4"/>
      <c r="X827" s="4"/>
      <c r="Y827" s="4"/>
      <c r="Z827" s="4"/>
    </row>
    <row x14ac:dyDescent="0.25" r="828" customHeight="1" ht="12.75">
      <c r="A828" s="4"/>
      <c r="B828" s="29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29"/>
      <c r="N828" s="29"/>
      <c r="O828" s="29"/>
      <c r="P828" s="32"/>
      <c r="Q828" s="32"/>
      <c r="R828" s="4"/>
      <c r="S828" s="4"/>
      <c r="T828" s="4"/>
      <c r="U828" s="4"/>
      <c r="V828" s="4"/>
      <c r="W828" s="4"/>
      <c r="X828" s="4"/>
      <c r="Y828" s="4"/>
      <c r="Z828" s="4"/>
    </row>
    <row x14ac:dyDescent="0.25" r="829" customHeight="1" ht="12.75">
      <c r="A829" s="4"/>
      <c r="B829" s="29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29"/>
      <c r="N829" s="29"/>
      <c r="O829" s="29"/>
      <c r="P829" s="32"/>
      <c r="Q829" s="32"/>
      <c r="R829" s="4"/>
      <c r="S829" s="4"/>
      <c r="T829" s="4"/>
      <c r="U829" s="4"/>
      <c r="V829" s="4"/>
      <c r="W829" s="4"/>
      <c r="X829" s="4"/>
      <c r="Y829" s="4"/>
      <c r="Z829" s="4"/>
    </row>
    <row x14ac:dyDescent="0.25" r="830" customHeight="1" ht="12.75">
      <c r="A830" s="4"/>
      <c r="B830" s="29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29"/>
      <c r="N830" s="29"/>
      <c r="O830" s="29"/>
      <c r="P830" s="32"/>
      <c r="Q830" s="32"/>
      <c r="R830" s="4"/>
      <c r="S830" s="4"/>
      <c r="T830" s="4"/>
      <c r="U830" s="4"/>
      <c r="V830" s="4"/>
      <c r="W830" s="4"/>
      <c r="X830" s="4"/>
      <c r="Y830" s="4"/>
      <c r="Z830" s="4"/>
    </row>
    <row x14ac:dyDescent="0.25" r="831" customHeight="1" ht="12.75">
      <c r="A831" s="4"/>
      <c r="B831" s="29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29"/>
      <c r="N831" s="29"/>
      <c r="O831" s="29"/>
      <c r="P831" s="32"/>
      <c r="Q831" s="32"/>
      <c r="R831" s="4"/>
      <c r="S831" s="4"/>
      <c r="T831" s="4"/>
      <c r="U831" s="4"/>
      <c r="V831" s="4"/>
      <c r="W831" s="4"/>
      <c r="X831" s="4"/>
      <c r="Y831" s="4"/>
      <c r="Z831" s="4"/>
    </row>
    <row x14ac:dyDescent="0.25" r="832" customHeight="1" ht="12.75">
      <c r="A832" s="4"/>
      <c r="B832" s="29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29"/>
      <c r="N832" s="29"/>
      <c r="O832" s="29"/>
      <c r="P832" s="32"/>
      <c r="Q832" s="32"/>
      <c r="R832" s="4"/>
      <c r="S832" s="4"/>
      <c r="T832" s="4"/>
      <c r="U832" s="4"/>
      <c r="V832" s="4"/>
      <c r="W832" s="4"/>
      <c r="X832" s="4"/>
      <c r="Y832" s="4"/>
      <c r="Z832" s="4"/>
    </row>
    <row x14ac:dyDescent="0.25" r="833" customHeight="1" ht="12.75">
      <c r="A833" s="4"/>
      <c r="B833" s="29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29"/>
      <c r="N833" s="29"/>
      <c r="O833" s="29"/>
      <c r="P833" s="32"/>
      <c r="Q833" s="32"/>
      <c r="R833" s="4"/>
      <c r="S833" s="4"/>
      <c r="T833" s="4"/>
      <c r="U833" s="4"/>
      <c r="V833" s="4"/>
      <c r="W833" s="4"/>
      <c r="X833" s="4"/>
      <c r="Y833" s="4"/>
      <c r="Z833" s="4"/>
    </row>
    <row x14ac:dyDescent="0.25" r="834" customHeight="1" ht="12.75">
      <c r="A834" s="4"/>
      <c r="B834" s="29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29"/>
      <c r="N834" s="29"/>
      <c r="O834" s="29"/>
      <c r="P834" s="32"/>
      <c r="Q834" s="32"/>
      <c r="R834" s="4"/>
      <c r="S834" s="4"/>
      <c r="T834" s="4"/>
      <c r="U834" s="4"/>
      <c r="V834" s="4"/>
      <c r="W834" s="4"/>
      <c r="X834" s="4"/>
      <c r="Y834" s="4"/>
      <c r="Z834" s="4"/>
    </row>
    <row x14ac:dyDescent="0.25" r="835" customHeight="1" ht="12.75">
      <c r="A835" s="4"/>
      <c r="B835" s="29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29"/>
      <c r="N835" s="29"/>
      <c r="O835" s="29"/>
      <c r="P835" s="32"/>
      <c r="Q835" s="32"/>
      <c r="R835" s="4"/>
      <c r="S835" s="4"/>
      <c r="T835" s="4"/>
      <c r="U835" s="4"/>
      <c r="V835" s="4"/>
      <c r="W835" s="4"/>
      <c r="X835" s="4"/>
      <c r="Y835" s="4"/>
      <c r="Z835" s="4"/>
    </row>
    <row x14ac:dyDescent="0.25" r="836" customHeight="1" ht="12.75">
      <c r="A836" s="4"/>
      <c r="B836" s="29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29"/>
      <c r="N836" s="29"/>
      <c r="O836" s="29"/>
      <c r="P836" s="32"/>
      <c r="Q836" s="32"/>
      <c r="R836" s="4"/>
      <c r="S836" s="4"/>
      <c r="T836" s="4"/>
      <c r="U836" s="4"/>
      <c r="V836" s="4"/>
      <c r="W836" s="4"/>
      <c r="X836" s="4"/>
      <c r="Y836" s="4"/>
      <c r="Z836" s="4"/>
    </row>
    <row x14ac:dyDescent="0.25" r="837" customHeight="1" ht="12.75">
      <c r="A837" s="4"/>
      <c r="B837" s="29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29"/>
      <c r="N837" s="29"/>
      <c r="O837" s="29"/>
      <c r="P837" s="32"/>
      <c r="Q837" s="32"/>
      <c r="R837" s="4"/>
      <c r="S837" s="4"/>
      <c r="T837" s="4"/>
      <c r="U837" s="4"/>
      <c r="V837" s="4"/>
      <c r="W837" s="4"/>
      <c r="X837" s="4"/>
      <c r="Y837" s="4"/>
      <c r="Z837" s="4"/>
    </row>
    <row x14ac:dyDescent="0.25" r="838" customHeight="1" ht="12.75">
      <c r="A838" s="4"/>
      <c r="B838" s="29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29"/>
      <c r="N838" s="29"/>
      <c r="O838" s="29"/>
      <c r="P838" s="32"/>
      <c r="Q838" s="32"/>
      <c r="R838" s="4"/>
      <c r="S838" s="4"/>
      <c r="T838" s="4"/>
      <c r="U838" s="4"/>
      <c r="V838" s="4"/>
      <c r="W838" s="4"/>
      <c r="X838" s="4"/>
      <c r="Y838" s="4"/>
      <c r="Z838" s="4"/>
    </row>
    <row x14ac:dyDescent="0.25" r="839" customHeight="1" ht="12.75">
      <c r="A839" s="4"/>
      <c r="B839" s="29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29"/>
      <c r="N839" s="29"/>
      <c r="O839" s="29"/>
      <c r="P839" s="32"/>
      <c r="Q839" s="32"/>
      <c r="R839" s="4"/>
      <c r="S839" s="4"/>
      <c r="T839" s="4"/>
      <c r="U839" s="4"/>
      <c r="V839" s="4"/>
      <c r="W839" s="4"/>
      <c r="X839" s="4"/>
      <c r="Y839" s="4"/>
      <c r="Z839" s="4"/>
    </row>
    <row x14ac:dyDescent="0.25" r="840" customHeight="1" ht="12.75">
      <c r="A840" s="4"/>
      <c r="B840" s="29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29"/>
      <c r="N840" s="29"/>
      <c r="O840" s="29"/>
      <c r="P840" s="32"/>
      <c r="Q840" s="32"/>
      <c r="R840" s="4"/>
      <c r="S840" s="4"/>
      <c r="T840" s="4"/>
      <c r="U840" s="4"/>
      <c r="V840" s="4"/>
      <c r="W840" s="4"/>
      <c r="X840" s="4"/>
      <c r="Y840" s="4"/>
      <c r="Z840" s="4"/>
    </row>
    <row x14ac:dyDescent="0.25" r="841" customHeight="1" ht="12.75">
      <c r="A841" s="4"/>
      <c r="B841" s="29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29"/>
      <c r="N841" s="29"/>
      <c r="O841" s="29"/>
      <c r="P841" s="32"/>
      <c r="Q841" s="32"/>
      <c r="R841" s="4"/>
      <c r="S841" s="4"/>
      <c r="T841" s="4"/>
      <c r="U841" s="4"/>
      <c r="V841" s="4"/>
      <c r="W841" s="4"/>
      <c r="X841" s="4"/>
      <c r="Y841" s="4"/>
      <c r="Z841" s="4"/>
    </row>
    <row x14ac:dyDescent="0.25" r="842" customHeight="1" ht="12.75">
      <c r="A842" s="4"/>
      <c r="B842" s="29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29"/>
      <c r="N842" s="29"/>
      <c r="O842" s="29"/>
      <c r="P842" s="32"/>
      <c r="Q842" s="32"/>
      <c r="R842" s="4"/>
      <c r="S842" s="4"/>
      <c r="T842" s="4"/>
      <c r="U842" s="4"/>
      <c r="V842" s="4"/>
      <c r="W842" s="4"/>
      <c r="X842" s="4"/>
      <c r="Y842" s="4"/>
      <c r="Z842" s="4"/>
    </row>
    <row x14ac:dyDescent="0.25" r="843" customHeight="1" ht="12.75">
      <c r="A843" s="4"/>
      <c r="B843" s="29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29"/>
      <c r="N843" s="29"/>
      <c r="O843" s="29"/>
      <c r="P843" s="32"/>
      <c r="Q843" s="32"/>
      <c r="R843" s="4"/>
      <c r="S843" s="4"/>
      <c r="T843" s="4"/>
      <c r="U843" s="4"/>
      <c r="V843" s="4"/>
      <c r="W843" s="4"/>
      <c r="X843" s="4"/>
      <c r="Y843" s="4"/>
      <c r="Z843" s="4"/>
    </row>
    <row x14ac:dyDescent="0.25" r="844" customHeight="1" ht="12.75">
      <c r="A844" s="4"/>
      <c r="B844" s="29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29"/>
      <c r="N844" s="29"/>
      <c r="O844" s="29"/>
      <c r="P844" s="32"/>
      <c r="Q844" s="32"/>
      <c r="R844" s="4"/>
      <c r="S844" s="4"/>
      <c r="T844" s="4"/>
      <c r="U844" s="4"/>
      <c r="V844" s="4"/>
      <c r="W844" s="4"/>
      <c r="X844" s="4"/>
      <c r="Y844" s="4"/>
      <c r="Z844" s="4"/>
    </row>
    <row x14ac:dyDescent="0.25" r="845" customHeight="1" ht="12.75">
      <c r="A845" s="4"/>
      <c r="B845" s="29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29"/>
      <c r="N845" s="29"/>
      <c r="O845" s="29"/>
      <c r="P845" s="32"/>
      <c r="Q845" s="32"/>
      <c r="R845" s="4"/>
      <c r="S845" s="4"/>
      <c r="T845" s="4"/>
      <c r="U845" s="4"/>
      <c r="V845" s="4"/>
      <c r="W845" s="4"/>
      <c r="X845" s="4"/>
      <c r="Y845" s="4"/>
      <c r="Z845" s="4"/>
    </row>
    <row x14ac:dyDescent="0.25" r="846" customHeight="1" ht="12.75">
      <c r="A846" s="4"/>
      <c r="B846" s="29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29"/>
      <c r="N846" s="29"/>
      <c r="O846" s="29"/>
      <c r="P846" s="32"/>
      <c r="Q846" s="32"/>
      <c r="R846" s="4"/>
      <c r="S846" s="4"/>
      <c r="T846" s="4"/>
      <c r="U846" s="4"/>
      <c r="V846" s="4"/>
      <c r="W846" s="4"/>
      <c r="X846" s="4"/>
      <c r="Y846" s="4"/>
      <c r="Z846" s="4"/>
    </row>
    <row x14ac:dyDescent="0.25" r="847" customHeight="1" ht="12.75">
      <c r="A847" s="4"/>
      <c r="B847" s="29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29"/>
      <c r="N847" s="29"/>
      <c r="O847" s="29"/>
      <c r="P847" s="32"/>
      <c r="Q847" s="32"/>
      <c r="R847" s="4"/>
      <c r="S847" s="4"/>
      <c r="T847" s="4"/>
      <c r="U847" s="4"/>
      <c r="V847" s="4"/>
      <c r="W847" s="4"/>
      <c r="X847" s="4"/>
      <c r="Y847" s="4"/>
      <c r="Z847" s="4"/>
    </row>
    <row x14ac:dyDescent="0.25" r="848" customHeight="1" ht="12.75">
      <c r="A848" s="4"/>
      <c r="B848" s="29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29"/>
      <c r="N848" s="29"/>
      <c r="O848" s="29"/>
      <c r="P848" s="32"/>
      <c r="Q848" s="32"/>
      <c r="R848" s="4"/>
      <c r="S848" s="4"/>
      <c r="T848" s="4"/>
      <c r="U848" s="4"/>
      <c r="V848" s="4"/>
      <c r="W848" s="4"/>
      <c r="X848" s="4"/>
      <c r="Y848" s="4"/>
      <c r="Z848" s="4"/>
    </row>
    <row x14ac:dyDescent="0.25" r="849" customHeight="1" ht="12.75">
      <c r="A849" s="4"/>
      <c r="B849" s="29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29"/>
      <c r="N849" s="29"/>
      <c r="O849" s="29"/>
      <c r="P849" s="32"/>
      <c r="Q849" s="32"/>
      <c r="R849" s="4"/>
      <c r="S849" s="4"/>
      <c r="T849" s="4"/>
      <c r="U849" s="4"/>
      <c r="V849" s="4"/>
      <c r="W849" s="4"/>
      <c r="X849" s="4"/>
      <c r="Y849" s="4"/>
      <c r="Z849" s="4"/>
    </row>
    <row x14ac:dyDescent="0.25" r="850" customHeight="1" ht="12.75">
      <c r="A850" s="4"/>
      <c r="B850" s="29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29"/>
      <c r="N850" s="29"/>
      <c r="O850" s="29"/>
      <c r="P850" s="32"/>
      <c r="Q850" s="32"/>
      <c r="R850" s="4"/>
      <c r="S850" s="4"/>
      <c r="T850" s="4"/>
      <c r="U850" s="4"/>
      <c r="V850" s="4"/>
      <c r="W850" s="4"/>
      <c r="X850" s="4"/>
      <c r="Y850" s="4"/>
      <c r="Z850" s="4"/>
    </row>
    <row x14ac:dyDescent="0.25" r="851" customHeight="1" ht="12.75">
      <c r="A851" s="4"/>
      <c r="B851" s="29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29"/>
      <c r="N851" s="29"/>
      <c r="O851" s="29"/>
      <c r="P851" s="32"/>
      <c r="Q851" s="32"/>
      <c r="R851" s="4"/>
      <c r="S851" s="4"/>
      <c r="T851" s="4"/>
      <c r="U851" s="4"/>
      <c r="V851" s="4"/>
      <c r="W851" s="4"/>
      <c r="X851" s="4"/>
      <c r="Y851" s="4"/>
      <c r="Z851" s="4"/>
    </row>
    <row x14ac:dyDescent="0.25" r="852" customHeight="1" ht="12.75">
      <c r="A852" s="4"/>
      <c r="B852" s="29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29"/>
      <c r="N852" s="29"/>
      <c r="O852" s="29"/>
      <c r="P852" s="32"/>
      <c r="Q852" s="32"/>
      <c r="R852" s="4"/>
      <c r="S852" s="4"/>
      <c r="T852" s="4"/>
      <c r="U852" s="4"/>
      <c r="V852" s="4"/>
      <c r="W852" s="4"/>
      <c r="X852" s="4"/>
      <c r="Y852" s="4"/>
      <c r="Z852" s="4"/>
    </row>
    <row x14ac:dyDescent="0.25" r="853" customHeight="1" ht="12.75">
      <c r="A853" s="4"/>
      <c r="B853" s="29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29"/>
      <c r="N853" s="29"/>
      <c r="O853" s="29"/>
      <c r="P853" s="32"/>
      <c r="Q853" s="32"/>
      <c r="R853" s="4"/>
      <c r="S853" s="4"/>
      <c r="T853" s="4"/>
      <c r="U853" s="4"/>
      <c r="V853" s="4"/>
      <c r="W853" s="4"/>
      <c r="X853" s="4"/>
      <c r="Y853" s="4"/>
      <c r="Z853" s="4"/>
    </row>
    <row x14ac:dyDescent="0.25" r="854" customHeight="1" ht="12.75">
      <c r="A854" s="4"/>
      <c r="B854" s="29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29"/>
      <c r="N854" s="29"/>
      <c r="O854" s="29"/>
      <c r="P854" s="32"/>
      <c r="Q854" s="32"/>
      <c r="R854" s="4"/>
      <c r="S854" s="4"/>
      <c r="T854" s="4"/>
      <c r="U854" s="4"/>
      <c r="V854" s="4"/>
      <c r="W854" s="4"/>
      <c r="X854" s="4"/>
      <c r="Y854" s="4"/>
      <c r="Z854" s="4"/>
    </row>
    <row x14ac:dyDescent="0.25" r="855" customHeight="1" ht="12.75">
      <c r="A855" s="4"/>
      <c r="B855" s="29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29"/>
      <c r="N855" s="29"/>
      <c r="O855" s="29"/>
      <c r="P855" s="32"/>
      <c r="Q855" s="32"/>
      <c r="R855" s="4"/>
      <c r="S855" s="4"/>
      <c r="T855" s="4"/>
      <c r="U855" s="4"/>
      <c r="V855" s="4"/>
      <c r="W855" s="4"/>
      <c r="X855" s="4"/>
      <c r="Y855" s="4"/>
      <c r="Z855" s="4"/>
    </row>
    <row x14ac:dyDescent="0.25" r="856" customHeight="1" ht="12.75">
      <c r="A856" s="4"/>
      <c r="B856" s="29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29"/>
      <c r="N856" s="29"/>
      <c r="O856" s="29"/>
      <c r="P856" s="32"/>
      <c r="Q856" s="32"/>
      <c r="R856" s="4"/>
      <c r="S856" s="4"/>
      <c r="T856" s="4"/>
      <c r="U856" s="4"/>
      <c r="V856" s="4"/>
      <c r="W856" s="4"/>
      <c r="X856" s="4"/>
      <c r="Y856" s="4"/>
      <c r="Z856" s="4"/>
    </row>
    <row x14ac:dyDescent="0.25" r="857" customHeight="1" ht="12.75">
      <c r="A857" s="4"/>
      <c r="B857" s="29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29"/>
      <c r="N857" s="29"/>
      <c r="O857" s="29"/>
      <c r="P857" s="32"/>
      <c r="Q857" s="32"/>
      <c r="R857" s="4"/>
      <c r="S857" s="4"/>
      <c r="T857" s="4"/>
      <c r="U857" s="4"/>
      <c r="V857" s="4"/>
      <c r="W857" s="4"/>
      <c r="X857" s="4"/>
      <c r="Y857" s="4"/>
      <c r="Z857" s="4"/>
    </row>
    <row x14ac:dyDescent="0.25" r="858" customHeight="1" ht="12.75">
      <c r="A858" s="4"/>
      <c r="B858" s="29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29"/>
      <c r="N858" s="29"/>
      <c r="O858" s="29"/>
      <c r="P858" s="32"/>
      <c r="Q858" s="32"/>
      <c r="R858" s="4"/>
      <c r="S858" s="4"/>
      <c r="T858" s="4"/>
      <c r="U858" s="4"/>
      <c r="V858" s="4"/>
      <c r="W858" s="4"/>
      <c r="X858" s="4"/>
      <c r="Y858" s="4"/>
      <c r="Z858" s="4"/>
    </row>
    <row x14ac:dyDescent="0.25" r="859" customHeight="1" ht="12.75">
      <c r="A859" s="4"/>
      <c r="B859" s="29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29"/>
      <c r="N859" s="29"/>
      <c r="O859" s="29"/>
      <c r="P859" s="32"/>
      <c r="Q859" s="32"/>
      <c r="R859" s="4"/>
      <c r="S859" s="4"/>
      <c r="T859" s="4"/>
      <c r="U859" s="4"/>
      <c r="V859" s="4"/>
      <c r="W859" s="4"/>
      <c r="X859" s="4"/>
      <c r="Y859" s="4"/>
      <c r="Z859" s="4"/>
    </row>
    <row x14ac:dyDescent="0.25" r="860" customHeight="1" ht="12.75">
      <c r="A860" s="4"/>
      <c r="B860" s="29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29"/>
      <c r="N860" s="29"/>
      <c r="O860" s="29"/>
      <c r="P860" s="32"/>
      <c r="Q860" s="32"/>
      <c r="R860" s="4"/>
      <c r="S860" s="4"/>
      <c r="T860" s="4"/>
      <c r="U860" s="4"/>
      <c r="V860" s="4"/>
      <c r="W860" s="4"/>
      <c r="X860" s="4"/>
      <c r="Y860" s="4"/>
      <c r="Z860" s="4"/>
    </row>
    <row x14ac:dyDescent="0.25" r="861" customHeight="1" ht="12.75">
      <c r="A861" s="4"/>
      <c r="B861" s="29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29"/>
      <c r="N861" s="29"/>
      <c r="O861" s="29"/>
      <c r="P861" s="32"/>
      <c r="Q861" s="32"/>
      <c r="R861" s="4"/>
      <c r="S861" s="4"/>
      <c r="T861" s="4"/>
      <c r="U861" s="4"/>
      <c r="V861" s="4"/>
      <c r="W861" s="4"/>
      <c r="X861" s="4"/>
      <c r="Y861" s="4"/>
      <c r="Z861" s="4"/>
    </row>
    <row x14ac:dyDescent="0.25" r="862" customHeight="1" ht="12.75">
      <c r="A862" s="4"/>
      <c r="B862" s="29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29"/>
      <c r="N862" s="29"/>
      <c r="O862" s="29"/>
      <c r="P862" s="32"/>
      <c r="Q862" s="32"/>
      <c r="R862" s="4"/>
      <c r="S862" s="4"/>
      <c r="T862" s="4"/>
      <c r="U862" s="4"/>
      <c r="V862" s="4"/>
      <c r="W862" s="4"/>
      <c r="X862" s="4"/>
      <c r="Y862" s="4"/>
      <c r="Z862" s="4"/>
    </row>
    <row x14ac:dyDescent="0.25" r="863" customHeight="1" ht="12.75">
      <c r="A863" s="4"/>
      <c r="B863" s="29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29"/>
      <c r="N863" s="29"/>
      <c r="O863" s="29"/>
      <c r="P863" s="32"/>
      <c r="Q863" s="32"/>
      <c r="R863" s="4"/>
      <c r="S863" s="4"/>
      <c r="T863" s="4"/>
      <c r="U863" s="4"/>
      <c r="V863" s="4"/>
      <c r="W863" s="4"/>
      <c r="X863" s="4"/>
      <c r="Y863" s="4"/>
      <c r="Z863" s="4"/>
    </row>
    <row x14ac:dyDescent="0.25" r="864" customHeight="1" ht="12.75">
      <c r="A864" s="4"/>
      <c r="B864" s="29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29"/>
      <c r="N864" s="29"/>
      <c r="O864" s="29"/>
      <c r="P864" s="32"/>
      <c r="Q864" s="32"/>
      <c r="R864" s="4"/>
      <c r="S864" s="4"/>
      <c r="T864" s="4"/>
      <c r="U864" s="4"/>
      <c r="V864" s="4"/>
      <c r="W864" s="4"/>
      <c r="X864" s="4"/>
      <c r="Y864" s="4"/>
      <c r="Z864" s="4"/>
    </row>
    <row x14ac:dyDescent="0.25" r="865" customHeight="1" ht="12.75">
      <c r="A865" s="4"/>
      <c r="B865" s="29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29"/>
      <c r="N865" s="29"/>
      <c r="O865" s="29"/>
      <c r="P865" s="32"/>
      <c r="Q865" s="32"/>
      <c r="R865" s="4"/>
      <c r="S865" s="4"/>
      <c r="T865" s="4"/>
      <c r="U865" s="4"/>
      <c r="V865" s="4"/>
      <c r="W865" s="4"/>
      <c r="X865" s="4"/>
      <c r="Y865" s="4"/>
      <c r="Z865" s="4"/>
    </row>
    <row x14ac:dyDescent="0.25" r="866" customHeight="1" ht="12.75">
      <c r="A866" s="4"/>
      <c r="B866" s="29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29"/>
      <c r="N866" s="29"/>
      <c r="O866" s="29"/>
      <c r="P866" s="32"/>
      <c r="Q866" s="32"/>
      <c r="R866" s="4"/>
      <c r="S866" s="4"/>
      <c r="T866" s="4"/>
      <c r="U866" s="4"/>
      <c r="V866" s="4"/>
      <c r="W866" s="4"/>
      <c r="X866" s="4"/>
      <c r="Y866" s="4"/>
      <c r="Z866" s="4"/>
    </row>
    <row x14ac:dyDescent="0.25" r="867" customHeight="1" ht="12.75">
      <c r="A867" s="4"/>
      <c r="B867" s="29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29"/>
      <c r="N867" s="29"/>
      <c r="O867" s="29"/>
      <c r="P867" s="32"/>
      <c r="Q867" s="32"/>
      <c r="R867" s="4"/>
      <c r="S867" s="4"/>
      <c r="T867" s="4"/>
      <c r="U867" s="4"/>
      <c r="V867" s="4"/>
      <c r="W867" s="4"/>
      <c r="X867" s="4"/>
      <c r="Y867" s="4"/>
      <c r="Z867" s="4"/>
    </row>
    <row x14ac:dyDescent="0.25" r="868" customHeight="1" ht="12.75">
      <c r="A868" s="4"/>
      <c r="B868" s="29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29"/>
      <c r="N868" s="29"/>
      <c r="O868" s="29"/>
      <c r="P868" s="32"/>
      <c r="Q868" s="32"/>
      <c r="R868" s="4"/>
      <c r="S868" s="4"/>
      <c r="T868" s="4"/>
      <c r="U868" s="4"/>
      <c r="V868" s="4"/>
      <c r="W868" s="4"/>
      <c r="X868" s="4"/>
      <c r="Y868" s="4"/>
      <c r="Z868" s="4"/>
    </row>
    <row x14ac:dyDescent="0.25" r="869" customHeight="1" ht="12.75">
      <c r="A869" s="4"/>
      <c r="B869" s="29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29"/>
      <c r="N869" s="29"/>
      <c r="O869" s="29"/>
      <c r="P869" s="32"/>
      <c r="Q869" s="32"/>
      <c r="R869" s="4"/>
      <c r="S869" s="4"/>
      <c r="T869" s="4"/>
      <c r="U869" s="4"/>
      <c r="V869" s="4"/>
      <c r="W869" s="4"/>
      <c r="X869" s="4"/>
      <c r="Y869" s="4"/>
      <c r="Z869" s="4"/>
    </row>
    <row x14ac:dyDescent="0.25" r="870" customHeight="1" ht="12.75">
      <c r="A870" s="4"/>
      <c r="B870" s="29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29"/>
      <c r="N870" s="29"/>
      <c r="O870" s="29"/>
      <c r="P870" s="32"/>
      <c r="Q870" s="32"/>
      <c r="R870" s="4"/>
      <c r="S870" s="4"/>
      <c r="T870" s="4"/>
      <c r="U870" s="4"/>
      <c r="V870" s="4"/>
      <c r="W870" s="4"/>
      <c r="X870" s="4"/>
      <c r="Y870" s="4"/>
      <c r="Z870" s="4"/>
    </row>
    <row x14ac:dyDescent="0.25" r="871" customHeight="1" ht="12.75">
      <c r="A871" s="4"/>
      <c r="B871" s="29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29"/>
      <c r="N871" s="29"/>
      <c r="O871" s="29"/>
      <c r="P871" s="32"/>
      <c r="Q871" s="32"/>
      <c r="R871" s="4"/>
      <c r="S871" s="4"/>
      <c r="T871" s="4"/>
      <c r="U871" s="4"/>
      <c r="V871" s="4"/>
      <c r="W871" s="4"/>
      <c r="X871" s="4"/>
      <c r="Y871" s="4"/>
      <c r="Z871" s="4"/>
    </row>
    <row x14ac:dyDescent="0.25" r="872" customHeight="1" ht="12.75">
      <c r="A872" s="4"/>
      <c r="B872" s="29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29"/>
      <c r="N872" s="29"/>
      <c r="O872" s="29"/>
      <c r="P872" s="32"/>
      <c r="Q872" s="32"/>
      <c r="R872" s="4"/>
      <c r="S872" s="4"/>
      <c r="T872" s="4"/>
      <c r="U872" s="4"/>
      <c r="V872" s="4"/>
      <c r="W872" s="4"/>
      <c r="X872" s="4"/>
      <c r="Y872" s="4"/>
      <c r="Z872" s="4"/>
    </row>
    <row x14ac:dyDescent="0.25" r="873" customHeight="1" ht="12.75">
      <c r="A873" s="4"/>
      <c r="B873" s="29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29"/>
      <c r="N873" s="29"/>
      <c r="O873" s="29"/>
      <c r="P873" s="32"/>
      <c r="Q873" s="32"/>
      <c r="R873" s="4"/>
      <c r="S873" s="4"/>
      <c r="T873" s="4"/>
      <c r="U873" s="4"/>
      <c r="V873" s="4"/>
      <c r="W873" s="4"/>
      <c r="X873" s="4"/>
      <c r="Y873" s="4"/>
      <c r="Z873" s="4"/>
    </row>
    <row x14ac:dyDescent="0.25" r="874" customHeight="1" ht="12.75">
      <c r="A874" s="4"/>
      <c r="B874" s="29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29"/>
      <c r="N874" s="29"/>
      <c r="O874" s="29"/>
      <c r="P874" s="32"/>
      <c r="Q874" s="32"/>
      <c r="R874" s="4"/>
      <c r="S874" s="4"/>
      <c r="T874" s="4"/>
      <c r="U874" s="4"/>
      <c r="V874" s="4"/>
      <c r="W874" s="4"/>
      <c r="X874" s="4"/>
      <c r="Y874" s="4"/>
      <c r="Z874" s="4"/>
    </row>
    <row x14ac:dyDescent="0.25" r="875" customHeight="1" ht="12.75">
      <c r="A875" s="4"/>
      <c r="B875" s="29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29"/>
      <c r="N875" s="29"/>
      <c r="O875" s="29"/>
      <c r="P875" s="32"/>
      <c r="Q875" s="32"/>
      <c r="R875" s="4"/>
      <c r="S875" s="4"/>
      <c r="T875" s="4"/>
      <c r="U875" s="4"/>
      <c r="V875" s="4"/>
      <c r="W875" s="4"/>
      <c r="X875" s="4"/>
      <c r="Y875" s="4"/>
      <c r="Z875" s="4"/>
    </row>
    <row x14ac:dyDescent="0.25" r="876" customHeight="1" ht="12.75">
      <c r="A876" s="4"/>
      <c r="B876" s="29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29"/>
      <c r="N876" s="29"/>
      <c r="O876" s="29"/>
      <c r="P876" s="32"/>
      <c r="Q876" s="32"/>
      <c r="R876" s="4"/>
      <c r="S876" s="4"/>
      <c r="T876" s="4"/>
      <c r="U876" s="4"/>
      <c r="V876" s="4"/>
      <c r="W876" s="4"/>
      <c r="X876" s="4"/>
      <c r="Y876" s="4"/>
      <c r="Z876" s="4"/>
    </row>
    <row x14ac:dyDescent="0.25" r="877" customHeight="1" ht="12.75">
      <c r="A877" s="4"/>
      <c r="B877" s="29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29"/>
      <c r="N877" s="29"/>
      <c r="O877" s="29"/>
      <c r="P877" s="32"/>
      <c r="Q877" s="32"/>
      <c r="R877" s="4"/>
      <c r="S877" s="4"/>
      <c r="T877" s="4"/>
      <c r="U877" s="4"/>
      <c r="V877" s="4"/>
      <c r="W877" s="4"/>
      <c r="X877" s="4"/>
      <c r="Y877" s="4"/>
      <c r="Z877" s="4"/>
    </row>
    <row x14ac:dyDescent="0.25" r="878" customHeight="1" ht="12.75">
      <c r="A878" s="4"/>
      <c r="B878" s="29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29"/>
      <c r="N878" s="29"/>
      <c r="O878" s="29"/>
      <c r="P878" s="32"/>
      <c r="Q878" s="32"/>
      <c r="R878" s="4"/>
      <c r="S878" s="4"/>
      <c r="T878" s="4"/>
      <c r="U878" s="4"/>
      <c r="V878" s="4"/>
      <c r="W878" s="4"/>
      <c r="X878" s="4"/>
      <c r="Y878" s="4"/>
      <c r="Z878" s="4"/>
    </row>
    <row x14ac:dyDescent="0.25" r="879" customHeight="1" ht="12.75">
      <c r="A879" s="4"/>
      <c r="B879" s="29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29"/>
      <c r="N879" s="29"/>
      <c r="O879" s="29"/>
      <c r="P879" s="32"/>
      <c r="Q879" s="32"/>
      <c r="R879" s="4"/>
      <c r="S879" s="4"/>
      <c r="T879" s="4"/>
      <c r="U879" s="4"/>
      <c r="V879" s="4"/>
      <c r="W879" s="4"/>
      <c r="X879" s="4"/>
      <c r="Y879" s="4"/>
      <c r="Z879" s="4"/>
    </row>
    <row x14ac:dyDescent="0.25" r="880" customHeight="1" ht="12.75">
      <c r="A880" s="4"/>
      <c r="B880" s="29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29"/>
      <c r="N880" s="29"/>
      <c r="O880" s="29"/>
      <c r="P880" s="32"/>
      <c r="Q880" s="32"/>
      <c r="R880" s="4"/>
      <c r="S880" s="4"/>
      <c r="T880" s="4"/>
      <c r="U880" s="4"/>
      <c r="V880" s="4"/>
      <c r="W880" s="4"/>
      <c r="X880" s="4"/>
      <c r="Y880" s="4"/>
      <c r="Z880" s="4"/>
    </row>
    <row x14ac:dyDescent="0.25" r="881" customHeight="1" ht="12.75">
      <c r="A881" s="4"/>
      <c r="B881" s="29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29"/>
      <c r="N881" s="29"/>
      <c r="O881" s="29"/>
      <c r="P881" s="32"/>
      <c r="Q881" s="32"/>
      <c r="R881" s="4"/>
      <c r="S881" s="4"/>
      <c r="T881" s="4"/>
      <c r="U881" s="4"/>
      <c r="V881" s="4"/>
      <c r="W881" s="4"/>
      <c r="X881" s="4"/>
      <c r="Y881" s="4"/>
      <c r="Z881" s="4"/>
    </row>
    <row x14ac:dyDescent="0.25" r="882" customHeight="1" ht="12.75">
      <c r="A882" s="4"/>
      <c r="B882" s="29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29"/>
      <c r="N882" s="29"/>
      <c r="O882" s="29"/>
      <c r="P882" s="32"/>
      <c r="Q882" s="32"/>
      <c r="R882" s="4"/>
      <c r="S882" s="4"/>
      <c r="T882" s="4"/>
      <c r="U882" s="4"/>
      <c r="V882" s="4"/>
      <c r="W882" s="4"/>
      <c r="X882" s="4"/>
      <c r="Y882" s="4"/>
      <c r="Z882" s="4"/>
    </row>
    <row x14ac:dyDescent="0.25" r="883" customHeight="1" ht="12.75">
      <c r="A883" s="4"/>
      <c r="B883" s="29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29"/>
      <c r="N883" s="29"/>
      <c r="O883" s="29"/>
      <c r="P883" s="32"/>
      <c r="Q883" s="32"/>
      <c r="R883" s="4"/>
      <c r="S883" s="4"/>
      <c r="T883" s="4"/>
      <c r="U883" s="4"/>
      <c r="V883" s="4"/>
      <c r="W883" s="4"/>
      <c r="X883" s="4"/>
      <c r="Y883" s="4"/>
      <c r="Z883" s="4"/>
    </row>
    <row x14ac:dyDescent="0.25" r="884" customHeight="1" ht="12.75">
      <c r="A884" s="4"/>
      <c r="B884" s="29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29"/>
      <c r="N884" s="29"/>
      <c r="O884" s="29"/>
      <c r="P884" s="32"/>
      <c r="Q884" s="32"/>
      <c r="R884" s="4"/>
      <c r="S884" s="4"/>
      <c r="T884" s="4"/>
      <c r="U884" s="4"/>
      <c r="V884" s="4"/>
      <c r="W884" s="4"/>
      <c r="X884" s="4"/>
      <c r="Y884" s="4"/>
      <c r="Z884" s="4"/>
    </row>
    <row x14ac:dyDescent="0.25" r="885" customHeight="1" ht="12.75">
      <c r="A885" s="4"/>
      <c r="B885" s="29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29"/>
      <c r="N885" s="29"/>
      <c r="O885" s="29"/>
      <c r="P885" s="32"/>
      <c r="Q885" s="32"/>
      <c r="R885" s="4"/>
      <c r="S885" s="4"/>
      <c r="T885" s="4"/>
      <c r="U885" s="4"/>
      <c r="V885" s="4"/>
      <c r="W885" s="4"/>
      <c r="X885" s="4"/>
      <c r="Y885" s="4"/>
      <c r="Z885" s="4"/>
    </row>
    <row x14ac:dyDescent="0.25" r="886" customHeight="1" ht="12.75">
      <c r="A886" s="4"/>
      <c r="B886" s="29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29"/>
      <c r="N886" s="29"/>
      <c r="O886" s="29"/>
      <c r="P886" s="32"/>
      <c r="Q886" s="32"/>
      <c r="R886" s="4"/>
      <c r="S886" s="4"/>
      <c r="T886" s="4"/>
      <c r="U886" s="4"/>
      <c r="V886" s="4"/>
      <c r="W886" s="4"/>
      <c r="X886" s="4"/>
      <c r="Y886" s="4"/>
      <c r="Z886" s="4"/>
    </row>
    <row x14ac:dyDescent="0.25" r="887" customHeight="1" ht="12.75">
      <c r="A887" s="4"/>
      <c r="B887" s="29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29"/>
      <c r="N887" s="29"/>
      <c r="O887" s="29"/>
      <c r="P887" s="32"/>
      <c r="Q887" s="32"/>
      <c r="R887" s="4"/>
      <c r="S887" s="4"/>
      <c r="T887" s="4"/>
      <c r="U887" s="4"/>
      <c r="V887" s="4"/>
      <c r="W887" s="4"/>
      <c r="X887" s="4"/>
      <c r="Y887" s="4"/>
      <c r="Z887" s="4"/>
    </row>
    <row x14ac:dyDescent="0.25" r="888" customHeight="1" ht="12.75">
      <c r="A888" s="4"/>
      <c r="B888" s="29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29"/>
      <c r="N888" s="29"/>
      <c r="O888" s="29"/>
      <c r="P888" s="32"/>
      <c r="Q888" s="32"/>
      <c r="R888" s="4"/>
      <c r="S888" s="4"/>
      <c r="T888" s="4"/>
      <c r="U888" s="4"/>
      <c r="V888" s="4"/>
      <c r="W888" s="4"/>
      <c r="X888" s="4"/>
      <c r="Y888" s="4"/>
      <c r="Z888" s="4"/>
    </row>
    <row x14ac:dyDescent="0.25" r="889" customHeight="1" ht="12.75">
      <c r="A889" s="4"/>
      <c r="B889" s="29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29"/>
      <c r="N889" s="29"/>
      <c r="O889" s="29"/>
      <c r="P889" s="32"/>
      <c r="Q889" s="32"/>
      <c r="R889" s="4"/>
      <c r="S889" s="4"/>
      <c r="T889" s="4"/>
      <c r="U889" s="4"/>
      <c r="V889" s="4"/>
      <c r="W889" s="4"/>
      <c r="X889" s="4"/>
      <c r="Y889" s="4"/>
      <c r="Z889" s="4"/>
    </row>
    <row x14ac:dyDescent="0.25" r="890" customHeight="1" ht="12.75">
      <c r="A890" s="4"/>
      <c r="B890" s="29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29"/>
      <c r="N890" s="29"/>
      <c r="O890" s="29"/>
      <c r="P890" s="32"/>
      <c r="Q890" s="32"/>
      <c r="R890" s="4"/>
      <c r="S890" s="4"/>
      <c r="T890" s="4"/>
      <c r="U890" s="4"/>
      <c r="V890" s="4"/>
      <c r="W890" s="4"/>
      <c r="X890" s="4"/>
      <c r="Y890" s="4"/>
      <c r="Z890" s="4"/>
    </row>
    <row x14ac:dyDescent="0.25" r="891" customHeight="1" ht="12.75">
      <c r="A891" s="4"/>
      <c r="B891" s="29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29"/>
      <c r="N891" s="29"/>
      <c r="O891" s="29"/>
      <c r="P891" s="32"/>
      <c r="Q891" s="32"/>
      <c r="R891" s="4"/>
      <c r="S891" s="4"/>
      <c r="T891" s="4"/>
      <c r="U891" s="4"/>
      <c r="V891" s="4"/>
      <c r="W891" s="4"/>
      <c r="X891" s="4"/>
      <c r="Y891" s="4"/>
      <c r="Z891" s="4"/>
    </row>
    <row x14ac:dyDescent="0.25" r="892" customHeight="1" ht="12.75">
      <c r="A892" s="4"/>
      <c r="B892" s="29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29"/>
      <c r="N892" s="29"/>
      <c r="O892" s="29"/>
      <c r="P892" s="32"/>
      <c r="Q892" s="32"/>
      <c r="R892" s="4"/>
      <c r="S892" s="4"/>
      <c r="T892" s="4"/>
      <c r="U892" s="4"/>
      <c r="V892" s="4"/>
      <c r="W892" s="4"/>
      <c r="X892" s="4"/>
      <c r="Y892" s="4"/>
      <c r="Z892" s="4"/>
    </row>
    <row x14ac:dyDescent="0.25" r="893" customHeight="1" ht="12.75">
      <c r="A893" s="4"/>
      <c r="B893" s="29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29"/>
      <c r="N893" s="29"/>
      <c r="O893" s="29"/>
      <c r="P893" s="32"/>
      <c r="Q893" s="32"/>
      <c r="R893" s="4"/>
      <c r="S893" s="4"/>
      <c r="T893" s="4"/>
      <c r="U893" s="4"/>
      <c r="V893" s="4"/>
      <c r="W893" s="4"/>
      <c r="X893" s="4"/>
      <c r="Y893" s="4"/>
      <c r="Z893" s="4"/>
    </row>
    <row x14ac:dyDescent="0.25" r="894" customHeight="1" ht="12.75">
      <c r="A894" s="4"/>
      <c r="B894" s="29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29"/>
      <c r="N894" s="29"/>
      <c r="O894" s="29"/>
      <c r="P894" s="32"/>
      <c r="Q894" s="32"/>
      <c r="R894" s="4"/>
      <c r="S894" s="4"/>
      <c r="T894" s="4"/>
      <c r="U894" s="4"/>
      <c r="V894" s="4"/>
      <c r="W894" s="4"/>
      <c r="X894" s="4"/>
      <c r="Y894" s="4"/>
      <c r="Z894" s="4"/>
    </row>
    <row x14ac:dyDescent="0.25" r="895" customHeight="1" ht="12.75">
      <c r="A895" s="4"/>
      <c r="B895" s="29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29"/>
      <c r="N895" s="29"/>
      <c r="O895" s="29"/>
      <c r="P895" s="32"/>
      <c r="Q895" s="32"/>
      <c r="R895" s="4"/>
      <c r="S895" s="4"/>
      <c r="T895" s="4"/>
      <c r="U895" s="4"/>
      <c r="V895" s="4"/>
      <c r="W895" s="4"/>
      <c r="X895" s="4"/>
      <c r="Y895" s="4"/>
      <c r="Z895" s="4"/>
    </row>
    <row x14ac:dyDescent="0.25" r="896" customHeight="1" ht="12.75">
      <c r="A896" s="4"/>
      <c r="B896" s="29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29"/>
      <c r="N896" s="29"/>
      <c r="O896" s="29"/>
      <c r="P896" s="32"/>
      <c r="Q896" s="32"/>
      <c r="R896" s="4"/>
      <c r="S896" s="4"/>
      <c r="T896" s="4"/>
      <c r="U896" s="4"/>
      <c r="V896" s="4"/>
      <c r="W896" s="4"/>
      <c r="X896" s="4"/>
      <c r="Y896" s="4"/>
      <c r="Z896" s="4"/>
    </row>
    <row x14ac:dyDescent="0.25" r="897" customHeight="1" ht="12.75">
      <c r="A897" s="4"/>
      <c r="B897" s="29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29"/>
      <c r="N897" s="29"/>
      <c r="O897" s="29"/>
      <c r="P897" s="32"/>
      <c r="Q897" s="32"/>
      <c r="R897" s="4"/>
      <c r="S897" s="4"/>
      <c r="T897" s="4"/>
      <c r="U897" s="4"/>
      <c r="V897" s="4"/>
      <c r="W897" s="4"/>
      <c r="X897" s="4"/>
      <c r="Y897" s="4"/>
      <c r="Z897" s="4"/>
    </row>
    <row x14ac:dyDescent="0.25" r="898" customHeight="1" ht="12.75">
      <c r="A898" s="4"/>
      <c r="B898" s="29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29"/>
      <c r="N898" s="29"/>
      <c r="O898" s="29"/>
      <c r="P898" s="32"/>
      <c r="Q898" s="32"/>
      <c r="R898" s="4"/>
      <c r="S898" s="4"/>
      <c r="T898" s="4"/>
      <c r="U898" s="4"/>
      <c r="V898" s="4"/>
      <c r="W898" s="4"/>
      <c r="X898" s="4"/>
      <c r="Y898" s="4"/>
      <c r="Z898" s="4"/>
    </row>
    <row x14ac:dyDescent="0.25" r="899" customHeight="1" ht="12.75">
      <c r="A899" s="4"/>
      <c r="B899" s="29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29"/>
      <c r="N899" s="29"/>
      <c r="O899" s="29"/>
      <c r="P899" s="32"/>
      <c r="Q899" s="32"/>
      <c r="R899" s="4"/>
      <c r="S899" s="4"/>
      <c r="T899" s="4"/>
      <c r="U899" s="4"/>
      <c r="V899" s="4"/>
      <c r="W899" s="4"/>
      <c r="X899" s="4"/>
      <c r="Y899" s="4"/>
      <c r="Z899" s="4"/>
    </row>
    <row x14ac:dyDescent="0.25" r="900" customHeight="1" ht="12.75">
      <c r="A900" s="4"/>
      <c r="B900" s="29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29"/>
      <c r="N900" s="29"/>
      <c r="O900" s="29"/>
      <c r="P900" s="32"/>
      <c r="Q900" s="32"/>
      <c r="R900" s="4"/>
      <c r="S900" s="4"/>
      <c r="T900" s="4"/>
      <c r="U900" s="4"/>
      <c r="V900" s="4"/>
      <c r="W900" s="4"/>
      <c r="X900" s="4"/>
      <c r="Y900" s="4"/>
      <c r="Z900" s="4"/>
    </row>
    <row x14ac:dyDescent="0.25" r="901" customHeight="1" ht="12.75">
      <c r="A901" s="4"/>
      <c r="B901" s="29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29"/>
      <c r="N901" s="29"/>
      <c r="O901" s="29"/>
      <c r="P901" s="32"/>
      <c r="Q901" s="32"/>
      <c r="R901" s="4"/>
      <c r="S901" s="4"/>
      <c r="T901" s="4"/>
      <c r="U901" s="4"/>
      <c r="V901" s="4"/>
      <c r="W901" s="4"/>
      <c r="X901" s="4"/>
      <c r="Y901" s="4"/>
      <c r="Z901" s="4"/>
    </row>
    <row x14ac:dyDescent="0.25" r="902" customHeight="1" ht="12.75">
      <c r="A902" s="4"/>
      <c r="B902" s="29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29"/>
      <c r="N902" s="29"/>
      <c r="O902" s="29"/>
      <c r="P902" s="32"/>
      <c r="Q902" s="32"/>
      <c r="R902" s="4"/>
      <c r="S902" s="4"/>
      <c r="T902" s="4"/>
      <c r="U902" s="4"/>
      <c r="V902" s="4"/>
      <c r="W902" s="4"/>
      <c r="X902" s="4"/>
      <c r="Y902" s="4"/>
      <c r="Z902" s="4"/>
    </row>
    <row x14ac:dyDescent="0.25" r="903" customHeight="1" ht="12.75">
      <c r="A903" s="4"/>
      <c r="B903" s="29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29"/>
      <c r="N903" s="29"/>
      <c r="O903" s="29"/>
      <c r="P903" s="32"/>
      <c r="Q903" s="32"/>
      <c r="R903" s="4"/>
      <c r="S903" s="4"/>
      <c r="T903" s="4"/>
      <c r="U903" s="4"/>
      <c r="V903" s="4"/>
      <c r="W903" s="4"/>
      <c r="X903" s="4"/>
      <c r="Y903" s="4"/>
      <c r="Z903" s="4"/>
    </row>
    <row x14ac:dyDescent="0.25" r="904" customHeight="1" ht="12.75">
      <c r="A904" s="4"/>
      <c r="B904" s="29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29"/>
      <c r="N904" s="29"/>
      <c r="O904" s="29"/>
      <c r="P904" s="32"/>
      <c r="Q904" s="32"/>
      <c r="R904" s="4"/>
      <c r="S904" s="4"/>
      <c r="T904" s="4"/>
      <c r="U904" s="4"/>
      <c r="V904" s="4"/>
      <c r="W904" s="4"/>
      <c r="X904" s="4"/>
      <c r="Y904" s="4"/>
      <c r="Z904" s="4"/>
    </row>
    <row x14ac:dyDescent="0.25" r="905" customHeight="1" ht="12.75">
      <c r="A905" s="4"/>
      <c r="B905" s="29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29"/>
      <c r="N905" s="29"/>
      <c r="O905" s="29"/>
      <c r="P905" s="32"/>
      <c r="Q905" s="32"/>
      <c r="R905" s="4"/>
      <c r="S905" s="4"/>
      <c r="T905" s="4"/>
      <c r="U905" s="4"/>
      <c r="V905" s="4"/>
      <c r="W905" s="4"/>
      <c r="X905" s="4"/>
      <c r="Y905" s="4"/>
      <c r="Z905" s="4"/>
    </row>
    <row x14ac:dyDescent="0.25" r="906" customHeight="1" ht="12.75">
      <c r="A906" s="4"/>
      <c r="B906" s="29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29"/>
      <c r="N906" s="29"/>
      <c r="O906" s="29"/>
      <c r="P906" s="32"/>
      <c r="Q906" s="32"/>
      <c r="R906" s="4"/>
      <c r="S906" s="4"/>
      <c r="T906" s="4"/>
      <c r="U906" s="4"/>
      <c r="V906" s="4"/>
      <c r="W906" s="4"/>
      <c r="X906" s="4"/>
      <c r="Y906" s="4"/>
      <c r="Z906" s="4"/>
    </row>
    <row x14ac:dyDescent="0.25" r="907" customHeight="1" ht="12.75">
      <c r="A907" s="4"/>
      <c r="B907" s="29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29"/>
      <c r="N907" s="29"/>
      <c r="O907" s="29"/>
      <c r="P907" s="32"/>
      <c r="Q907" s="32"/>
      <c r="R907" s="4"/>
      <c r="S907" s="4"/>
      <c r="T907" s="4"/>
      <c r="U907" s="4"/>
      <c r="V907" s="4"/>
      <c r="W907" s="4"/>
      <c r="X907" s="4"/>
      <c r="Y907" s="4"/>
      <c r="Z907" s="4"/>
    </row>
    <row x14ac:dyDescent="0.25" r="908" customHeight="1" ht="12.75">
      <c r="A908" s="4"/>
      <c r="B908" s="29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29"/>
      <c r="N908" s="29"/>
      <c r="O908" s="29"/>
      <c r="P908" s="32"/>
      <c r="Q908" s="32"/>
      <c r="R908" s="4"/>
      <c r="S908" s="4"/>
      <c r="T908" s="4"/>
      <c r="U908" s="4"/>
      <c r="V908" s="4"/>
      <c r="W908" s="4"/>
      <c r="X908" s="4"/>
      <c r="Y908" s="4"/>
      <c r="Z908" s="4"/>
    </row>
    <row x14ac:dyDescent="0.25" r="909" customHeight="1" ht="12.75">
      <c r="A909" s="4"/>
      <c r="B909" s="29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29"/>
      <c r="N909" s="29"/>
      <c r="O909" s="29"/>
      <c r="P909" s="32"/>
      <c r="Q909" s="32"/>
      <c r="R909" s="4"/>
      <c r="S909" s="4"/>
      <c r="T909" s="4"/>
      <c r="U909" s="4"/>
      <c r="V909" s="4"/>
      <c r="W909" s="4"/>
      <c r="X909" s="4"/>
      <c r="Y909" s="4"/>
      <c r="Z909" s="4"/>
    </row>
    <row x14ac:dyDescent="0.25" r="910" customHeight="1" ht="12.75">
      <c r="A910" s="4"/>
      <c r="B910" s="29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29"/>
      <c r="N910" s="29"/>
      <c r="O910" s="29"/>
      <c r="P910" s="32"/>
      <c r="Q910" s="32"/>
      <c r="R910" s="4"/>
      <c r="S910" s="4"/>
      <c r="T910" s="4"/>
      <c r="U910" s="4"/>
      <c r="V910" s="4"/>
      <c r="W910" s="4"/>
      <c r="X910" s="4"/>
      <c r="Y910" s="4"/>
      <c r="Z910" s="4"/>
    </row>
    <row x14ac:dyDescent="0.25" r="911" customHeight="1" ht="12.75">
      <c r="A911" s="4"/>
      <c r="B911" s="29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29"/>
      <c r="N911" s="29"/>
      <c r="O911" s="29"/>
      <c r="P911" s="32"/>
      <c r="Q911" s="32"/>
      <c r="R911" s="4"/>
      <c r="S911" s="4"/>
      <c r="T911" s="4"/>
      <c r="U911" s="4"/>
      <c r="V911" s="4"/>
      <c r="W911" s="4"/>
      <c r="X911" s="4"/>
      <c r="Y911" s="4"/>
      <c r="Z911" s="4"/>
    </row>
    <row x14ac:dyDescent="0.25" r="912" customHeight="1" ht="12.75">
      <c r="A912" s="4"/>
      <c r="B912" s="29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29"/>
      <c r="N912" s="29"/>
      <c r="O912" s="29"/>
      <c r="P912" s="32"/>
      <c r="Q912" s="32"/>
      <c r="R912" s="4"/>
      <c r="S912" s="4"/>
      <c r="T912" s="4"/>
      <c r="U912" s="4"/>
      <c r="V912" s="4"/>
      <c r="W912" s="4"/>
      <c r="X912" s="4"/>
      <c r="Y912" s="4"/>
      <c r="Z912" s="4"/>
    </row>
    <row x14ac:dyDescent="0.25" r="913" customHeight="1" ht="12.75">
      <c r="A913" s="4"/>
      <c r="B913" s="29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29"/>
      <c r="N913" s="29"/>
      <c r="O913" s="29"/>
      <c r="P913" s="32"/>
      <c r="Q913" s="32"/>
      <c r="R913" s="4"/>
      <c r="S913" s="4"/>
      <c r="T913" s="4"/>
      <c r="U913" s="4"/>
      <c r="V913" s="4"/>
      <c r="W913" s="4"/>
      <c r="X913" s="4"/>
      <c r="Y913" s="4"/>
      <c r="Z913" s="4"/>
    </row>
    <row x14ac:dyDescent="0.25" r="914" customHeight="1" ht="12.75">
      <c r="A914" s="4"/>
      <c r="B914" s="29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29"/>
      <c r="N914" s="29"/>
      <c r="O914" s="29"/>
      <c r="P914" s="32"/>
      <c r="Q914" s="32"/>
      <c r="R914" s="4"/>
      <c r="S914" s="4"/>
      <c r="T914" s="4"/>
      <c r="U914" s="4"/>
      <c r="V914" s="4"/>
      <c r="W914" s="4"/>
      <c r="X914" s="4"/>
      <c r="Y914" s="4"/>
      <c r="Z914" s="4"/>
    </row>
    <row x14ac:dyDescent="0.25" r="915" customHeight="1" ht="12.75">
      <c r="A915" s="4"/>
      <c r="B915" s="29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29"/>
      <c r="N915" s="29"/>
      <c r="O915" s="29"/>
      <c r="P915" s="32"/>
      <c r="Q915" s="32"/>
      <c r="R915" s="4"/>
      <c r="S915" s="4"/>
      <c r="T915" s="4"/>
      <c r="U915" s="4"/>
      <c r="V915" s="4"/>
      <c r="W915" s="4"/>
      <c r="X915" s="4"/>
      <c r="Y915" s="4"/>
      <c r="Z915" s="4"/>
    </row>
    <row x14ac:dyDescent="0.25" r="916" customHeight="1" ht="12.75">
      <c r="A916" s="4"/>
      <c r="B916" s="29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29"/>
      <c r="N916" s="29"/>
      <c r="O916" s="29"/>
      <c r="P916" s="32"/>
      <c r="Q916" s="32"/>
      <c r="R916" s="4"/>
      <c r="S916" s="4"/>
      <c r="T916" s="4"/>
      <c r="U916" s="4"/>
      <c r="V916" s="4"/>
      <c r="W916" s="4"/>
      <c r="X916" s="4"/>
      <c r="Y916" s="4"/>
      <c r="Z916" s="4"/>
    </row>
    <row x14ac:dyDescent="0.25" r="917" customHeight="1" ht="12.75">
      <c r="A917" s="4"/>
      <c r="B917" s="29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29"/>
      <c r="N917" s="29"/>
      <c r="O917" s="29"/>
      <c r="P917" s="32"/>
      <c r="Q917" s="32"/>
      <c r="R917" s="4"/>
      <c r="S917" s="4"/>
      <c r="T917" s="4"/>
      <c r="U917" s="4"/>
      <c r="V917" s="4"/>
      <c r="W917" s="4"/>
      <c r="X917" s="4"/>
      <c r="Y917" s="4"/>
      <c r="Z917" s="4"/>
    </row>
    <row x14ac:dyDescent="0.25" r="918" customHeight="1" ht="12.75">
      <c r="A918" s="4"/>
      <c r="B918" s="29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29"/>
      <c r="N918" s="29"/>
      <c r="O918" s="29"/>
      <c r="P918" s="32"/>
      <c r="Q918" s="32"/>
      <c r="R918" s="4"/>
      <c r="S918" s="4"/>
      <c r="T918" s="4"/>
      <c r="U918" s="4"/>
      <c r="V918" s="4"/>
      <c r="W918" s="4"/>
      <c r="X918" s="4"/>
      <c r="Y918" s="4"/>
      <c r="Z918" s="4"/>
    </row>
    <row x14ac:dyDescent="0.25" r="919" customHeight="1" ht="12.75">
      <c r="A919" s="4"/>
      <c r="B919" s="29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29"/>
      <c r="N919" s="29"/>
      <c r="O919" s="29"/>
      <c r="P919" s="32"/>
      <c r="Q919" s="32"/>
      <c r="R919" s="4"/>
      <c r="S919" s="4"/>
      <c r="T919" s="4"/>
      <c r="U919" s="4"/>
      <c r="V919" s="4"/>
      <c r="W919" s="4"/>
      <c r="X919" s="4"/>
      <c r="Y919" s="4"/>
      <c r="Z919" s="4"/>
    </row>
    <row x14ac:dyDescent="0.25" r="920" customHeight="1" ht="12.75">
      <c r="A920" s="4"/>
      <c r="B920" s="29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29"/>
      <c r="N920" s="29"/>
      <c r="O920" s="29"/>
      <c r="P920" s="32"/>
      <c r="Q920" s="32"/>
      <c r="R920" s="4"/>
      <c r="S920" s="4"/>
      <c r="T920" s="4"/>
      <c r="U920" s="4"/>
      <c r="V920" s="4"/>
      <c r="W920" s="4"/>
      <c r="X920" s="4"/>
      <c r="Y920" s="4"/>
      <c r="Z920" s="4"/>
    </row>
    <row x14ac:dyDescent="0.25" r="921" customHeight="1" ht="12.75">
      <c r="A921" s="4"/>
      <c r="B921" s="29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29"/>
      <c r="N921" s="29"/>
      <c r="O921" s="29"/>
      <c r="P921" s="32"/>
      <c r="Q921" s="32"/>
      <c r="R921" s="4"/>
      <c r="S921" s="4"/>
      <c r="T921" s="4"/>
      <c r="U921" s="4"/>
      <c r="V921" s="4"/>
      <c r="W921" s="4"/>
      <c r="X921" s="4"/>
      <c r="Y921" s="4"/>
      <c r="Z921" s="4"/>
    </row>
    <row x14ac:dyDescent="0.25" r="922" customHeight="1" ht="12.75">
      <c r="A922" s="4"/>
      <c r="B922" s="29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29"/>
      <c r="N922" s="29"/>
      <c r="O922" s="29"/>
      <c r="P922" s="32"/>
      <c r="Q922" s="32"/>
      <c r="R922" s="4"/>
      <c r="S922" s="4"/>
      <c r="T922" s="4"/>
      <c r="U922" s="4"/>
      <c r="V922" s="4"/>
      <c r="W922" s="4"/>
      <c r="X922" s="4"/>
      <c r="Y922" s="4"/>
      <c r="Z922" s="4"/>
    </row>
    <row x14ac:dyDescent="0.25" r="923" customHeight="1" ht="12.75">
      <c r="A923" s="4"/>
      <c r="B923" s="29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29"/>
      <c r="N923" s="29"/>
      <c r="O923" s="29"/>
      <c r="P923" s="32"/>
      <c r="Q923" s="32"/>
      <c r="R923" s="4"/>
      <c r="S923" s="4"/>
      <c r="T923" s="4"/>
      <c r="U923" s="4"/>
      <c r="V923" s="4"/>
      <c r="W923" s="4"/>
      <c r="X923" s="4"/>
      <c r="Y923" s="4"/>
      <c r="Z923" s="4"/>
    </row>
    <row x14ac:dyDescent="0.25" r="924" customHeight="1" ht="12.75">
      <c r="A924" s="4"/>
      <c r="B924" s="29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29"/>
      <c r="N924" s="29"/>
      <c r="O924" s="29"/>
      <c r="P924" s="32"/>
      <c r="Q924" s="32"/>
      <c r="R924" s="4"/>
      <c r="S924" s="4"/>
      <c r="T924" s="4"/>
      <c r="U924" s="4"/>
      <c r="V924" s="4"/>
      <c r="W924" s="4"/>
      <c r="X924" s="4"/>
      <c r="Y924" s="4"/>
      <c r="Z924" s="4"/>
    </row>
    <row x14ac:dyDescent="0.25" r="925" customHeight="1" ht="12.75">
      <c r="A925" s="4"/>
      <c r="B925" s="29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29"/>
      <c r="N925" s="29"/>
      <c r="O925" s="29"/>
      <c r="P925" s="32"/>
      <c r="Q925" s="32"/>
      <c r="R925" s="4"/>
      <c r="S925" s="4"/>
      <c r="T925" s="4"/>
      <c r="U925" s="4"/>
      <c r="V925" s="4"/>
      <c r="W925" s="4"/>
      <c r="X925" s="4"/>
      <c r="Y925" s="4"/>
      <c r="Z925" s="4"/>
    </row>
    <row x14ac:dyDescent="0.25" r="926" customHeight="1" ht="12.75">
      <c r="A926" s="4"/>
      <c r="B926" s="29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29"/>
      <c r="N926" s="29"/>
      <c r="O926" s="29"/>
      <c r="P926" s="32"/>
      <c r="Q926" s="32"/>
      <c r="R926" s="4"/>
      <c r="S926" s="4"/>
      <c r="T926" s="4"/>
      <c r="U926" s="4"/>
      <c r="V926" s="4"/>
      <c r="W926" s="4"/>
      <c r="X926" s="4"/>
      <c r="Y926" s="4"/>
      <c r="Z926" s="4"/>
    </row>
    <row x14ac:dyDescent="0.25" r="927" customHeight="1" ht="12.75">
      <c r="A927" s="4"/>
      <c r="B927" s="29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29"/>
      <c r="N927" s="29"/>
      <c r="O927" s="29"/>
      <c r="P927" s="32"/>
      <c r="Q927" s="32"/>
      <c r="R927" s="4"/>
      <c r="S927" s="4"/>
      <c r="T927" s="4"/>
      <c r="U927" s="4"/>
      <c r="V927" s="4"/>
      <c r="W927" s="4"/>
      <c r="X927" s="4"/>
      <c r="Y927" s="4"/>
      <c r="Z927" s="4"/>
    </row>
    <row x14ac:dyDescent="0.25" r="928" customHeight="1" ht="12.75">
      <c r="A928" s="4"/>
      <c r="B928" s="29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29"/>
      <c r="N928" s="29"/>
      <c r="O928" s="29"/>
      <c r="P928" s="32"/>
      <c r="Q928" s="32"/>
      <c r="R928" s="4"/>
      <c r="S928" s="4"/>
      <c r="T928" s="4"/>
      <c r="U928" s="4"/>
      <c r="V928" s="4"/>
      <c r="W928" s="4"/>
      <c r="X928" s="4"/>
      <c r="Y928" s="4"/>
      <c r="Z928" s="4"/>
    </row>
    <row x14ac:dyDescent="0.25" r="929" customHeight="1" ht="12.75">
      <c r="A929" s="4"/>
      <c r="B929" s="29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29"/>
      <c r="N929" s="29"/>
      <c r="O929" s="29"/>
      <c r="P929" s="32"/>
      <c r="Q929" s="32"/>
      <c r="R929" s="4"/>
      <c r="S929" s="4"/>
      <c r="T929" s="4"/>
      <c r="U929" s="4"/>
      <c r="V929" s="4"/>
      <c r="W929" s="4"/>
      <c r="X929" s="4"/>
      <c r="Y929" s="4"/>
      <c r="Z929" s="4"/>
    </row>
    <row x14ac:dyDescent="0.25" r="930" customHeight="1" ht="12.75">
      <c r="A930" s="4"/>
      <c r="B930" s="29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29"/>
      <c r="N930" s="29"/>
      <c r="O930" s="29"/>
      <c r="P930" s="32"/>
      <c r="Q930" s="32"/>
      <c r="R930" s="4"/>
      <c r="S930" s="4"/>
      <c r="T930" s="4"/>
      <c r="U930" s="4"/>
      <c r="V930" s="4"/>
      <c r="W930" s="4"/>
      <c r="X930" s="4"/>
      <c r="Y930" s="4"/>
      <c r="Z930" s="4"/>
    </row>
    <row x14ac:dyDescent="0.25" r="931" customHeight="1" ht="12.75">
      <c r="A931" s="4"/>
      <c r="B931" s="29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29"/>
      <c r="N931" s="29"/>
      <c r="O931" s="29"/>
      <c r="P931" s="32"/>
      <c r="Q931" s="32"/>
      <c r="R931" s="4"/>
      <c r="S931" s="4"/>
      <c r="T931" s="4"/>
      <c r="U931" s="4"/>
      <c r="V931" s="4"/>
      <c r="W931" s="4"/>
      <c r="X931" s="4"/>
      <c r="Y931" s="4"/>
      <c r="Z931" s="4"/>
    </row>
    <row x14ac:dyDescent="0.25" r="932" customHeight="1" ht="12.75">
      <c r="A932" s="4"/>
      <c r="B932" s="29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29"/>
      <c r="N932" s="29"/>
      <c r="O932" s="29"/>
      <c r="P932" s="32"/>
      <c r="Q932" s="32"/>
      <c r="R932" s="4"/>
      <c r="S932" s="4"/>
      <c r="T932" s="4"/>
      <c r="U932" s="4"/>
      <c r="V932" s="4"/>
      <c r="W932" s="4"/>
      <c r="X932" s="4"/>
      <c r="Y932" s="4"/>
      <c r="Z932" s="4"/>
    </row>
    <row x14ac:dyDescent="0.25" r="933" customHeight="1" ht="12.75">
      <c r="A933" s="4"/>
      <c r="B933" s="29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29"/>
      <c r="N933" s="29"/>
      <c r="O933" s="29"/>
      <c r="P933" s="32"/>
      <c r="Q933" s="32"/>
      <c r="R933" s="4"/>
      <c r="S933" s="4"/>
      <c r="T933" s="4"/>
      <c r="U933" s="4"/>
      <c r="V933" s="4"/>
      <c r="W933" s="4"/>
      <c r="X933" s="4"/>
      <c r="Y933" s="4"/>
      <c r="Z933" s="4"/>
    </row>
    <row x14ac:dyDescent="0.25" r="934" customHeight="1" ht="12.75">
      <c r="A934" s="4"/>
      <c r="B934" s="29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29"/>
      <c r="N934" s="29"/>
      <c r="O934" s="29"/>
      <c r="P934" s="32"/>
      <c r="Q934" s="32"/>
      <c r="R934" s="4"/>
      <c r="S934" s="4"/>
      <c r="T934" s="4"/>
      <c r="U934" s="4"/>
      <c r="V934" s="4"/>
      <c r="W934" s="4"/>
      <c r="X934" s="4"/>
      <c r="Y934" s="4"/>
      <c r="Z934" s="4"/>
    </row>
    <row x14ac:dyDescent="0.25" r="935" customHeight="1" ht="12.75">
      <c r="A935" s="4"/>
      <c r="B935" s="29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29"/>
      <c r="N935" s="29"/>
      <c r="O935" s="29"/>
      <c r="P935" s="32"/>
      <c r="Q935" s="32"/>
      <c r="R935" s="4"/>
      <c r="S935" s="4"/>
      <c r="T935" s="4"/>
      <c r="U935" s="4"/>
      <c r="V935" s="4"/>
      <c r="W935" s="4"/>
      <c r="X935" s="4"/>
      <c r="Y935" s="4"/>
      <c r="Z935" s="4"/>
    </row>
    <row x14ac:dyDescent="0.25" r="936" customHeight="1" ht="12.75">
      <c r="A936" s="4"/>
      <c r="B936" s="29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29"/>
      <c r="N936" s="29"/>
      <c r="O936" s="29"/>
      <c r="P936" s="32"/>
      <c r="Q936" s="32"/>
      <c r="R936" s="4"/>
      <c r="S936" s="4"/>
      <c r="T936" s="4"/>
      <c r="U936" s="4"/>
      <c r="V936" s="4"/>
      <c r="W936" s="4"/>
      <c r="X936" s="4"/>
      <c r="Y936" s="4"/>
      <c r="Z936" s="4"/>
    </row>
    <row x14ac:dyDescent="0.25" r="937" customHeight="1" ht="12.75">
      <c r="A937" s="4"/>
      <c r="B937" s="29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29"/>
      <c r="N937" s="29"/>
      <c r="O937" s="29"/>
      <c r="P937" s="32"/>
      <c r="Q937" s="32"/>
      <c r="R937" s="4"/>
      <c r="S937" s="4"/>
      <c r="T937" s="4"/>
      <c r="U937" s="4"/>
      <c r="V937" s="4"/>
      <c r="W937" s="4"/>
      <c r="X937" s="4"/>
      <c r="Y937" s="4"/>
      <c r="Z937" s="4"/>
    </row>
    <row x14ac:dyDescent="0.25" r="938" customHeight="1" ht="12.75">
      <c r="A938" s="4"/>
      <c r="B938" s="29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29"/>
      <c r="N938" s="29"/>
      <c r="O938" s="29"/>
      <c r="P938" s="32"/>
      <c r="Q938" s="32"/>
      <c r="R938" s="4"/>
      <c r="S938" s="4"/>
      <c r="T938" s="4"/>
      <c r="U938" s="4"/>
      <c r="V938" s="4"/>
      <c r="W938" s="4"/>
      <c r="X938" s="4"/>
      <c r="Y938" s="4"/>
      <c r="Z938" s="4"/>
    </row>
    <row x14ac:dyDescent="0.25" r="939" customHeight="1" ht="12.75">
      <c r="A939" s="4"/>
      <c r="B939" s="29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29"/>
      <c r="N939" s="29"/>
      <c r="O939" s="29"/>
      <c r="P939" s="32"/>
      <c r="Q939" s="32"/>
      <c r="R939" s="4"/>
      <c r="S939" s="4"/>
      <c r="T939" s="4"/>
      <c r="U939" s="4"/>
      <c r="V939" s="4"/>
      <c r="W939" s="4"/>
      <c r="X939" s="4"/>
      <c r="Y939" s="4"/>
      <c r="Z939" s="4"/>
    </row>
    <row x14ac:dyDescent="0.25" r="940" customHeight="1" ht="12.75">
      <c r="A940" s="4"/>
      <c r="B940" s="29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29"/>
      <c r="N940" s="29"/>
      <c r="O940" s="29"/>
      <c r="P940" s="32"/>
      <c r="Q940" s="32"/>
      <c r="R940" s="4"/>
      <c r="S940" s="4"/>
      <c r="T940" s="4"/>
      <c r="U940" s="4"/>
      <c r="V940" s="4"/>
      <c r="W940" s="4"/>
      <c r="X940" s="4"/>
      <c r="Y940" s="4"/>
      <c r="Z940" s="4"/>
    </row>
    <row x14ac:dyDescent="0.25" r="941" customHeight="1" ht="12.75">
      <c r="A941" s="4"/>
      <c r="B941" s="29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29"/>
      <c r="N941" s="29"/>
      <c r="O941" s="29"/>
      <c r="P941" s="32"/>
      <c r="Q941" s="32"/>
      <c r="R941" s="4"/>
      <c r="S941" s="4"/>
      <c r="T941" s="4"/>
      <c r="U941" s="4"/>
      <c r="V941" s="4"/>
      <c r="W941" s="4"/>
      <c r="X941" s="4"/>
      <c r="Y941" s="4"/>
      <c r="Z941" s="4"/>
    </row>
    <row x14ac:dyDescent="0.25" r="942" customHeight="1" ht="12.75">
      <c r="A942" s="4"/>
      <c r="B942" s="29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29"/>
      <c r="N942" s="29"/>
      <c r="O942" s="29"/>
      <c r="P942" s="32"/>
      <c r="Q942" s="32"/>
      <c r="R942" s="4"/>
      <c r="S942" s="4"/>
      <c r="T942" s="4"/>
      <c r="U942" s="4"/>
      <c r="V942" s="4"/>
      <c r="W942" s="4"/>
      <c r="X942" s="4"/>
      <c r="Y942" s="4"/>
      <c r="Z942" s="4"/>
    </row>
    <row x14ac:dyDescent="0.25" r="943" customHeight="1" ht="12.75">
      <c r="A943" s="4"/>
      <c r="B943" s="29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29"/>
      <c r="N943" s="29"/>
      <c r="O943" s="29"/>
      <c r="P943" s="32"/>
      <c r="Q943" s="32"/>
      <c r="R943" s="4"/>
      <c r="S943" s="4"/>
      <c r="T943" s="4"/>
      <c r="U943" s="4"/>
      <c r="V943" s="4"/>
      <c r="W943" s="4"/>
      <c r="X943" s="4"/>
      <c r="Y943" s="4"/>
      <c r="Z943" s="4"/>
    </row>
    <row x14ac:dyDescent="0.25" r="944" customHeight="1" ht="12.75">
      <c r="A944" s="4"/>
      <c r="B944" s="29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29"/>
      <c r="N944" s="29"/>
      <c r="O944" s="29"/>
      <c r="P944" s="32"/>
      <c r="Q944" s="32"/>
      <c r="R944" s="4"/>
      <c r="S944" s="4"/>
      <c r="T944" s="4"/>
      <c r="U944" s="4"/>
      <c r="V944" s="4"/>
      <c r="W944" s="4"/>
      <c r="X944" s="4"/>
      <c r="Y944" s="4"/>
      <c r="Z944" s="4"/>
    </row>
    <row x14ac:dyDescent="0.25" r="945" customHeight="1" ht="12.75">
      <c r="A945" s="4"/>
      <c r="B945" s="29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29"/>
      <c r="N945" s="29"/>
      <c r="O945" s="29"/>
      <c r="P945" s="32"/>
      <c r="Q945" s="32"/>
      <c r="R945" s="4"/>
      <c r="S945" s="4"/>
      <c r="T945" s="4"/>
      <c r="U945" s="4"/>
      <c r="V945" s="4"/>
      <c r="W945" s="4"/>
      <c r="X945" s="4"/>
      <c r="Y945" s="4"/>
      <c r="Z945" s="4"/>
    </row>
    <row x14ac:dyDescent="0.25" r="946" customHeight="1" ht="12.75">
      <c r="A946" s="4"/>
      <c r="B946" s="29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29"/>
      <c r="N946" s="29"/>
      <c r="O946" s="29"/>
      <c r="P946" s="32"/>
      <c r="Q946" s="32"/>
      <c r="R946" s="4"/>
      <c r="S946" s="4"/>
      <c r="T946" s="4"/>
      <c r="U946" s="4"/>
      <c r="V946" s="4"/>
      <c r="W946" s="4"/>
      <c r="X946" s="4"/>
      <c r="Y946" s="4"/>
      <c r="Z946" s="4"/>
    </row>
    <row x14ac:dyDescent="0.25" r="947" customHeight="1" ht="12.75">
      <c r="A947" s="4"/>
      <c r="B947" s="29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29"/>
      <c r="N947" s="29"/>
      <c r="O947" s="29"/>
      <c r="P947" s="32"/>
      <c r="Q947" s="32"/>
      <c r="R947" s="4"/>
      <c r="S947" s="4"/>
      <c r="T947" s="4"/>
      <c r="U947" s="4"/>
      <c r="V947" s="4"/>
      <c r="W947" s="4"/>
      <c r="X947" s="4"/>
      <c r="Y947" s="4"/>
      <c r="Z947" s="4"/>
    </row>
    <row x14ac:dyDescent="0.25" r="948" customHeight="1" ht="12.75">
      <c r="A948" s="4"/>
      <c r="B948" s="29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29"/>
      <c r="N948" s="29"/>
      <c r="O948" s="29"/>
      <c r="P948" s="32"/>
      <c r="Q948" s="32"/>
      <c r="R948" s="4"/>
      <c r="S948" s="4"/>
      <c r="T948" s="4"/>
      <c r="U948" s="4"/>
      <c r="V948" s="4"/>
      <c r="W948" s="4"/>
      <c r="X948" s="4"/>
      <c r="Y948" s="4"/>
      <c r="Z948" s="4"/>
    </row>
    <row x14ac:dyDescent="0.25" r="949" customHeight="1" ht="12.75">
      <c r="A949" s="4"/>
      <c r="B949" s="29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29"/>
      <c r="N949" s="29"/>
      <c r="O949" s="29"/>
      <c r="P949" s="32"/>
      <c r="Q949" s="32"/>
      <c r="R949" s="4"/>
      <c r="S949" s="4"/>
      <c r="T949" s="4"/>
      <c r="U949" s="4"/>
      <c r="V949" s="4"/>
      <c r="W949" s="4"/>
      <c r="X949" s="4"/>
      <c r="Y949" s="4"/>
      <c r="Z949" s="4"/>
    </row>
    <row x14ac:dyDescent="0.25" r="950" customHeight="1" ht="12.75">
      <c r="A950" s="4"/>
      <c r="B950" s="29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29"/>
      <c r="N950" s="29"/>
      <c r="O950" s="29"/>
      <c r="P950" s="32"/>
      <c r="Q950" s="32"/>
      <c r="R950" s="4"/>
      <c r="S950" s="4"/>
      <c r="T950" s="4"/>
      <c r="U950" s="4"/>
      <c r="V950" s="4"/>
      <c r="W950" s="4"/>
      <c r="X950" s="4"/>
      <c r="Y950" s="4"/>
      <c r="Z950" s="4"/>
    </row>
    <row x14ac:dyDescent="0.25" r="951" customHeight="1" ht="12.75">
      <c r="A951" s="4"/>
      <c r="B951" s="29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29"/>
      <c r="N951" s="29"/>
      <c r="O951" s="29"/>
      <c r="P951" s="32"/>
      <c r="Q951" s="32"/>
      <c r="R951" s="4"/>
      <c r="S951" s="4"/>
      <c r="T951" s="4"/>
      <c r="U951" s="4"/>
      <c r="V951" s="4"/>
      <c r="W951" s="4"/>
      <c r="X951" s="4"/>
      <c r="Y951" s="4"/>
      <c r="Z951" s="4"/>
    </row>
    <row x14ac:dyDescent="0.25" r="952" customHeight="1" ht="12.75">
      <c r="A952" s="4"/>
      <c r="B952" s="29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29"/>
      <c r="N952" s="29"/>
      <c r="O952" s="29"/>
      <c r="P952" s="32"/>
      <c r="Q952" s="32"/>
      <c r="R952" s="4"/>
      <c r="S952" s="4"/>
      <c r="T952" s="4"/>
      <c r="U952" s="4"/>
      <c r="V952" s="4"/>
      <c r="W952" s="4"/>
      <c r="X952" s="4"/>
      <c r="Y952" s="4"/>
      <c r="Z952" s="4"/>
    </row>
    <row x14ac:dyDescent="0.25" r="953" customHeight="1" ht="12.75">
      <c r="A953" s="4"/>
      <c r="B953" s="29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29"/>
      <c r="N953" s="29"/>
      <c r="O953" s="29"/>
      <c r="P953" s="32"/>
      <c r="Q953" s="32"/>
      <c r="R953" s="4"/>
      <c r="S953" s="4"/>
      <c r="T953" s="4"/>
      <c r="U953" s="4"/>
      <c r="V953" s="4"/>
      <c r="W953" s="4"/>
      <c r="X953" s="4"/>
      <c r="Y953" s="4"/>
      <c r="Z953" s="4"/>
    </row>
    <row x14ac:dyDescent="0.25" r="954" customHeight="1" ht="12.75">
      <c r="A954" s="4"/>
      <c r="B954" s="29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29"/>
      <c r="N954" s="29"/>
      <c r="O954" s="29"/>
      <c r="P954" s="32"/>
      <c r="Q954" s="32"/>
      <c r="R954" s="4"/>
      <c r="S954" s="4"/>
      <c r="T954" s="4"/>
      <c r="U954" s="4"/>
      <c r="V954" s="4"/>
      <c r="W954" s="4"/>
      <c r="X954" s="4"/>
      <c r="Y954" s="4"/>
      <c r="Z954" s="4"/>
    </row>
    <row x14ac:dyDescent="0.25" r="955" customHeight="1" ht="12.75">
      <c r="A955" s="4"/>
      <c r="B955" s="29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29"/>
      <c r="N955" s="29"/>
      <c r="O955" s="29"/>
      <c r="P955" s="32"/>
      <c r="Q955" s="32"/>
      <c r="R955" s="4"/>
      <c r="S955" s="4"/>
      <c r="T955" s="4"/>
      <c r="U955" s="4"/>
      <c r="V955" s="4"/>
      <c r="W955" s="4"/>
      <c r="X955" s="4"/>
      <c r="Y955" s="4"/>
      <c r="Z955" s="4"/>
    </row>
    <row x14ac:dyDescent="0.25" r="956" customHeight="1" ht="12.75">
      <c r="A956" s="4"/>
      <c r="B956" s="29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29"/>
      <c r="N956" s="29"/>
      <c r="O956" s="29"/>
      <c r="P956" s="32"/>
      <c r="Q956" s="32"/>
      <c r="R956" s="4"/>
      <c r="S956" s="4"/>
      <c r="T956" s="4"/>
      <c r="U956" s="4"/>
      <c r="V956" s="4"/>
      <c r="W956" s="4"/>
      <c r="X956" s="4"/>
      <c r="Y956" s="4"/>
      <c r="Z956" s="4"/>
    </row>
    <row x14ac:dyDescent="0.25" r="957" customHeight="1" ht="12.75">
      <c r="A957" s="4"/>
      <c r="B957" s="29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29"/>
      <c r="N957" s="29"/>
      <c r="O957" s="29"/>
      <c r="P957" s="32"/>
      <c r="Q957" s="32"/>
      <c r="R957" s="4"/>
      <c r="S957" s="4"/>
      <c r="T957" s="4"/>
      <c r="U957" s="4"/>
      <c r="V957" s="4"/>
      <c r="W957" s="4"/>
      <c r="X957" s="4"/>
      <c r="Y957" s="4"/>
      <c r="Z957" s="4"/>
    </row>
    <row x14ac:dyDescent="0.25" r="958" customHeight="1" ht="12.75">
      <c r="A958" s="4"/>
      <c r="B958" s="29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29"/>
      <c r="N958" s="29"/>
      <c r="O958" s="29"/>
      <c r="P958" s="32"/>
      <c r="Q958" s="32"/>
      <c r="R958" s="4"/>
      <c r="S958" s="4"/>
      <c r="T958" s="4"/>
      <c r="U958" s="4"/>
      <c r="V958" s="4"/>
      <c r="W958" s="4"/>
      <c r="X958" s="4"/>
      <c r="Y958" s="4"/>
      <c r="Z958" s="4"/>
    </row>
    <row x14ac:dyDescent="0.25" r="959" customHeight="1" ht="12.75">
      <c r="A959" s="4"/>
      <c r="B959" s="29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29"/>
      <c r="N959" s="29"/>
      <c r="O959" s="29"/>
      <c r="P959" s="32"/>
      <c r="Q959" s="32"/>
      <c r="R959" s="4"/>
      <c r="S959" s="4"/>
      <c r="T959" s="4"/>
      <c r="U959" s="4"/>
      <c r="V959" s="4"/>
      <c r="W959" s="4"/>
      <c r="X959" s="4"/>
      <c r="Y959" s="4"/>
      <c r="Z959" s="4"/>
    </row>
    <row x14ac:dyDescent="0.25" r="960" customHeight="1" ht="12.75">
      <c r="A960" s="4"/>
      <c r="B960" s="29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29"/>
      <c r="N960" s="29"/>
      <c r="O960" s="29"/>
      <c r="P960" s="32"/>
      <c r="Q960" s="32"/>
      <c r="R960" s="4"/>
      <c r="S960" s="4"/>
      <c r="T960" s="4"/>
      <c r="U960" s="4"/>
      <c r="V960" s="4"/>
      <c r="W960" s="4"/>
      <c r="X960" s="4"/>
      <c r="Y960" s="4"/>
      <c r="Z960" s="4"/>
    </row>
    <row x14ac:dyDescent="0.25" r="961" customHeight="1" ht="12.75">
      <c r="A961" s="4"/>
      <c r="B961" s="29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29"/>
      <c r="N961" s="29"/>
      <c r="O961" s="29"/>
      <c r="P961" s="32"/>
      <c r="Q961" s="32"/>
      <c r="R961" s="4"/>
      <c r="S961" s="4"/>
      <c r="T961" s="4"/>
      <c r="U961" s="4"/>
      <c r="V961" s="4"/>
      <c r="W961" s="4"/>
      <c r="X961" s="4"/>
      <c r="Y961" s="4"/>
      <c r="Z961" s="4"/>
    </row>
    <row x14ac:dyDescent="0.25" r="962" customHeight="1" ht="12.75">
      <c r="A962" s="4"/>
      <c r="B962" s="29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29"/>
      <c r="N962" s="29"/>
      <c r="O962" s="29"/>
      <c r="P962" s="32"/>
      <c r="Q962" s="32"/>
      <c r="R962" s="4"/>
      <c r="S962" s="4"/>
      <c r="T962" s="4"/>
      <c r="U962" s="4"/>
      <c r="V962" s="4"/>
      <c r="W962" s="4"/>
      <c r="X962" s="4"/>
      <c r="Y962" s="4"/>
      <c r="Z962" s="4"/>
    </row>
    <row x14ac:dyDescent="0.25" r="963" customHeight="1" ht="12.75">
      <c r="A963" s="4"/>
      <c r="B963" s="29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29"/>
      <c r="N963" s="29"/>
      <c r="O963" s="29"/>
      <c r="P963" s="32"/>
      <c r="Q963" s="32"/>
      <c r="R963" s="4"/>
      <c r="S963" s="4"/>
      <c r="T963" s="4"/>
      <c r="U963" s="4"/>
      <c r="V963" s="4"/>
      <c r="W963" s="4"/>
      <c r="X963" s="4"/>
      <c r="Y963" s="4"/>
      <c r="Z963" s="4"/>
    </row>
    <row x14ac:dyDescent="0.25" r="964" customHeight="1" ht="12.75">
      <c r="A964" s="4"/>
      <c r="B964" s="29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29"/>
      <c r="N964" s="29"/>
      <c r="O964" s="29"/>
      <c r="P964" s="32"/>
      <c r="Q964" s="32"/>
      <c r="R964" s="4"/>
      <c r="S964" s="4"/>
      <c r="T964" s="4"/>
      <c r="U964" s="4"/>
      <c r="V964" s="4"/>
      <c r="W964" s="4"/>
      <c r="X964" s="4"/>
      <c r="Y964" s="4"/>
      <c r="Z964" s="4"/>
    </row>
    <row x14ac:dyDescent="0.25" r="965" customHeight="1" ht="12.75">
      <c r="A965" s="4"/>
      <c r="B965" s="29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29"/>
      <c r="N965" s="29"/>
      <c r="O965" s="29"/>
      <c r="P965" s="32"/>
      <c r="Q965" s="32"/>
      <c r="R965" s="4"/>
      <c r="S965" s="4"/>
      <c r="T965" s="4"/>
      <c r="U965" s="4"/>
      <c r="V965" s="4"/>
      <c r="W965" s="4"/>
      <c r="X965" s="4"/>
      <c r="Y965" s="4"/>
      <c r="Z965" s="4"/>
    </row>
    <row x14ac:dyDescent="0.25" r="966" customHeight="1" ht="12.75">
      <c r="A966" s="4"/>
      <c r="B966" s="29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29"/>
      <c r="N966" s="29"/>
      <c r="O966" s="29"/>
      <c r="P966" s="32"/>
      <c r="Q966" s="32"/>
      <c r="R966" s="4"/>
      <c r="S966" s="4"/>
      <c r="T966" s="4"/>
      <c r="U966" s="4"/>
      <c r="V966" s="4"/>
      <c r="W966" s="4"/>
      <c r="X966" s="4"/>
      <c r="Y966" s="4"/>
      <c r="Z966" s="4"/>
    </row>
    <row x14ac:dyDescent="0.25" r="967" customHeight="1" ht="12.75">
      <c r="A967" s="4"/>
      <c r="B967" s="29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29"/>
      <c r="N967" s="29"/>
      <c r="O967" s="29"/>
      <c r="P967" s="32"/>
      <c r="Q967" s="32"/>
      <c r="R967" s="4"/>
      <c r="S967" s="4"/>
      <c r="T967" s="4"/>
      <c r="U967" s="4"/>
      <c r="V967" s="4"/>
      <c r="W967" s="4"/>
      <c r="X967" s="4"/>
      <c r="Y967" s="4"/>
      <c r="Z967" s="4"/>
    </row>
    <row x14ac:dyDescent="0.25" r="968" customHeight="1" ht="12.75">
      <c r="A968" s="4"/>
      <c r="B968" s="29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29"/>
      <c r="N968" s="29"/>
      <c r="O968" s="29"/>
      <c r="P968" s="32"/>
      <c r="Q968" s="32"/>
      <c r="R968" s="4"/>
      <c r="S968" s="4"/>
      <c r="T968" s="4"/>
      <c r="U968" s="4"/>
      <c r="V968" s="4"/>
      <c r="W968" s="4"/>
      <c r="X968" s="4"/>
      <c r="Y968" s="4"/>
      <c r="Z968" s="4"/>
    </row>
    <row x14ac:dyDescent="0.25" r="969" customHeight="1" ht="12.75">
      <c r="A969" s="4"/>
      <c r="B969" s="29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29"/>
      <c r="N969" s="29"/>
      <c r="O969" s="29"/>
      <c r="P969" s="32"/>
      <c r="Q969" s="32"/>
      <c r="R969" s="4"/>
      <c r="S969" s="4"/>
      <c r="T969" s="4"/>
      <c r="U969" s="4"/>
      <c r="V969" s="4"/>
      <c r="W969" s="4"/>
      <c r="X969" s="4"/>
      <c r="Y969" s="4"/>
      <c r="Z969" s="4"/>
    </row>
    <row x14ac:dyDescent="0.25" r="970" customHeight="1" ht="12.75">
      <c r="A970" s="4"/>
      <c r="B970" s="29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29"/>
      <c r="N970" s="29"/>
      <c r="O970" s="29"/>
      <c r="P970" s="32"/>
      <c r="Q970" s="32"/>
      <c r="R970" s="4"/>
      <c r="S970" s="4"/>
      <c r="T970" s="4"/>
      <c r="U970" s="4"/>
      <c r="V970" s="4"/>
      <c r="W970" s="4"/>
      <c r="X970" s="4"/>
      <c r="Y970" s="4"/>
      <c r="Z970" s="4"/>
    </row>
    <row x14ac:dyDescent="0.25" r="971" customHeight="1" ht="12.75">
      <c r="A971" s="4"/>
      <c r="B971" s="29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29"/>
      <c r="N971" s="29"/>
      <c r="O971" s="29"/>
      <c r="P971" s="32"/>
      <c r="Q971" s="32"/>
      <c r="R971" s="4"/>
      <c r="S971" s="4"/>
      <c r="T971" s="4"/>
      <c r="U971" s="4"/>
      <c r="V971" s="4"/>
      <c r="W971" s="4"/>
      <c r="X971" s="4"/>
      <c r="Y971" s="4"/>
      <c r="Z971" s="4"/>
    </row>
    <row x14ac:dyDescent="0.25" r="972" customHeight="1" ht="12.75">
      <c r="A972" s="4"/>
      <c r="B972" s="29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29"/>
      <c r="N972" s="29"/>
      <c r="O972" s="29"/>
      <c r="P972" s="32"/>
      <c r="Q972" s="32"/>
      <c r="R972" s="4"/>
      <c r="S972" s="4"/>
      <c r="T972" s="4"/>
      <c r="U972" s="4"/>
      <c r="V972" s="4"/>
      <c r="W972" s="4"/>
      <c r="X972" s="4"/>
      <c r="Y972" s="4"/>
      <c r="Z972" s="4"/>
    </row>
    <row x14ac:dyDescent="0.25" r="973" customHeight="1" ht="12.75">
      <c r="A973" s="4"/>
      <c r="B973" s="29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29"/>
      <c r="N973" s="29"/>
      <c r="O973" s="29"/>
      <c r="P973" s="32"/>
      <c r="Q973" s="32"/>
      <c r="R973" s="4"/>
      <c r="S973" s="4"/>
      <c r="T973" s="4"/>
      <c r="U973" s="4"/>
      <c r="V973" s="4"/>
      <c r="W973" s="4"/>
      <c r="X973" s="4"/>
      <c r="Y973" s="4"/>
      <c r="Z973" s="4"/>
    </row>
    <row x14ac:dyDescent="0.25" r="974" customHeight="1" ht="12.75">
      <c r="A974" s="4"/>
      <c r="B974" s="29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29"/>
      <c r="N974" s="29"/>
      <c r="O974" s="29"/>
      <c r="P974" s="32"/>
      <c r="Q974" s="32"/>
      <c r="R974" s="4"/>
      <c r="S974" s="4"/>
      <c r="T974" s="4"/>
      <c r="U974" s="4"/>
      <c r="V974" s="4"/>
      <c r="W974" s="4"/>
      <c r="X974" s="4"/>
      <c r="Y974" s="4"/>
      <c r="Z974" s="4"/>
    </row>
    <row x14ac:dyDescent="0.25" r="975" customHeight="1" ht="12.75">
      <c r="A975" s="4"/>
      <c r="B975" s="29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29"/>
      <c r="N975" s="29"/>
      <c r="O975" s="29"/>
      <c r="P975" s="32"/>
      <c r="Q975" s="32"/>
      <c r="R975" s="4"/>
      <c r="S975" s="4"/>
      <c r="T975" s="4"/>
      <c r="U975" s="4"/>
      <c r="V975" s="4"/>
      <c r="W975" s="4"/>
      <c r="X975" s="4"/>
      <c r="Y975" s="4"/>
      <c r="Z975" s="4"/>
    </row>
    <row x14ac:dyDescent="0.25" r="976" customHeight="1" ht="12.75">
      <c r="A976" s="4"/>
      <c r="B976" s="29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29"/>
      <c r="N976" s="29"/>
      <c r="O976" s="29"/>
      <c r="P976" s="32"/>
      <c r="Q976" s="32"/>
      <c r="R976" s="4"/>
      <c r="S976" s="4"/>
      <c r="T976" s="4"/>
      <c r="U976" s="4"/>
      <c r="V976" s="4"/>
      <c r="W976" s="4"/>
      <c r="X976" s="4"/>
      <c r="Y976" s="4"/>
      <c r="Z976" s="4"/>
    </row>
    <row x14ac:dyDescent="0.25" r="977" customHeight="1" ht="12.75">
      <c r="A977" s="4"/>
      <c r="B977" s="29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29"/>
      <c r="N977" s="29"/>
      <c r="O977" s="29"/>
      <c r="P977" s="32"/>
      <c r="Q977" s="32"/>
      <c r="R977" s="4"/>
      <c r="S977" s="4"/>
      <c r="T977" s="4"/>
      <c r="U977" s="4"/>
      <c r="V977" s="4"/>
      <c r="W977" s="4"/>
      <c r="X977" s="4"/>
      <c r="Y977" s="4"/>
      <c r="Z977" s="4"/>
    </row>
    <row x14ac:dyDescent="0.25" r="978" customHeight="1" ht="12.75">
      <c r="A978" s="4"/>
      <c r="B978" s="29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29"/>
      <c r="N978" s="29"/>
      <c r="O978" s="29"/>
      <c r="P978" s="32"/>
      <c r="Q978" s="32"/>
      <c r="R978" s="4"/>
      <c r="S978" s="4"/>
      <c r="T978" s="4"/>
      <c r="U978" s="4"/>
      <c r="V978" s="4"/>
      <c r="W978" s="4"/>
      <c r="X978" s="4"/>
      <c r="Y978" s="4"/>
      <c r="Z978" s="4"/>
    </row>
    <row x14ac:dyDescent="0.25" r="979" customHeight="1" ht="12.75">
      <c r="A979" s="4"/>
      <c r="B979" s="29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29"/>
      <c r="N979" s="29"/>
      <c r="O979" s="29"/>
      <c r="P979" s="32"/>
      <c r="Q979" s="32"/>
      <c r="R979" s="4"/>
      <c r="S979" s="4"/>
      <c r="T979" s="4"/>
      <c r="U979" s="4"/>
      <c r="V979" s="4"/>
      <c r="W979" s="4"/>
      <c r="X979" s="4"/>
      <c r="Y979" s="4"/>
      <c r="Z979" s="4"/>
    </row>
    <row x14ac:dyDescent="0.25" r="980" customHeight="1" ht="12.75">
      <c r="A980" s="4"/>
      <c r="B980" s="29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29"/>
      <c r="N980" s="29"/>
      <c r="O980" s="29"/>
      <c r="P980" s="32"/>
      <c r="Q980" s="32"/>
      <c r="R980" s="4"/>
      <c r="S980" s="4"/>
      <c r="T980" s="4"/>
      <c r="U980" s="4"/>
      <c r="V980" s="4"/>
      <c r="W980" s="4"/>
      <c r="X980" s="4"/>
      <c r="Y980" s="4"/>
      <c r="Z980" s="4"/>
    </row>
    <row x14ac:dyDescent="0.25" r="981" customHeight="1" ht="12.75">
      <c r="A981" s="4"/>
      <c r="B981" s="29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29"/>
      <c r="N981" s="29"/>
      <c r="O981" s="29"/>
      <c r="P981" s="32"/>
      <c r="Q981" s="32"/>
      <c r="R981" s="4"/>
      <c r="S981" s="4"/>
      <c r="T981" s="4"/>
      <c r="U981" s="4"/>
      <c r="V981" s="4"/>
      <c r="W981" s="4"/>
      <c r="X981" s="4"/>
      <c r="Y981" s="4"/>
      <c r="Z981" s="4"/>
    </row>
    <row x14ac:dyDescent="0.25" r="982" customHeight="1" ht="12.75">
      <c r="A982" s="4"/>
      <c r="B982" s="29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29"/>
      <c r="N982" s="29"/>
      <c r="O982" s="29"/>
      <c r="P982" s="32"/>
      <c r="Q982" s="32"/>
      <c r="R982" s="4"/>
      <c r="S982" s="4"/>
      <c r="T982" s="4"/>
      <c r="U982" s="4"/>
      <c r="V982" s="4"/>
      <c r="W982" s="4"/>
      <c r="X982" s="4"/>
      <c r="Y982" s="4"/>
      <c r="Z982" s="4"/>
    </row>
    <row x14ac:dyDescent="0.25" r="983" customHeight="1" ht="12.75">
      <c r="A983" s="4"/>
      <c r="B983" s="29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29"/>
      <c r="N983" s="29"/>
      <c r="O983" s="29"/>
      <c r="P983" s="32"/>
      <c r="Q983" s="32"/>
      <c r="R983" s="4"/>
      <c r="S983" s="4"/>
      <c r="T983" s="4"/>
      <c r="U983" s="4"/>
      <c r="V983" s="4"/>
      <c r="W983" s="4"/>
      <c r="X983" s="4"/>
      <c r="Y983" s="4"/>
      <c r="Z983" s="4"/>
    </row>
    <row x14ac:dyDescent="0.25" r="984" customHeight="1" ht="12.75">
      <c r="A984" s="4"/>
      <c r="B984" s="29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29"/>
      <c r="N984" s="29"/>
      <c r="O984" s="29"/>
      <c r="P984" s="32"/>
      <c r="Q984" s="32"/>
      <c r="R984" s="4"/>
      <c r="S984" s="4"/>
      <c r="T984" s="4"/>
      <c r="U984" s="4"/>
      <c r="V984" s="4"/>
      <c r="W984" s="4"/>
      <c r="X984" s="4"/>
      <c r="Y984" s="4"/>
      <c r="Z984" s="4"/>
    </row>
    <row x14ac:dyDescent="0.25" r="985" customHeight="1" ht="12.75">
      <c r="A985" s="4"/>
      <c r="B985" s="29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29"/>
      <c r="N985" s="29"/>
      <c r="O985" s="29"/>
      <c r="P985" s="32"/>
      <c r="Q985" s="32"/>
      <c r="R985" s="4"/>
      <c r="S985" s="4"/>
      <c r="T985" s="4"/>
      <c r="U985" s="4"/>
      <c r="V985" s="4"/>
      <c r="W985" s="4"/>
      <c r="X985" s="4"/>
      <c r="Y985" s="4"/>
      <c r="Z985" s="4"/>
    </row>
    <row x14ac:dyDescent="0.25" r="986" customHeight="1" ht="12.75">
      <c r="A986" s="4"/>
      <c r="B986" s="29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29"/>
      <c r="N986" s="29"/>
      <c r="O986" s="29"/>
      <c r="P986" s="32"/>
      <c r="Q986" s="32"/>
      <c r="R986" s="4"/>
      <c r="S986" s="4"/>
      <c r="T986" s="4"/>
      <c r="U986" s="4"/>
      <c r="V986" s="4"/>
      <c r="W986" s="4"/>
      <c r="X986" s="4"/>
      <c r="Y986" s="4"/>
      <c r="Z986" s="4"/>
    </row>
    <row x14ac:dyDescent="0.25" r="987" customHeight="1" ht="12.75">
      <c r="A987" s="4"/>
      <c r="B987" s="29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29"/>
      <c r="N987" s="29"/>
      <c r="O987" s="29"/>
      <c r="P987" s="32"/>
      <c r="Q987" s="32"/>
      <c r="R987" s="4"/>
      <c r="S987" s="4"/>
      <c r="T987" s="4"/>
      <c r="U987" s="4"/>
      <c r="V987" s="4"/>
      <c r="W987" s="4"/>
      <c r="X987" s="4"/>
      <c r="Y987" s="4"/>
      <c r="Z987" s="4"/>
    </row>
    <row x14ac:dyDescent="0.25" r="988" customHeight="1" ht="12.75">
      <c r="A988" s="4"/>
      <c r="B988" s="29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29"/>
      <c r="N988" s="29"/>
      <c r="O988" s="29"/>
      <c r="P988" s="32"/>
      <c r="Q988" s="32"/>
      <c r="R988" s="4"/>
      <c r="S988" s="4"/>
      <c r="T988" s="4"/>
      <c r="U988" s="4"/>
      <c r="V988" s="4"/>
      <c r="W988" s="4"/>
      <c r="X988" s="4"/>
      <c r="Y988" s="4"/>
      <c r="Z988" s="4"/>
    </row>
    <row x14ac:dyDescent="0.25" r="989" customHeight="1" ht="12.75">
      <c r="A989" s="4"/>
      <c r="B989" s="29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29"/>
      <c r="N989" s="29"/>
      <c r="O989" s="29"/>
      <c r="P989" s="32"/>
      <c r="Q989" s="32"/>
      <c r="R989" s="4"/>
      <c r="S989" s="4"/>
      <c r="T989" s="4"/>
      <c r="U989" s="4"/>
      <c r="V989" s="4"/>
      <c r="W989" s="4"/>
      <c r="X989" s="4"/>
      <c r="Y989" s="4"/>
      <c r="Z989" s="4"/>
    </row>
    <row x14ac:dyDescent="0.25" r="990" customHeight="1" ht="12.75">
      <c r="A990" s="4"/>
      <c r="B990" s="29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29"/>
      <c r="N990" s="29"/>
      <c r="O990" s="29"/>
      <c r="P990" s="32"/>
      <c r="Q990" s="32"/>
      <c r="R990" s="4"/>
      <c r="S990" s="4"/>
      <c r="T990" s="4"/>
      <c r="U990" s="4"/>
      <c r="V990" s="4"/>
      <c r="W990" s="4"/>
      <c r="X990" s="4"/>
      <c r="Y990" s="4"/>
      <c r="Z990" s="4"/>
    </row>
    <row x14ac:dyDescent="0.25" r="991" customHeight="1" ht="12.75">
      <c r="A991" s="4"/>
      <c r="B991" s="29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29"/>
      <c r="N991" s="29"/>
      <c r="O991" s="29"/>
      <c r="P991" s="32"/>
      <c r="Q991" s="32"/>
      <c r="R991" s="4"/>
      <c r="S991" s="4"/>
      <c r="T991" s="4"/>
      <c r="U991" s="4"/>
      <c r="V991" s="4"/>
      <c r="W991" s="4"/>
      <c r="X991" s="4"/>
      <c r="Y991" s="4"/>
      <c r="Z991" s="4"/>
    </row>
    <row x14ac:dyDescent="0.25" r="992" customHeight="1" ht="12.75">
      <c r="A992" s="4"/>
      <c r="B992" s="29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29"/>
      <c r="N992" s="29"/>
      <c r="O992" s="29"/>
      <c r="P992" s="32"/>
      <c r="Q992" s="32"/>
      <c r="R992" s="4"/>
      <c r="S992" s="4"/>
      <c r="T992" s="4"/>
      <c r="U992" s="4"/>
      <c r="V992" s="4"/>
      <c r="W992" s="4"/>
      <c r="X992" s="4"/>
      <c r="Y992" s="4"/>
      <c r="Z992" s="4"/>
    </row>
    <row x14ac:dyDescent="0.25" r="993" customHeight="1" ht="12.75">
      <c r="A993" s="4"/>
      <c r="B993" s="29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29"/>
      <c r="N993" s="29"/>
      <c r="O993" s="29"/>
      <c r="P993" s="32"/>
      <c r="Q993" s="32"/>
      <c r="R993" s="4"/>
      <c r="S993" s="4"/>
      <c r="T993" s="4"/>
      <c r="U993" s="4"/>
      <c r="V993" s="4"/>
      <c r="W993" s="4"/>
      <c r="X993" s="4"/>
      <c r="Y993" s="4"/>
      <c r="Z993" s="4"/>
    </row>
    <row x14ac:dyDescent="0.25" r="994" customHeight="1" ht="12.75">
      <c r="A994" s="4"/>
      <c r="B994" s="29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29"/>
      <c r="N994" s="29"/>
      <c r="O994" s="29"/>
      <c r="P994" s="32"/>
      <c r="Q994" s="32"/>
      <c r="R994" s="4"/>
      <c r="S994" s="4"/>
      <c r="T994" s="4"/>
      <c r="U994" s="4"/>
      <c r="V994" s="4"/>
      <c r="W994" s="4"/>
      <c r="X994" s="4"/>
      <c r="Y994" s="4"/>
      <c r="Z994" s="4"/>
    </row>
    <row x14ac:dyDescent="0.25" r="995" customHeight="1" ht="12.75">
      <c r="A995" s="4"/>
      <c r="B995" s="29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29"/>
      <c r="N995" s="29"/>
      <c r="O995" s="29"/>
      <c r="P995" s="32"/>
      <c r="Q995" s="32"/>
      <c r="R995" s="4"/>
      <c r="S995" s="4"/>
      <c r="T995" s="4"/>
      <c r="U995" s="4"/>
      <c r="V995" s="4"/>
      <c r="W995" s="4"/>
      <c r="X995" s="4"/>
      <c r="Y995" s="4"/>
      <c r="Z995" s="4"/>
    </row>
    <row x14ac:dyDescent="0.25" r="996" customHeight="1" ht="12.75">
      <c r="A996" s="4"/>
      <c r="B996" s="29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29"/>
      <c r="N996" s="29"/>
      <c r="O996" s="29"/>
      <c r="P996" s="32"/>
      <c r="Q996" s="32"/>
      <c r="R996" s="4"/>
      <c r="S996" s="4"/>
      <c r="T996" s="4"/>
      <c r="U996" s="4"/>
      <c r="V996" s="4"/>
      <c r="W996" s="4"/>
      <c r="X996" s="4"/>
      <c r="Y996" s="4"/>
      <c r="Z996" s="4"/>
    </row>
    <row x14ac:dyDescent="0.25" r="997" customHeight="1" ht="12.75">
      <c r="A997" s="4"/>
      <c r="B997" s="29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29"/>
      <c r="N997" s="29"/>
      <c r="O997" s="29"/>
      <c r="P997" s="32"/>
      <c r="Q997" s="32"/>
      <c r="R997" s="4"/>
      <c r="S997" s="4"/>
      <c r="T997" s="4"/>
      <c r="U997" s="4"/>
      <c r="V997" s="4"/>
      <c r="W997" s="4"/>
      <c r="X997" s="4"/>
      <c r="Y997" s="4"/>
      <c r="Z997" s="4"/>
    </row>
    <row x14ac:dyDescent="0.25" r="998" customHeight="1" ht="12.75">
      <c r="A998" s="4"/>
      <c r="B998" s="29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29"/>
      <c r="N998" s="29"/>
      <c r="O998" s="29"/>
      <c r="P998" s="32"/>
      <c r="Q998" s="32"/>
      <c r="R998" s="4"/>
      <c r="S998" s="4"/>
      <c r="T998" s="4"/>
      <c r="U998" s="4"/>
      <c r="V998" s="4"/>
      <c r="W998" s="4"/>
      <c r="X998" s="4"/>
      <c r="Y998" s="4"/>
      <c r="Z998" s="4"/>
    </row>
    <row x14ac:dyDescent="0.25" r="999" customHeight="1" ht="12.75">
      <c r="A999" s="4"/>
      <c r="B999" s="29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29"/>
      <c r="N999" s="29"/>
      <c r="O999" s="29"/>
      <c r="P999" s="32"/>
      <c r="Q999" s="32"/>
      <c r="R999" s="4"/>
      <c r="S999" s="4"/>
      <c r="T999" s="4"/>
      <c r="U999" s="4"/>
      <c r="V999" s="4"/>
      <c r="W999" s="4"/>
      <c r="X999" s="4"/>
      <c r="Y999" s="4"/>
      <c r="Z999" s="4"/>
    </row>
    <row x14ac:dyDescent="0.25" r="1000" customHeight="1" ht="12.75">
      <c r="A1000" s="4"/>
      <c r="B1000" s="29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29"/>
      <c r="N1000" s="29"/>
      <c r="O1000" s="29"/>
      <c r="P1000" s="32"/>
      <c r="Q1000" s="32"/>
      <c r="R1000" s="4"/>
      <c r="S1000" s="4"/>
      <c r="T1000" s="4"/>
      <c r="U1000" s="4"/>
      <c r="V1000" s="4"/>
      <c r="W1000" s="4"/>
      <c r="X1000" s="4"/>
      <c r="Y1000" s="4"/>
      <c r="Z1000" s="4"/>
    </row>
    <row x14ac:dyDescent="0.25" r="1001" customHeight="1" ht="12.75">
      <c r="A1001" s="4"/>
      <c r="B1001" s="29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29"/>
      <c r="N1001" s="29"/>
      <c r="O1001" s="29"/>
      <c r="P1001" s="32"/>
      <c r="Q1001" s="32"/>
      <c r="R1001" s="4"/>
      <c r="S1001" s="4"/>
      <c r="T1001" s="4"/>
      <c r="U1001" s="4"/>
      <c r="V1001" s="4"/>
      <c r="W1001" s="4"/>
      <c r="X1001" s="4"/>
      <c r="Y1001" s="4"/>
      <c r="Z1001" s="4"/>
    </row>
    <row x14ac:dyDescent="0.25" r="1002" customHeight="1" ht="12.75">
      <c r="A1002" s="4"/>
      <c r="B1002" s="29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29"/>
      <c r="N1002" s="29"/>
      <c r="O1002" s="29"/>
      <c r="P1002" s="32"/>
      <c r="Q1002" s="32"/>
      <c r="R1002" s="4"/>
      <c r="S1002" s="4"/>
      <c r="T1002" s="4"/>
      <c r="U1002" s="4"/>
      <c r="V1002" s="4"/>
      <c r="W1002" s="4"/>
      <c r="X1002" s="4"/>
      <c r="Y1002" s="4"/>
      <c r="Z1002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43" width="13.576428571428572" customWidth="1" bestFit="1"/>
    <col min="3" max="3" style="44" width="13.576428571428572" customWidth="1" bestFit="1"/>
    <col min="4" max="4" style="44" width="13.576428571428572" customWidth="1" bestFit="1"/>
    <col min="5" max="5" style="44" width="13.576428571428572" customWidth="1" bestFit="1"/>
    <col min="6" max="6" style="44" width="13.576428571428572" customWidth="1" bestFit="1"/>
    <col min="7" max="7" style="44" width="13.576428571428572" customWidth="1" bestFit="1"/>
    <col min="8" max="8" style="44" width="13.576428571428572" customWidth="1" bestFit="1"/>
    <col min="9" max="9" style="44" width="13.576428571428572" customWidth="1" bestFit="1"/>
    <col min="10" max="10" style="44" width="13.576428571428572" customWidth="1" bestFit="1"/>
    <col min="11" max="11" style="44" width="13.576428571428572" customWidth="1" bestFit="1"/>
    <col min="12" max="12" style="44" width="13.576428571428572" customWidth="1" bestFit="1"/>
    <col min="13" max="13" style="43" width="13.43357142857143" customWidth="1" bestFit="1"/>
    <col min="14" max="14" style="43" width="13.576428571428572" customWidth="1" bestFit="1"/>
    <col min="15" max="15" style="43" width="13.576428571428572" customWidth="1" bestFit="1"/>
    <col min="16" max="16" style="45" width="13.576428571428572" customWidth="1" bestFit="1"/>
    <col min="17" max="17" style="45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</cols>
  <sheetData>
    <row x14ac:dyDescent="0.25" r="1" customHeight="1" ht="14.25">
      <c r="A1" s="10" t="s">
        <v>0</v>
      </c>
      <c r="B1" s="11" t="s">
        <v>13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1" t="s">
        <v>14</v>
      </c>
      <c r="N1" s="11" t="s">
        <v>15</v>
      </c>
      <c r="O1" s="11" t="s">
        <v>16</v>
      </c>
      <c r="P1" s="12" t="s">
        <v>63</v>
      </c>
      <c r="Q1" s="12" t="s">
        <v>64</v>
      </c>
      <c r="R1" s="13" t="s">
        <v>65</v>
      </c>
      <c r="S1" s="14"/>
      <c r="T1" s="4"/>
      <c r="U1" s="4"/>
    </row>
    <row x14ac:dyDescent="0.25" r="2" customHeight="1" ht="15.75">
      <c r="A2" s="15" t="s">
        <v>41</v>
      </c>
      <c r="B2" s="16">
        <f>$D$1:$D$82/$C$1:$C$82</f>
      </c>
      <c r="C2" s="17">
        <v>3</v>
      </c>
      <c r="D2" s="17">
        <v>3</v>
      </c>
      <c r="E2" s="17">
        <v>3</v>
      </c>
      <c r="F2" s="17">
        <v>0</v>
      </c>
      <c r="G2" s="17">
        <v>0</v>
      </c>
      <c r="H2" s="17">
        <v>0</v>
      </c>
      <c r="I2" s="17">
        <v>0</v>
      </c>
      <c r="J2" s="17">
        <v>1</v>
      </c>
      <c r="K2" s="17">
        <v>0</v>
      </c>
      <c r="L2" s="17">
        <v>0</v>
      </c>
      <c r="M2" s="16">
        <f>(($E2:$E16 + 2 * $F2:$F16 + 3 * $G2:$G16 + 4 * $H2:$H16) / $C2:$C16)</f>
      </c>
      <c r="N2" s="16">
        <f>(($D$1:$D$82 + $K$1:$K$82) / ($C$1:$C$82 + $K$1:$K$82))</f>
      </c>
      <c r="O2" s="16">
        <f>(($D$1:$D$71 + $K$1:$K$71) / ($C$1:$C$71 + $K$1:$K$100)) + ((($E$1:$E$112) + (2 * $F$1:$F$112) + (3 * $G$1:$G$112) + (4 * $H$1:$H$112)) / $C$1:$C$71)</f>
      </c>
      <c r="P2" s="17">
        <v>0</v>
      </c>
      <c r="Q2" s="17">
        <v>0</v>
      </c>
      <c r="R2" s="18"/>
      <c r="S2" s="14"/>
      <c r="T2" s="4"/>
      <c r="U2" s="4"/>
    </row>
    <row x14ac:dyDescent="0.25" r="3" customHeight="1" ht="15.75">
      <c r="A3" s="19" t="s">
        <v>62</v>
      </c>
      <c r="B3" s="20">
        <f>$D$1:$D$82/$C$1:$C$82</f>
      </c>
      <c r="C3" s="21">
        <v>3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0">
        <f>(($E3:$E15 + 2 * $F3:$F15 + 3 * $G3:$G15 + 4 * $H3:$H15) / $C3:$C15)</f>
      </c>
      <c r="N3" s="20">
        <f>(($D$1:$D$82 + $K$1:$K$82) / ($C$1:$C$82 + $K$1:$K$82))</f>
      </c>
      <c r="O3" s="20">
        <f>(($D$1:$D$71 + $K$1:$K$71) / ($C$1:$C$71 + $K$1:$K$100)) + ((($E$1:$E$112) + (2 * $F$1:$F$112) + (3 * $G$1:$G$112) + (4 * $H$1:$H$112)) / $C$1:$C$71)</f>
      </c>
      <c r="P3" s="21">
        <v>1</v>
      </c>
      <c r="Q3" s="21">
        <v>0</v>
      </c>
      <c r="R3" s="22">
        <f>$Q$1:$Q$84/$P$1:$P$84</f>
      </c>
      <c r="S3" s="14"/>
      <c r="T3" s="4"/>
      <c r="U3" s="4"/>
    </row>
    <row x14ac:dyDescent="0.25" r="4" customHeight="1" ht="14.25">
      <c r="A4" s="15" t="s">
        <v>52</v>
      </c>
      <c r="B4" s="16">
        <f>$D$1:$D$82/$C$1:$C$82</f>
      </c>
      <c r="C4" s="17">
        <v>3</v>
      </c>
      <c r="D4" s="17">
        <v>1</v>
      </c>
      <c r="E4" s="17">
        <v>0</v>
      </c>
      <c r="F4" s="17">
        <v>1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6">
        <f>(($E4:$E14 + 2 * $F4:$F14 + 3 * $G4:$G14 + 4 * $H4:$H14) / $C4:$C14)</f>
      </c>
      <c r="N4" s="16">
        <f>(($D$1:$D$82 + $K$1:$K$82) / ($C$1:$C$82 + $K$1:$K$82))</f>
      </c>
      <c r="O4" s="16">
        <f>(($D$1:$D$71 + $K$1:$K$71) / ($C$1:$C$71 + $K$1:$K$100)) + ((($E$1:$E$112) + (2 * $F$1:$F$112) + (3 * $G$1:$G$112) + (4 * $H$1:$H$112)) / $C$1:$C$71)</f>
      </c>
      <c r="P4" s="17">
        <v>2</v>
      </c>
      <c r="Q4" s="17">
        <v>0</v>
      </c>
      <c r="R4" s="18">
        <f>$Q$1:$Q$84/$P$1:$P$84</f>
      </c>
      <c r="S4" s="14"/>
      <c r="T4" s="4"/>
      <c r="U4" s="4"/>
    </row>
    <row x14ac:dyDescent="0.25" r="5" customHeight="1" ht="14.25">
      <c r="A5" s="19" t="s">
        <v>49</v>
      </c>
      <c r="B5" s="20">
        <f>$D$1:$D$82/$C$1:$C$82</f>
      </c>
      <c r="C5" s="21">
        <v>3</v>
      </c>
      <c r="D5" s="21">
        <v>1</v>
      </c>
      <c r="E5" s="21">
        <v>1</v>
      </c>
      <c r="F5" s="21">
        <v>0</v>
      </c>
      <c r="G5" s="21">
        <v>0</v>
      </c>
      <c r="H5" s="21">
        <v>0</v>
      </c>
      <c r="I5" s="21">
        <v>1</v>
      </c>
      <c r="J5" s="21">
        <v>1</v>
      </c>
      <c r="K5" s="21">
        <v>0</v>
      </c>
      <c r="L5" s="21">
        <v>0</v>
      </c>
      <c r="M5" s="20">
        <f>(($E5:$E16 + 2 * $F5:$F16 + 3 * $G5:$G16 + 4 * $H5:$H16) / $C5:$C16)</f>
      </c>
      <c r="N5" s="20">
        <f>(($D$1:$D$82 + $K$1:$K$82) / ($C$1:$C$82 + $K$1:$K$82))</f>
      </c>
      <c r="O5" s="20">
        <f>(($D$1:$D$71 + $K$1:$K$71) / ($C$1:$C$71 + $K$1:$K$100)) + ((($E$1:$E$112) + (2 * $F$1:$F$112) + (3 * $G$1:$G$112) + (4 * $H$1:$H$112)) / $C$1:$C$71)</f>
      </c>
      <c r="P5" s="21">
        <v>1</v>
      </c>
      <c r="Q5" s="21">
        <v>0</v>
      </c>
      <c r="R5" s="22">
        <f>$Q$1:$Q$84/$P$1:$P$84</f>
      </c>
      <c r="S5" s="14"/>
      <c r="T5" s="4"/>
      <c r="U5" s="4"/>
    </row>
    <row x14ac:dyDescent="0.25" r="6" customHeight="1" ht="14.25">
      <c r="A6" s="15" t="s">
        <v>28</v>
      </c>
      <c r="B6" s="16">
        <f>$D$1:$D$82/$C$1:$C$82</f>
      </c>
      <c r="C6" s="17">
        <v>3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6">
        <f>(($E6:$E17 + 2 * $F6:$F17 + 3 * $G6:$G17 + 4 * $H6:$H17) / $C6:$C17)</f>
      </c>
      <c r="N6" s="16">
        <f>(($D$1:$D$82 + $K$1:$K$82) / ($C$1:$C$82 + $K$1:$K$82))</f>
      </c>
      <c r="O6" s="16">
        <f>(($D$1:$D$71 + $K$1:$K$71) / ($C$1:$C$71 + $K$1:$K$100)) + ((($E$1:$E$112) + (2 * $F$1:$F$112) + (3 * $G$1:$G$112) + (4 * $H$1:$H$112)) / $C$1:$C$71)</f>
      </c>
      <c r="P6" s="17">
        <v>0</v>
      </c>
      <c r="Q6" s="17">
        <v>0</v>
      </c>
      <c r="R6" s="18"/>
      <c r="S6" s="14"/>
      <c r="T6" s="4"/>
      <c r="U6" s="4"/>
    </row>
    <row x14ac:dyDescent="0.25" r="7" customHeight="1" ht="14.25">
      <c r="A7" s="19" t="s">
        <v>37</v>
      </c>
      <c r="B7" s="20">
        <f>$D$1:$D$82/$C$1:$C$82</f>
      </c>
      <c r="C7" s="21">
        <v>3</v>
      </c>
      <c r="D7" s="21">
        <v>2</v>
      </c>
      <c r="E7" s="21">
        <v>2</v>
      </c>
      <c r="F7" s="21">
        <v>0</v>
      </c>
      <c r="G7" s="21">
        <v>0</v>
      </c>
      <c r="H7" s="21">
        <v>0</v>
      </c>
      <c r="I7" s="21">
        <v>0</v>
      </c>
      <c r="J7" s="21">
        <v>2</v>
      </c>
      <c r="K7" s="21">
        <v>0</v>
      </c>
      <c r="L7" s="21">
        <v>0</v>
      </c>
      <c r="M7" s="20">
        <f>(($E7:$E20 + 2 * $F7:$F20 + 3 * $G7:$G20 + 4 * $H7:$H20) / $C7:$C20)</f>
      </c>
      <c r="N7" s="20">
        <f>(($D$1:$D$82 + $K$1:$K$82) / ($C$1:$C$82 + $K$1:$K$82))</f>
      </c>
      <c r="O7" s="20">
        <f>(($D$1:$D$71 + $K$1:$K$71) / ($C$1:$C$71 + $K$1:$K$100)) + ((($E$1:$E$112) + (2 * $F$1:$F$112) + (3 * $G$1:$G$112) + (4 * $H$1:$H$112)) / $C$1:$C$71)</f>
      </c>
      <c r="P7" s="21">
        <v>0</v>
      </c>
      <c r="Q7" s="21">
        <v>0</v>
      </c>
      <c r="R7" s="22"/>
      <c r="S7" s="14"/>
      <c r="T7" s="4"/>
      <c r="U7" s="4"/>
    </row>
    <row x14ac:dyDescent="0.25" r="8" customHeight="1" ht="12.75">
      <c r="A8" s="15" t="s">
        <v>30</v>
      </c>
      <c r="B8" s="16">
        <f>$D$1:$D$82/$C$1:$C$82</f>
      </c>
      <c r="C8" s="17">
        <v>3</v>
      </c>
      <c r="D8" s="17">
        <v>3</v>
      </c>
      <c r="E8" s="17">
        <v>3</v>
      </c>
      <c r="F8" s="17">
        <v>0</v>
      </c>
      <c r="G8" s="17">
        <v>0</v>
      </c>
      <c r="H8" s="17">
        <v>0</v>
      </c>
      <c r="I8" s="17">
        <v>0</v>
      </c>
      <c r="J8" s="17">
        <v>2</v>
      </c>
      <c r="K8" s="17">
        <v>0</v>
      </c>
      <c r="L8" s="17">
        <v>0</v>
      </c>
      <c r="M8" s="16">
        <f>(($E8:$E14 + 2 * $F8:$F14 + 3 * $G8:$G14 + 4 * $H8:$H14) / $C8:$C14)</f>
      </c>
      <c r="N8" s="16">
        <f>(($D$1:$D$82 + $K$1:$K$82) / ($C$1:$C$82 + $K$1:$K$82))</f>
      </c>
      <c r="O8" s="16">
        <f>(($D$1:$D$71 + $K$1:$K$71) / ($C$1:$C$71 + $K$1:$K$100)) + ((($E$1:$E$112) + (2 * $F$1:$F$112) + (3 * $G$1:$G$112) + (4 * $H$1:$H$112)) / $C$1:$C$71)</f>
      </c>
      <c r="P8" s="17">
        <v>0</v>
      </c>
      <c r="Q8" s="17">
        <v>0</v>
      </c>
      <c r="R8" s="18"/>
      <c r="S8" s="4"/>
      <c r="T8" s="4"/>
      <c r="U8" s="4"/>
    </row>
    <row x14ac:dyDescent="0.25" r="9" customHeight="1" ht="12.75">
      <c r="A9" s="19" t="s">
        <v>57</v>
      </c>
      <c r="B9" s="20">
        <f>$D$1:$D$82/$C$1:$C$82</f>
      </c>
      <c r="C9" s="21">
        <v>3</v>
      </c>
      <c r="D9" s="21">
        <v>3</v>
      </c>
      <c r="E9" s="21">
        <v>3</v>
      </c>
      <c r="F9" s="21">
        <v>0</v>
      </c>
      <c r="G9" s="21">
        <v>0</v>
      </c>
      <c r="H9" s="21">
        <v>0</v>
      </c>
      <c r="I9" s="21">
        <v>1</v>
      </c>
      <c r="J9" s="21">
        <v>2</v>
      </c>
      <c r="K9" s="21">
        <v>0</v>
      </c>
      <c r="L9" s="21">
        <v>0</v>
      </c>
      <c r="M9" s="20">
        <f>(($E9:$E21 + 2 * $F9:$F21 + 3 * $G9:$G21 + 4 * $H9:$H21) / $C9:$C21)</f>
      </c>
      <c r="N9" s="20">
        <f>(($D$1:$D$82 + $K$1:$K$82) / ($C$1:$C$82 + $K$1:$K$82))</f>
      </c>
      <c r="O9" s="20">
        <f>(($D$1:$D$71 + $K$1:$K$71) / ($C$1:$C$71 + $K$1:$K$100)) + ((($E$1:$E$112) + (2 * $F$1:$F$112) + (3 * $G$1:$G$112) + (4 * $H$1:$H$112)) / $C$1:$C$71)</f>
      </c>
      <c r="P9" s="21">
        <v>3</v>
      </c>
      <c r="Q9" s="21">
        <v>3</v>
      </c>
      <c r="R9" s="22">
        <f>$Q$1:$Q$84/$P$1:$P$84</f>
      </c>
      <c r="S9" s="4"/>
      <c r="T9" s="4"/>
      <c r="U9" s="4"/>
    </row>
    <row x14ac:dyDescent="0.25" r="10" customHeight="1" ht="12.75">
      <c r="A10" s="15" t="s">
        <v>47</v>
      </c>
      <c r="B10" s="16">
        <f>$D$1:$D$82/$C$1:$C$82</f>
      </c>
      <c r="C10" s="17">
        <v>3</v>
      </c>
      <c r="D10" s="17">
        <v>2</v>
      </c>
      <c r="E10" s="17">
        <v>1</v>
      </c>
      <c r="F10" s="17">
        <v>1</v>
      </c>
      <c r="G10" s="17">
        <v>0</v>
      </c>
      <c r="H10" s="17">
        <v>0</v>
      </c>
      <c r="I10" s="17">
        <v>3</v>
      </c>
      <c r="J10" s="17">
        <v>1</v>
      </c>
      <c r="K10" s="17">
        <v>0</v>
      </c>
      <c r="L10" s="17">
        <v>0</v>
      </c>
      <c r="M10" s="16">
        <f>(($E10:$E14 + 2 * $F10:$F14 + 3 * $G10:$G14 + 4 * $H10:$H14) / $C10:$C14)</f>
      </c>
      <c r="N10" s="16">
        <f>(($D$1:$D$82 + $K$1:$K$82) / ($C$1:$C$82 + $K$1:$K$82))</f>
      </c>
      <c r="O10" s="16">
        <f>(($D$1:$D$71 + $K$1:$K$71) / ($C$1:$C$71 + $K$1:$K$100)) + ((($E$1:$E$112) + (2 * $F$1:$F$112) + (3 * $G$1:$G$112) + (4 * $H$1:$H$112)) / $C$1:$C$71)</f>
      </c>
      <c r="P10" s="17">
        <v>3</v>
      </c>
      <c r="Q10" s="17">
        <v>2</v>
      </c>
      <c r="R10" s="18">
        <f>$Q$1:$Q$84/$P$1:$P$84</f>
      </c>
      <c r="S10" s="4"/>
      <c r="T10" s="4"/>
      <c r="U10" s="4"/>
    </row>
    <row x14ac:dyDescent="0.25" r="11" customHeight="1" ht="12.75">
      <c r="A11" s="19" t="s">
        <v>25</v>
      </c>
      <c r="B11" s="20">
        <f>$D$1:$D$82/$C$1:$C$82</f>
      </c>
      <c r="C11" s="21">
        <v>3</v>
      </c>
      <c r="D11" s="21">
        <v>2</v>
      </c>
      <c r="E11" s="21">
        <v>1</v>
      </c>
      <c r="F11" s="21">
        <v>1</v>
      </c>
      <c r="G11" s="21">
        <v>0</v>
      </c>
      <c r="H11" s="21">
        <v>0</v>
      </c>
      <c r="I11" s="21">
        <v>3</v>
      </c>
      <c r="J11" s="21">
        <v>1</v>
      </c>
      <c r="K11" s="21">
        <v>0</v>
      </c>
      <c r="L11" s="21">
        <v>0</v>
      </c>
      <c r="M11" s="20">
        <f>(($E11:$E14 + 2 * $F11:$F14 + 3 * $G11:$G14 + 4 * $H11:$H14) / $C11:$C14)</f>
      </c>
      <c r="N11" s="20">
        <f>(($D$1:$D$82 + $K$1:$K$82) / ($C$1:$C$82 + $K$1:$K$82))</f>
      </c>
      <c r="O11" s="20">
        <f>(($D$1:$D$71 + $K$1:$K$71) / ($C$1:$C$71 + $K$1:$K$100)) + ((($E$1:$E$112) + (2 * $F$1:$F$112) + (3 * $G$1:$G$112) + (4 * $H$1:$H$112)) / $C$1:$C$71)</f>
      </c>
      <c r="P11" s="21">
        <v>2</v>
      </c>
      <c r="Q11" s="21">
        <v>2</v>
      </c>
      <c r="R11" s="22">
        <f>$Q$1:$Q$84/$P$1:$P$84</f>
      </c>
      <c r="S11" s="4"/>
      <c r="T11" s="4"/>
      <c r="U11" s="4"/>
    </row>
    <row x14ac:dyDescent="0.25" r="12" customHeight="1" ht="12.75">
      <c r="A12" s="15" t="s">
        <v>45</v>
      </c>
      <c r="B12" s="16">
        <f>$D$1:$D$82/$C$1:$C$82</f>
      </c>
      <c r="C12" s="17">
        <v>3</v>
      </c>
      <c r="D12" s="17">
        <v>1</v>
      </c>
      <c r="E12" s="17">
        <v>1</v>
      </c>
      <c r="F12" s="17">
        <v>0</v>
      </c>
      <c r="G12" s="17">
        <v>0</v>
      </c>
      <c r="H12" s="17">
        <v>0</v>
      </c>
      <c r="I12" s="17">
        <v>0</v>
      </c>
      <c r="J12" s="17">
        <v>1</v>
      </c>
      <c r="K12" s="17">
        <v>0</v>
      </c>
      <c r="L12" s="17">
        <v>0</v>
      </c>
      <c r="M12" s="16">
        <f>(($E12:$E20 + 2 * $F12:$F20 + 3 * $G12:$G20 + 4 * $H12:$H20) / $C12:$C20)</f>
      </c>
      <c r="N12" s="16">
        <f>(($D$1:$D$82 + $K$1:$K$82) / ($C$1:$C$82 + $K$1:$K$82))</f>
      </c>
      <c r="O12" s="16">
        <f>(($D$1:$D$71 + $K$1:$K$71) / ($C$1:$C$71 + $K$1:$K$100)) + ((($E$1:$E$112) + (2 * $F$1:$F$112) + (3 * $G$1:$G$112) + (4 * $H$1:$H$112)) / $C$1:$C$71)</f>
      </c>
      <c r="P12" s="17">
        <v>2</v>
      </c>
      <c r="Q12" s="17">
        <v>1</v>
      </c>
      <c r="R12" s="18">
        <f>$Q$1:$Q$84/$P$1:$P$84</f>
      </c>
      <c r="S12" s="4"/>
      <c r="T12" s="4"/>
      <c r="U12" s="4"/>
    </row>
    <row x14ac:dyDescent="0.25" r="13" customHeight="1" ht="12.75">
      <c r="A13" s="19" t="s">
        <v>55</v>
      </c>
      <c r="B13" s="20">
        <f>$D$1:$D$82/$C$1:$C$82</f>
      </c>
      <c r="C13" s="21">
        <v>3</v>
      </c>
      <c r="D13" s="21">
        <v>2</v>
      </c>
      <c r="E13" s="21">
        <v>2</v>
      </c>
      <c r="F13" s="21">
        <v>0</v>
      </c>
      <c r="G13" s="21">
        <v>0</v>
      </c>
      <c r="H13" s="21">
        <v>0</v>
      </c>
      <c r="I13" s="21">
        <v>1</v>
      </c>
      <c r="J13" s="21">
        <v>1</v>
      </c>
      <c r="K13" s="21">
        <v>0</v>
      </c>
      <c r="L13" s="21">
        <v>0</v>
      </c>
      <c r="M13" s="20">
        <f>(($E13:$E21 + 2 * $F13:$F21 + 3 * $G13:$G21 + 4 * $H13:$H21) / $C13:$C21)</f>
      </c>
      <c r="N13" s="20">
        <f>(($D$1:$D$82 + $K$1:$K$82) / ($C$1:$C$82 + $K$1:$K$82))</f>
      </c>
      <c r="O13" s="20">
        <f>(($D$1:$D$71 + $K$1:$K$71) / ($C$1:$C$71 + $K$1:$K$100)) + ((($E$1:$E$112) + (2 * $F$1:$F$112) + (3 * $G$1:$G$112) + (4 * $H$1:$H$112)) / $C$1:$C$71)</f>
      </c>
      <c r="P13" s="21">
        <v>1</v>
      </c>
      <c r="Q13" s="21">
        <v>1</v>
      </c>
      <c r="R13" s="22">
        <f>$Q$1:$Q$84/$P$1:$P$84</f>
      </c>
      <c r="S13" s="4"/>
      <c r="T13" s="4"/>
      <c r="U13" s="4"/>
    </row>
    <row x14ac:dyDescent="0.25" r="14" customHeight="1" ht="12.75">
      <c r="A14" s="15" t="s">
        <v>26</v>
      </c>
      <c r="B14" s="16">
        <f>$D$1:$D$82/$C$1:$C$82</f>
      </c>
      <c r="C14" s="17">
        <v>3</v>
      </c>
      <c r="D14" s="17">
        <v>2</v>
      </c>
      <c r="E14" s="17">
        <v>1</v>
      </c>
      <c r="F14" s="17">
        <v>1</v>
      </c>
      <c r="G14" s="17">
        <v>0</v>
      </c>
      <c r="H14" s="17">
        <v>0</v>
      </c>
      <c r="I14" s="17">
        <v>1</v>
      </c>
      <c r="J14" s="17">
        <v>1</v>
      </c>
      <c r="K14" s="17">
        <v>0</v>
      </c>
      <c r="L14" s="17">
        <v>0</v>
      </c>
      <c r="M14" s="16">
        <f>(($E14:$E22 + 2 * $F14:$F22 + 3 * $G14:$G22 + 4 * $H14:$H22) / $C14:$C22)</f>
      </c>
      <c r="N14" s="16">
        <f>(($D$1:$D$82 + $K$1:$K$82) / ($C$1:$C$82 + $K$1:$K$82))</f>
      </c>
      <c r="O14" s="16">
        <f>(($D$1:$D$71 + $K$1:$K$71) / ($C$1:$C$71 + $K$1:$K$100)) + ((($E$1:$E$112) + (2 * $F$1:$F$112) + (3 * $G$1:$G$112) + (4 * $H$1:$H$112)) / $C$1:$C$71)</f>
      </c>
      <c r="P14" s="17">
        <v>1</v>
      </c>
      <c r="Q14" s="17">
        <v>1</v>
      </c>
      <c r="R14" s="18">
        <f>$Q$1:$Q$84/$P$1:$P$84</f>
      </c>
      <c r="S14" s="4"/>
      <c r="T14" s="4"/>
      <c r="U14" s="4"/>
    </row>
    <row x14ac:dyDescent="0.25" r="15" customHeight="1" ht="12.75">
      <c r="A15" s="19" t="s">
        <v>53</v>
      </c>
      <c r="B15" s="20">
        <f>$D$1:$D$82/$C$1:$C$82</f>
      </c>
      <c r="C15" s="21">
        <v>3</v>
      </c>
      <c r="D15" s="21">
        <v>1</v>
      </c>
      <c r="E15" s="21">
        <v>1</v>
      </c>
      <c r="F15" s="21">
        <v>0</v>
      </c>
      <c r="G15" s="21">
        <v>0</v>
      </c>
      <c r="H15" s="21">
        <v>0</v>
      </c>
      <c r="I15" s="21">
        <v>1</v>
      </c>
      <c r="J15" s="21">
        <v>0</v>
      </c>
      <c r="K15" s="21">
        <v>0</v>
      </c>
      <c r="L15" s="21">
        <v>0</v>
      </c>
      <c r="M15" s="20">
        <f>(($E15:$E31 + 2 * $F15:$F31 + 3 * $G15:$G31 + 4 * $H15:$H31) / $C15:$C31)</f>
      </c>
      <c r="N15" s="20">
        <f>(($D$1:$D$82 + $K$1:$K$82) / ($C$1:$C$82 + $K$1:$K$82))</f>
      </c>
      <c r="O15" s="20">
        <f>(($D$1:$D$71 + $K$1:$K$71) / ($C$1:$C$71 + $K$1:$K$100)) + ((($E$1:$E$112) + (2 * $F$1:$F$112) + (3 * $G$1:$G$112) + (4 * $H$1:$H$112)) / $C$1:$C$71)</f>
      </c>
      <c r="P15" s="21">
        <v>2</v>
      </c>
      <c r="Q15" s="21">
        <v>1</v>
      </c>
      <c r="R15" s="22">
        <f>$Q$1:$Q$84/$P$1:$P$84</f>
      </c>
      <c r="S15" s="4"/>
      <c r="T15" s="4"/>
      <c r="U15" s="4"/>
    </row>
    <row x14ac:dyDescent="0.25" r="16" customHeight="1" ht="12.75">
      <c r="A16" s="47" t="s">
        <v>59</v>
      </c>
      <c r="B16" s="48">
        <f>$D$1:$D$82/$C$1:$C$82</f>
      </c>
      <c r="C16" s="49">
        <v>2</v>
      </c>
      <c r="D16" s="49">
        <v>1</v>
      </c>
      <c r="E16" s="49">
        <v>1</v>
      </c>
      <c r="F16" s="49">
        <v>0</v>
      </c>
      <c r="G16" s="49">
        <v>0</v>
      </c>
      <c r="H16" s="49">
        <v>0</v>
      </c>
      <c r="I16" s="49">
        <v>2</v>
      </c>
      <c r="J16" s="49">
        <v>0</v>
      </c>
      <c r="K16" s="49">
        <v>0</v>
      </c>
      <c r="L16" s="49">
        <v>0</v>
      </c>
      <c r="M16" s="48">
        <f>(($E16:$E24 + 2 * $F16:$F24 + 3 * $G16:$G24 + 4 * $H16:$H24) / $C16:$C24)</f>
      </c>
      <c r="N16" s="48">
        <f>(($D$1:$D$82 + $K$1:$K$82) / ($C$1:$C$82 + $K$1:$K$82))</f>
      </c>
      <c r="O16" s="48">
        <f>(($D$1:$D$71 + $K$1:$K$71) / ($C$1:$C$71 + $K$1:$K$100)) + ((($E$1:$E$112) + (2 * $F$1:$F$112) + (3 * $G$1:$G$112) + (4 * $H$1:$H$112)) / $C$1:$C$71)</f>
      </c>
      <c r="P16" s="49">
        <v>1</v>
      </c>
      <c r="Q16" s="49">
        <v>1</v>
      </c>
      <c r="R16" s="50">
        <f>$Q$1:$Q$84/$P$1:$P$84</f>
      </c>
      <c r="S16" s="4"/>
      <c r="T16" s="4"/>
      <c r="U16" s="4"/>
    </row>
    <row x14ac:dyDescent="0.25" r="17" customHeight="1" ht="12.75">
      <c r="A17" s="4"/>
      <c r="B17" s="29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29"/>
      <c r="N17" s="29"/>
      <c r="O17" s="29"/>
      <c r="P17" s="32"/>
      <c r="Q17" s="32"/>
      <c r="R17" s="4"/>
      <c r="S17" s="4"/>
      <c r="T17" s="4"/>
      <c r="U17" s="4"/>
    </row>
    <row x14ac:dyDescent="0.25" r="18" customHeight="1" ht="14.25">
      <c r="A18" s="14"/>
      <c r="B18" s="14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14"/>
      <c r="N18" s="14"/>
      <c r="O18" s="14"/>
      <c r="P18" s="28"/>
      <c r="Q18" s="28"/>
      <c r="R18" s="14"/>
      <c r="S18" s="14"/>
      <c r="T18" s="14"/>
      <c r="U18" s="14"/>
    </row>
    <row x14ac:dyDescent="0.25" r="19" customHeight="1" ht="14.25">
      <c r="A19" s="14"/>
      <c r="B19" s="14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14"/>
      <c r="N19" s="14"/>
      <c r="O19" s="14"/>
      <c r="P19" s="28"/>
      <c r="Q19" s="28"/>
      <c r="R19" s="14"/>
      <c r="S19" s="14"/>
      <c r="T19" s="14"/>
      <c r="U19" s="14"/>
    </row>
    <row x14ac:dyDescent="0.25" r="20" customHeight="1" ht="14.25">
      <c r="A20" s="14"/>
      <c r="B20" s="14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14"/>
      <c r="N20" s="14"/>
      <c r="O20" s="14"/>
      <c r="P20" s="28"/>
      <c r="Q20" s="28"/>
      <c r="R20" s="14"/>
      <c r="S20" s="14"/>
      <c r="T20" s="14"/>
      <c r="U20" s="14"/>
    </row>
    <row x14ac:dyDescent="0.25" r="21" customHeight="1" ht="14.25">
      <c r="A21" s="14"/>
      <c r="B21" s="14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14"/>
      <c r="N21" s="14"/>
      <c r="O21" s="14"/>
      <c r="P21" s="28"/>
      <c r="Q21" s="28"/>
      <c r="R21" s="14"/>
      <c r="S21" s="14"/>
      <c r="T21" s="14"/>
      <c r="U21" s="14"/>
    </row>
    <row x14ac:dyDescent="0.25" r="22" customHeight="1" ht="14.25">
      <c r="A22" s="14"/>
      <c r="B22" s="14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14"/>
      <c r="N22" s="14"/>
      <c r="O22" s="14"/>
      <c r="P22" s="28"/>
      <c r="Q22" s="28"/>
      <c r="R22" s="14"/>
      <c r="S22" s="14"/>
      <c r="T22" s="14"/>
      <c r="U22" s="14"/>
    </row>
    <row x14ac:dyDescent="0.25" r="23" customHeight="1" ht="14.25">
      <c r="A23" s="14"/>
      <c r="B23" s="14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4"/>
      <c r="N23" s="14"/>
      <c r="O23" s="14"/>
      <c r="P23" s="28"/>
      <c r="Q23" s="28"/>
      <c r="R23" s="14"/>
      <c r="S23" s="14"/>
      <c r="T23" s="14"/>
      <c r="U23" s="14"/>
    </row>
    <row x14ac:dyDescent="0.25" r="24" customHeight="1" ht="14.25">
      <c r="A24" s="14"/>
      <c r="B24" s="14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14"/>
      <c r="N24" s="14"/>
      <c r="O24" s="14"/>
      <c r="P24" s="28"/>
      <c r="Q24" s="28"/>
      <c r="R24" s="14"/>
      <c r="S24" s="14"/>
      <c r="T24" s="14"/>
      <c r="U24" s="14"/>
    </row>
    <row x14ac:dyDescent="0.25" r="25" customHeight="1" ht="14.25">
      <c r="A25" s="14"/>
      <c r="B25" s="14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4"/>
      <c r="N25" s="14"/>
      <c r="O25" s="14"/>
      <c r="P25" s="28"/>
      <c r="Q25" s="28"/>
      <c r="R25" s="14"/>
      <c r="S25" s="14"/>
      <c r="T25" s="14"/>
      <c r="U25" s="14"/>
    </row>
    <row x14ac:dyDescent="0.25" r="26" customHeight="1" ht="14.25">
      <c r="A26" s="14"/>
      <c r="B26" s="14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14"/>
      <c r="N26" s="14"/>
      <c r="O26" s="14"/>
      <c r="P26" s="28"/>
      <c r="Q26" s="28"/>
      <c r="R26" s="14"/>
      <c r="S26" s="14"/>
      <c r="T26" s="14"/>
      <c r="U26" s="14"/>
    </row>
    <row x14ac:dyDescent="0.25" r="27" customHeight="1" ht="14.25">
      <c r="A27" s="14"/>
      <c r="B27" s="14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14"/>
      <c r="N27" s="14"/>
      <c r="O27" s="14"/>
      <c r="P27" s="28"/>
      <c r="Q27" s="28"/>
      <c r="R27" s="14"/>
      <c r="S27" s="14"/>
      <c r="T27" s="14"/>
      <c r="U27" s="14"/>
    </row>
    <row x14ac:dyDescent="0.25" r="28" customHeight="1" ht="14.25">
      <c r="A28" s="14"/>
      <c r="B28" s="14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4"/>
      <c r="N28" s="14"/>
      <c r="O28" s="14"/>
      <c r="P28" s="28"/>
      <c r="Q28" s="28"/>
      <c r="R28" s="14"/>
      <c r="S28" s="14"/>
      <c r="T28" s="14"/>
      <c r="U28" s="14"/>
    </row>
    <row x14ac:dyDescent="0.25" r="29" customHeight="1" ht="14.25">
      <c r="A29" s="14"/>
      <c r="B29" s="14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4"/>
      <c r="N29" s="14"/>
      <c r="O29" s="14"/>
      <c r="P29" s="28"/>
      <c r="Q29" s="28"/>
      <c r="R29" s="14"/>
      <c r="S29" s="14"/>
      <c r="T29" s="14"/>
      <c r="U29" s="14"/>
    </row>
    <row x14ac:dyDescent="0.25" r="30" customHeight="1" ht="14.25">
      <c r="A30" s="14"/>
      <c r="B30" s="14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4"/>
      <c r="N30" s="14"/>
      <c r="O30" s="14"/>
      <c r="P30" s="28"/>
      <c r="Q30" s="28"/>
      <c r="R30" s="14"/>
      <c r="S30" s="14"/>
      <c r="T30" s="14"/>
      <c r="U30" s="14"/>
    </row>
    <row x14ac:dyDescent="0.25" r="31" customHeight="1" ht="14.25">
      <c r="A31" s="14"/>
      <c r="B31" s="14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14"/>
      <c r="N31" s="14"/>
      <c r="O31" s="14"/>
      <c r="P31" s="28"/>
      <c r="Q31" s="28"/>
      <c r="R31" s="14"/>
      <c r="S31" s="14"/>
      <c r="T31" s="14"/>
      <c r="U31" s="14"/>
    </row>
    <row x14ac:dyDescent="0.25" r="32" customHeight="1" ht="14.25">
      <c r="A32" s="14"/>
      <c r="B32" s="14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14"/>
      <c r="N32" s="14"/>
      <c r="O32" s="14"/>
      <c r="P32" s="28"/>
      <c r="Q32" s="28"/>
      <c r="R32" s="14"/>
      <c r="S32" s="14"/>
      <c r="T32" s="14"/>
      <c r="U32" s="14"/>
    </row>
    <row x14ac:dyDescent="0.25" r="33" customHeight="1" ht="14.25">
      <c r="A33" s="14"/>
      <c r="B33" s="14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14"/>
      <c r="N33" s="14"/>
      <c r="O33" s="14"/>
      <c r="P33" s="28"/>
      <c r="Q33" s="28"/>
      <c r="R33" s="14"/>
      <c r="S33" s="14"/>
      <c r="T33" s="14"/>
      <c r="U33" s="14"/>
    </row>
    <row x14ac:dyDescent="0.25" r="34" customHeight="1" ht="14.25">
      <c r="A34" s="14"/>
      <c r="B34" s="14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14"/>
      <c r="N34" s="14"/>
      <c r="O34" s="14"/>
      <c r="P34" s="28"/>
      <c r="Q34" s="28"/>
      <c r="R34" s="14"/>
      <c r="S34" s="14"/>
      <c r="T34" s="14"/>
      <c r="U34" s="14"/>
    </row>
    <row x14ac:dyDescent="0.25" r="35" customHeight="1" ht="14.25">
      <c r="A35" s="14"/>
      <c r="B35" s="14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14"/>
      <c r="N35" s="14"/>
      <c r="O35" s="14"/>
      <c r="P35" s="28"/>
      <c r="Q35" s="28"/>
      <c r="R35" s="14"/>
      <c r="S35" s="14"/>
      <c r="T35" s="14"/>
      <c r="U35" s="14"/>
    </row>
    <row x14ac:dyDescent="0.25" r="36" customHeight="1" ht="14.25">
      <c r="A36" s="14"/>
      <c r="B36" s="14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14"/>
      <c r="N36" s="14"/>
      <c r="O36" s="14"/>
      <c r="P36" s="28"/>
      <c r="Q36" s="28"/>
      <c r="R36" s="14"/>
      <c r="S36" s="14"/>
      <c r="T36" s="14"/>
      <c r="U36" s="14"/>
    </row>
    <row x14ac:dyDescent="0.25" r="37" customHeight="1" ht="14.25">
      <c r="A37" s="14"/>
      <c r="B37" s="14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14"/>
      <c r="N37" s="14"/>
      <c r="O37" s="14"/>
      <c r="P37" s="28"/>
      <c r="Q37" s="28"/>
      <c r="R37" s="14"/>
      <c r="S37" s="14"/>
      <c r="T37" s="14"/>
      <c r="U37" s="14"/>
    </row>
    <row x14ac:dyDescent="0.25" r="38" customHeight="1" ht="14.25">
      <c r="A38" s="14"/>
      <c r="B38" s="14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14"/>
      <c r="N38" s="14"/>
      <c r="O38" s="14"/>
      <c r="P38" s="28"/>
      <c r="Q38" s="28"/>
      <c r="R38" s="14"/>
      <c r="S38" s="14"/>
      <c r="T38" s="14"/>
      <c r="U38" s="14"/>
    </row>
    <row x14ac:dyDescent="0.25" r="39" customHeight="1" ht="14.25">
      <c r="A39" s="14"/>
      <c r="B39" s="14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14"/>
      <c r="N39" s="14"/>
      <c r="O39" s="14"/>
      <c r="P39" s="28"/>
      <c r="Q39" s="28"/>
      <c r="R39" s="14"/>
      <c r="S39" s="14"/>
      <c r="T39" s="14"/>
      <c r="U39" s="14"/>
    </row>
    <row x14ac:dyDescent="0.25" r="40" customHeight="1" ht="14.25">
      <c r="A40" s="14"/>
      <c r="B40" s="14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14"/>
      <c r="N40" s="14"/>
      <c r="O40" s="14"/>
      <c r="P40" s="28"/>
      <c r="Q40" s="28"/>
      <c r="R40" s="14"/>
      <c r="S40" s="14"/>
      <c r="T40" s="14"/>
      <c r="U40" s="14"/>
    </row>
    <row x14ac:dyDescent="0.25" r="41" customHeight="1" ht="14.25">
      <c r="A41" s="14"/>
      <c r="B41" s="14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14"/>
      <c r="N41" s="14"/>
      <c r="O41" s="14"/>
      <c r="P41" s="28"/>
      <c r="Q41" s="28"/>
      <c r="R41" s="14"/>
      <c r="S41" s="14"/>
      <c r="T41" s="14"/>
      <c r="U41" s="14"/>
    </row>
    <row x14ac:dyDescent="0.25" r="42" customHeight="1" ht="14.25">
      <c r="A42" s="14"/>
      <c r="B42" s="14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14"/>
      <c r="N42" s="14"/>
      <c r="O42" s="14"/>
      <c r="P42" s="28"/>
      <c r="Q42" s="28"/>
      <c r="R42" s="14"/>
      <c r="S42" s="14"/>
      <c r="T42" s="14"/>
      <c r="U42" s="14"/>
    </row>
    <row x14ac:dyDescent="0.25" r="43" customHeight="1" ht="14.25">
      <c r="A43" s="14"/>
      <c r="B43" s="1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14"/>
      <c r="N43" s="14"/>
      <c r="O43" s="14"/>
      <c r="P43" s="28"/>
      <c r="Q43" s="28"/>
      <c r="R43" s="14"/>
      <c r="S43" s="14"/>
      <c r="T43" s="14"/>
      <c r="U43" s="14"/>
    </row>
    <row x14ac:dyDescent="0.25" r="44" customHeight="1" ht="14.25">
      <c r="A44" s="14"/>
      <c r="B44" s="14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14"/>
      <c r="N44" s="14"/>
      <c r="O44" s="14"/>
      <c r="P44" s="28"/>
      <c r="Q44" s="28"/>
      <c r="R44" s="14"/>
      <c r="S44" s="14"/>
      <c r="T44" s="14"/>
      <c r="U44" s="14"/>
    </row>
    <row x14ac:dyDescent="0.25" r="45" customHeight="1" ht="14.25">
      <c r="A45" s="14"/>
      <c r="B45" s="14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14"/>
      <c r="N45" s="14"/>
      <c r="O45" s="14"/>
      <c r="P45" s="28"/>
      <c r="Q45" s="28"/>
      <c r="R45" s="14"/>
      <c r="S45" s="14"/>
      <c r="T45" s="14"/>
      <c r="U45" s="14"/>
    </row>
    <row x14ac:dyDescent="0.25" r="46" customHeight="1" ht="14.25">
      <c r="A46" s="14"/>
      <c r="B46" s="14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14"/>
      <c r="N46" s="14"/>
      <c r="O46" s="14"/>
      <c r="P46" s="28"/>
      <c r="Q46" s="28"/>
      <c r="R46" s="14"/>
      <c r="S46" s="14"/>
      <c r="T46" s="14"/>
      <c r="U46" s="14"/>
    </row>
    <row x14ac:dyDescent="0.25" r="47" customHeight="1" ht="14.25">
      <c r="A47" s="14"/>
      <c r="B47" s="14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14"/>
      <c r="N47" s="14"/>
      <c r="O47" s="14"/>
      <c r="P47" s="28"/>
      <c r="Q47" s="28"/>
      <c r="R47" s="14"/>
      <c r="S47" s="14"/>
      <c r="T47" s="14"/>
      <c r="U47" s="14"/>
    </row>
    <row x14ac:dyDescent="0.25" r="48" customHeight="1" ht="14.25">
      <c r="A48" s="14"/>
      <c r="B48" s="14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14"/>
      <c r="N48" s="14"/>
      <c r="O48" s="14"/>
      <c r="P48" s="28"/>
      <c r="Q48" s="28"/>
      <c r="R48" s="14"/>
      <c r="S48" s="14"/>
      <c r="T48" s="14"/>
      <c r="U48" s="14"/>
    </row>
    <row x14ac:dyDescent="0.25" r="49" customHeight="1" ht="14.25">
      <c r="A49" s="14"/>
      <c r="B49" s="14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14"/>
      <c r="N49" s="14"/>
      <c r="O49" s="14"/>
      <c r="P49" s="28"/>
      <c r="Q49" s="28"/>
      <c r="R49" s="14"/>
      <c r="S49" s="14"/>
      <c r="T49" s="14"/>
      <c r="U49" s="14"/>
    </row>
    <row x14ac:dyDescent="0.25" r="50" customHeight="1" ht="14.25">
      <c r="A50" s="14"/>
      <c r="B50" s="14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14"/>
      <c r="N50" s="14"/>
      <c r="O50" s="14"/>
      <c r="P50" s="28"/>
      <c r="Q50" s="28"/>
      <c r="R50" s="14"/>
      <c r="S50" s="14"/>
      <c r="T50" s="14"/>
      <c r="U50" s="14"/>
    </row>
    <row x14ac:dyDescent="0.25" r="51" customHeight="1" ht="14.25">
      <c r="A51" s="14"/>
      <c r="B51" s="14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14"/>
      <c r="N51" s="14"/>
      <c r="O51" s="14"/>
      <c r="P51" s="28"/>
      <c r="Q51" s="28"/>
      <c r="R51" s="14"/>
      <c r="S51" s="14"/>
      <c r="T51" s="14"/>
      <c r="U51" s="14"/>
    </row>
    <row x14ac:dyDescent="0.25" r="52" customHeight="1" ht="14.25">
      <c r="A52" s="14"/>
      <c r="B52" s="14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14"/>
      <c r="N52" s="14"/>
      <c r="O52" s="14"/>
      <c r="P52" s="28"/>
      <c r="Q52" s="28"/>
      <c r="R52" s="14"/>
      <c r="S52" s="14"/>
      <c r="T52" s="14"/>
      <c r="U52" s="14"/>
    </row>
    <row x14ac:dyDescent="0.25" r="53" customHeight="1" ht="14.25">
      <c r="A53" s="14"/>
      <c r="B53" s="14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14"/>
      <c r="N53" s="14"/>
      <c r="O53" s="14"/>
      <c r="P53" s="28"/>
      <c r="Q53" s="28"/>
      <c r="R53" s="14"/>
      <c r="S53" s="14"/>
      <c r="T53" s="14"/>
      <c r="U53" s="14"/>
    </row>
    <row x14ac:dyDescent="0.25" r="54" customHeight="1" ht="14.25">
      <c r="A54" s="14"/>
      <c r="B54" s="14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14"/>
      <c r="N54" s="14"/>
      <c r="O54" s="14"/>
      <c r="P54" s="28"/>
      <c r="Q54" s="28"/>
      <c r="R54" s="14"/>
      <c r="S54" s="14"/>
      <c r="T54" s="14"/>
      <c r="U54" s="14"/>
    </row>
    <row x14ac:dyDescent="0.25" r="55" customHeight="1" ht="14.25">
      <c r="A55" s="14"/>
      <c r="B55" s="14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14"/>
      <c r="N55" s="14"/>
      <c r="O55" s="14"/>
      <c r="P55" s="28"/>
      <c r="Q55" s="28"/>
      <c r="R55" s="14"/>
      <c r="S55" s="14"/>
      <c r="T55" s="14"/>
      <c r="U55" s="14"/>
    </row>
    <row x14ac:dyDescent="0.25" r="56" customHeight="1" ht="14.25">
      <c r="A56" s="14"/>
      <c r="B56" s="14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14"/>
      <c r="N56" s="14"/>
      <c r="O56" s="14"/>
      <c r="P56" s="28"/>
      <c r="Q56" s="28"/>
      <c r="R56" s="14"/>
      <c r="S56" s="14"/>
      <c r="T56" s="14"/>
      <c r="U56" s="14"/>
    </row>
    <row x14ac:dyDescent="0.25" r="57" customHeight="1" ht="14.25">
      <c r="A57" s="14"/>
      <c r="B57" s="14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14"/>
      <c r="N57" s="14"/>
      <c r="O57" s="14"/>
      <c r="P57" s="28"/>
      <c r="Q57" s="28"/>
      <c r="R57" s="14"/>
      <c r="S57" s="14"/>
      <c r="T57" s="14"/>
      <c r="U57" s="14"/>
    </row>
    <row x14ac:dyDescent="0.25" r="58" customHeight="1" ht="14.25">
      <c r="A58" s="14"/>
      <c r="B58" s="14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14"/>
      <c r="N58" s="14"/>
      <c r="O58" s="14"/>
      <c r="P58" s="28"/>
      <c r="Q58" s="28"/>
      <c r="R58" s="14"/>
      <c r="S58" s="14"/>
      <c r="T58" s="14"/>
      <c r="U58" s="14"/>
    </row>
    <row x14ac:dyDescent="0.25" r="59" customHeight="1" ht="14.25">
      <c r="A59" s="14"/>
      <c r="B59" s="14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14"/>
      <c r="N59" s="14"/>
      <c r="O59" s="14"/>
      <c r="P59" s="28"/>
      <c r="Q59" s="28"/>
      <c r="R59" s="14"/>
      <c r="S59" s="14"/>
      <c r="T59" s="14"/>
      <c r="U59" s="14"/>
    </row>
    <row x14ac:dyDescent="0.25" r="60" customHeight="1" ht="14.25">
      <c r="A60" s="14"/>
      <c r="B60" s="14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14"/>
      <c r="N60" s="14"/>
      <c r="O60" s="14"/>
      <c r="P60" s="28"/>
      <c r="Q60" s="28"/>
      <c r="R60" s="14"/>
      <c r="S60" s="14"/>
      <c r="T60" s="14"/>
      <c r="U60" s="14"/>
    </row>
    <row x14ac:dyDescent="0.25" r="61" customHeight="1" ht="14.25">
      <c r="A61" s="14"/>
      <c r="B61" s="14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14"/>
      <c r="N61" s="14"/>
      <c r="O61" s="14"/>
      <c r="P61" s="28"/>
      <c r="Q61" s="28"/>
      <c r="R61" s="14"/>
      <c r="S61" s="14"/>
      <c r="T61" s="14"/>
      <c r="U61" s="14"/>
    </row>
    <row x14ac:dyDescent="0.25" r="62" customHeight="1" ht="14.25">
      <c r="A62" s="14"/>
      <c r="B62" s="14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14"/>
      <c r="N62" s="14"/>
      <c r="O62" s="14"/>
      <c r="P62" s="28"/>
      <c r="Q62" s="28"/>
      <c r="R62" s="14"/>
      <c r="S62" s="14"/>
      <c r="T62" s="14"/>
      <c r="U62" s="14"/>
    </row>
    <row x14ac:dyDescent="0.25" r="63" customHeight="1" ht="14.25">
      <c r="A63" s="14"/>
      <c r="B63" s="14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14"/>
      <c r="N63" s="14"/>
      <c r="O63" s="14"/>
      <c r="P63" s="28"/>
      <c r="Q63" s="28"/>
      <c r="R63" s="14"/>
      <c r="S63" s="14"/>
      <c r="T63" s="14"/>
      <c r="U63" s="14"/>
    </row>
    <row x14ac:dyDescent="0.25" r="64" customHeight="1" ht="14.25">
      <c r="A64" s="14"/>
      <c r="B64" s="14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14"/>
      <c r="N64" s="14"/>
      <c r="O64" s="14"/>
      <c r="P64" s="28"/>
      <c r="Q64" s="28"/>
      <c r="R64" s="14"/>
      <c r="S64" s="14"/>
      <c r="T64" s="14"/>
      <c r="U64" s="14"/>
    </row>
    <row x14ac:dyDescent="0.25" r="65" customHeight="1" ht="14.25">
      <c r="A65" s="14"/>
      <c r="B65" s="14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14"/>
      <c r="N65" s="14"/>
      <c r="O65" s="14"/>
      <c r="P65" s="28"/>
      <c r="Q65" s="28"/>
      <c r="R65" s="14"/>
      <c r="S65" s="14"/>
      <c r="T65" s="14"/>
      <c r="U65" s="14"/>
    </row>
    <row x14ac:dyDescent="0.25" r="66" customHeight="1" ht="14.25">
      <c r="A66" s="14"/>
      <c r="B66" s="14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14"/>
      <c r="N66" s="14"/>
      <c r="O66" s="14"/>
      <c r="P66" s="28"/>
      <c r="Q66" s="28"/>
      <c r="R66" s="14"/>
      <c r="S66" s="14"/>
      <c r="T66" s="14"/>
      <c r="U66" s="14"/>
    </row>
    <row x14ac:dyDescent="0.25" r="67" customHeight="1" ht="14.25">
      <c r="A67" s="14"/>
      <c r="B67" s="14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14"/>
      <c r="N67" s="14"/>
      <c r="O67" s="14"/>
      <c r="P67" s="28"/>
      <c r="Q67" s="28"/>
      <c r="R67" s="14"/>
      <c r="S67" s="14"/>
      <c r="T67" s="14"/>
      <c r="U67" s="14"/>
    </row>
    <row x14ac:dyDescent="0.25" r="68" customHeight="1" ht="14.25">
      <c r="A68" s="14"/>
      <c r="B68" s="14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14"/>
      <c r="N68" s="14"/>
      <c r="O68" s="14"/>
      <c r="P68" s="28"/>
      <c r="Q68" s="28"/>
      <c r="R68" s="14"/>
      <c r="S68" s="14"/>
      <c r="T68" s="14"/>
      <c r="U68" s="14"/>
    </row>
    <row x14ac:dyDescent="0.25" r="69" customHeight="1" ht="14.25">
      <c r="A69" s="14"/>
      <c r="B69" s="14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14"/>
      <c r="N69" s="14"/>
      <c r="O69" s="14"/>
      <c r="P69" s="28"/>
      <c r="Q69" s="28"/>
      <c r="R69" s="14"/>
      <c r="S69" s="14"/>
      <c r="T69" s="14"/>
      <c r="U69" s="14"/>
    </row>
    <row x14ac:dyDescent="0.25" r="70" customHeight="1" ht="14.25">
      <c r="A70" s="14"/>
      <c r="B70" s="14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14"/>
      <c r="N70" s="14"/>
      <c r="O70" s="14"/>
      <c r="P70" s="28"/>
      <c r="Q70" s="28"/>
      <c r="R70" s="14"/>
      <c r="S70" s="14"/>
      <c r="T70" s="14"/>
      <c r="U70" s="14"/>
    </row>
    <row x14ac:dyDescent="0.25" r="71" customHeight="1" ht="14.25">
      <c r="A71" s="14"/>
      <c r="B71" s="14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14"/>
      <c r="N71" s="14"/>
      <c r="O71" s="14"/>
      <c r="P71" s="28"/>
      <c r="Q71" s="28"/>
      <c r="R71" s="14"/>
      <c r="S71" s="14"/>
      <c r="T71" s="14"/>
      <c r="U71" s="14"/>
    </row>
    <row x14ac:dyDescent="0.25" r="72" customHeight="1" ht="14.25">
      <c r="A72" s="14"/>
      <c r="B72" s="14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14"/>
      <c r="N72" s="14"/>
      <c r="O72" s="14"/>
      <c r="P72" s="28"/>
      <c r="Q72" s="28"/>
      <c r="R72" s="14"/>
      <c r="S72" s="14"/>
      <c r="T72" s="14"/>
      <c r="U72" s="14"/>
    </row>
    <row x14ac:dyDescent="0.25" r="73" customHeight="1" ht="14.25">
      <c r="A73" s="14"/>
      <c r="B73" s="14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14"/>
      <c r="N73" s="14"/>
      <c r="O73" s="14"/>
      <c r="P73" s="28"/>
      <c r="Q73" s="28"/>
      <c r="R73" s="14"/>
      <c r="S73" s="14"/>
      <c r="T73" s="14"/>
      <c r="U73" s="14"/>
    </row>
    <row x14ac:dyDescent="0.25" r="74" customHeight="1" ht="12.75">
      <c r="A74" s="4"/>
      <c r="B74" s="29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29"/>
      <c r="N74" s="29"/>
      <c r="O74" s="29"/>
      <c r="P74" s="32"/>
      <c r="Q74" s="32"/>
      <c r="R74" s="4"/>
      <c r="S74" s="4"/>
      <c r="T74" s="4"/>
      <c r="U74" s="4"/>
    </row>
    <row x14ac:dyDescent="0.25" r="75" customHeight="1" ht="12.75">
      <c r="A75" s="4"/>
      <c r="B75" s="29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29"/>
      <c r="N75" s="29"/>
      <c r="O75" s="29"/>
      <c r="P75" s="32"/>
      <c r="Q75" s="32"/>
      <c r="R75" s="4"/>
      <c r="S75" s="4"/>
      <c r="T75" s="4"/>
      <c r="U75" s="4"/>
    </row>
    <row x14ac:dyDescent="0.25" r="76" customHeight="1" ht="12.75">
      <c r="A76" s="4"/>
      <c r="B76" s="29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29"/>
      <c r="N76" s="29"/>
      <c r="O76" s="29"/>
      <c r="P76" s="32"/>
      <c r="Q76" s="32"/>
      <c r="R76" s="4"/>
      <c r="S76" s="4"/>
      <c r="T76" s="4"/>
      <c r="U76" s="4"/>
    </row>
    <row x14ac:dyDescent="0.25" r="77" customHeight="1" ht="12.75">
      <c r="A77" s="4"/>
      <c r="B77" s="29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29"/>
      <c r="N77" s="29"/>
      <c r="O77" s="29"/>
      <c r="P77" s="32"/>
      <c r="Q77" s="32"/>
      <c r="R77" s="4"/>
      <c r="S77" s="4"/>
      <c r="T77" s="4"/>
      <c r="U77" s="4"/>
    </row>
    <row x14ac:dyDescent="0.25" r="78" customHeight="1" ht="12.75">
      <c r="A78" s="4"/>
      <c r="B78" s="29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29"/>
      <c r="N78" s="29"/>
      <c r="O78" s="29"/>
      <c r="P78" s="32"/>
      <c r="Q78" s="32"/>
      <c r="R78" s="4"/>
      <c r="S78" s="4"/>
      <c r="T78" s="4"/>
      <c r="U78" s="4"/>
    </row>
    <row x14ac:dyDescent="0.25" r="79" customHeight="1" ht="12.75">
      <c r="A79" s="4"/>
      <c r="B79" s="29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29"/>
      <c r="N79" s="29"/>
      <c r="O79" s="29"/>
      <c r="P79" s="32"/>
      <c r="Q79" s="32"/>
      <c r="R79" s="4"/>
      <c r="S79" s="4"/>
      <c r="T79" s="4"/>
      <c r="U79" s="4"/>
    </row>
    <row x14ac:dyDescent="0.25" r="80" customHeight="1" ht="12.75">
      <c r="A80" s="4"/>
      <c r="B80" s="29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29"/>
      <c r="N80" s="29"/>
      <c r="O80" s="29"/>
      <c r="P80" s="32"/>
      <c r="Q80" s="32"/>
      <c r="R80" s="4"/>
      <c r="S80" s="4"/>
      <c r="T80" s="4"/>
      <c r="U80" s="4"/>
    </row>
    <row x14ac:dyDescent="0.25" r="81" customHeight="1" ht="12.75">
      <c r="A81" s="4"/>
      <c r="B81" s="29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29"/>
      <c r="N81" s="29"/>
      <c r="O81" s="29"/>
      <c r="P81" s="32"/>
      <c r="Q81" s="32"/>
      <c r="R81" s="4"/>
      <c r="S81" s="4"/>
      <c r="T81" s="4"/>
      <c r="U81" s="4"/>
    </row>
    <row x14ac:dyDescent="0.25" r="82" customHeight="1" ht="12.75">
      <c r="A82" s="4"/>
      <c r="B82" s="29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29"/>
      <c r="N82" s="29"/>
      <c r="O82" s="29"/>
      <c r="P82" s="32"/>
      <c r="Q82" s="32"/>
      <c r="R82" s="4"/>
      <c r="S82" s="4"/>
      <c r="T82" s="4"/>
      <c r="U82" s="4"/>
    </row>
    <row x14ac:dyDescent="0.25" r="83" customHeight="1" ht="12.75">
      <c r="A83" s="4"/>
      <c r="B83" s="29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29"/>
      <c r="N83" s="29"/>
      <c r="O83" s="29"/>
      <c r="P83" s="32"/>
      <c r="Q83" s="32"/>
      <c r="R83" s="4"/>
      <c r="S83" s="4"/>
      <c r="T83" s="4"/>
      <c r="U83" s="4"/>
    </row>
    <row x14ac:dyDescent="0.25" r="84" customHeight="1" ht="12.75">
      <c r="A84" s="4"/>
      <c r="B84" s="29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29"/>
      <c r="N84" s="29"/>
      <c r="O84" s="29"/>
      <c r="P84" s="32"/>
      <c r="Q84" s="32"/>
      <c r="R84" s="4"/>
      <c r="S84" s="4"/>
      <c r="T84" s="4"/>
      <c r="U84" s="4"/>
    </row>
    <row x14ac:dyDescent="0.25" r="85" customHeight="1" ht="12.75">
      <c r="A85" s="4"/>
      <c r="B85" s="29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29"/>
      <c r="N85" s="29"/>
      <c r="O85" s="29"/>
      <c r="P85" s="32"/>
      <c r="Q85" s="32"/>
      <c r="R85" s="4"/>
      <c r="S85" s="4"/>
      <c r="T85" s="4"/>
      <c r="U85" s="4"/>
    </row>
    <row x14ac:dyDescent="0.25" r="86" customHeight="1" ht="12.75">
      <c r="A86" s="4"/>
      <c r="B86" s="29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29"/>
      <c r="N86" s="29"/>
      <c r="O86" s="29"/>
      <c r="P86" s="32"/>
      <c r="Q86" s="32"/>
      <c r="R86" s="4"/>
      <c r="S86" s="4"/>
      <c r="T86" s="4"/>
      <c r="U86" s="4"/>
    </row>
    <row x14ac:dyDescent="0.25" r="87" customHeight="1" ht="12.75">
      <c r="A87" s="4"/>
      <c r="B87" s="29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29"/>
      <c r="N87" s="29"/>
      <c r="O87" s="29"/>
      <c r="P87" s="32"/>
      <c r="Q87" s="32"/>
      <c r="R87" s="4"/>
      <c r="S87" s="4"/>
      <c r="T87" s="4"/>
      <c r="U87" s="4"/>
    </row>
    <row x14ac:dyDescent="0.25" r="88" customHeight="1" ht="12.75">
      <c r="A88" s="4"/>
      <c r="B88" s="29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29"/>
      <c r="N88" s="29"/>
      <c r="O88" s="29"/>
      <c r="P88" s="32"/>
      <c r="Q88" s="32"/>
      <c r="R88" s="4"/>
      <c r="S88" s="4"/>
      <c r="T88" s="4"/>
      <c r="U88" s="4"/>
    </row>
    <row x14ac:dyDescent="0.25" r="89" customHeight="1" ht="12.75">
      <c r="A89" s="4"/>
      <c r="B89" s="29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29"/>
      <c r="N89" s="29"/>
      <c r="O89" s="29"/>
      <c r="P89" s="32"/>
      <c r="Q89" s="32"/>
      <c r="R89" s="4"/>
      <c r="S89" s="4"/>
      <c r="T89" s="4"/>
      <c r="U89" s="4"/>
    </row>
    <row x14ac:dyDescent="0.25" r="90" customHeight="1" ht="12.75">
      <c r="A90" s="4"/>
      <c r="B90" s="29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29"/>
      <c r="N90" s="29"/>
      <c r="O90" s="29"/>
      <c r="P90" s="32"/>
      <c r="Q90" s="32"/>
      <c r="R90" s="4"/>
      <c r="S90" s="4"/>
      <c r="T90" s="4"/>
      <c r="U90" s="4"/>
    </row>
    <row x14ac:dyDescent="0.25" r="91" customHeight="1" ht="12.75">
      <c r="A91" s="4"/>
      <c r="B91" s="29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29"/>
      <c r="N91" s="29"/>
      <c r="O91" s="29"/>
      <c r="P91" s="32"/>
      <c r="Q91" s="32"/>
      <c r="R91" s="4"/>
      <c r="S91" s="4"/>
      <c r="T91" s="4"/>
      <c r="U91" s="4"/>
    </row>
    <row x14ac:dyDescent="0.25" r="92" customHeight="1" ht="12.75">
      <c r="A92" s="4"/>
      <c r="B92" s="29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29"/>
      <c r="N92" s="29"/>
      <c r="O92" s="29"/>
      <c r="P92" s="32"/>
      <c r="Q92" s="32"/>
      <c r="R92" s="4"/>
      <c r="S92" s="4"/>
      <c r="T92" s="4"/>
      <c r="U92" s="4"/>
    </row>
    <row x14ac:dyDescent="0.25" r="93" customHeight="1" ht="12.75">
      <c r="A93" s="4"/>
      <c r="B93" s="29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29"/>
      <c r="N93" s="29"/>
      <c r="O93" s="29"/>
      <c r="P93" s="32"/>
      <c r="Q93" s="32"/>
      <c r="R93" s="4"/>
      <c r="S93" s="4"/>
      <c r="T93" s="4"/>
      <c r="U93" s="4"/>
    </row>
    <row x14ac:dyDescent="0.25" r="94" customHeight="1" ht="12.75">
      <c r="A94" s="4"/>
      <c r="B94" s="29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29"/>
      <c r="N94" s="29"/>
      <c r="O94" s="29"/>
      <c r="P94" s="32"/>
      <c r="Q94" s="32"/>
      <c r="R94" s="4"/>
      <c r="S94" s="4"/>
      <c r="T94" s="4"/>
      <c r="U94" s="4"/>
    </row>
    <row x14ac:dyDescent="0.25" r="95" customHeight="1" ht="12.75">
      <c r="A95" s="4"/>
      <c r="B95" s="29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29"/>
      <c r="N95" s="29"/>
      <c r="O95" s="29"/>
      <c r="P95" s="32"/>
      <c r="Q95" s="32"/>
      <c r="R95" s="4"/>
      <c r="S95" s="4"/>
      <c r="T95" s="4"/>
      <c r="U95" s="4"/>
    </row>
    <row x14ac:dyDescent="0.25" r="96" customHeight="1" ht="12.75">
      <c r="A96" s="4"/>
      <c r="B96" s="29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29"/>
      <c r="N96" s="29"/>
      <c r="O96" s="29"/>
      <c r="P96" s="32"/>
      <c r="Q96" s="32"/>
      <c r="R96" s="4"/>
      <c r="S96" s="4"/>
      <c r="T96" s="4"/>
      <c r="U96" s="4"/>
    </row>
    <row x14ac:dyDescent="0.25" r="97" customHeight="1" ht="12.75">
      <c r="A97" s="4"/>
      <c r="B97" s="29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29"/>
      <c r="N97" s="29"/>
      <c r="O97" s="29"/>
      <c r="P97" s="32"/>
      <c r="Q97" s="32"/>
      <c r="R97" s="4"/>
      <c r="S97" s="4"/>
      <c r="T97" s="4"/>
      <c r="U97" s="4"/>
    </row>
    <row x14ac:dyDescent="0.25" r="98" customHeight="1" ht="12.75">
      <c r="A98" s="4"/>
      <c r="B98" s="29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29"/>
      <c r="N98" s="29"/>
      <c r="O98" s="29"/>
      <c r="P98" s="32"/>
      <c r="Q98" s="32"/>
      <c r="R98" s="4"/>
      <c r="S98" s="4"/>
      <c r="T98" s="4"/>
      <c r="U98" s="4"/>
    </row>
    <row x14ac:dyDescent="0.25" r="99" customHeight="1" ht="12.75">
      <c r="A99" s="4"/>
      <c r="B99" s="29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29"/>
      <c r="N99" s="29"/>
      <c r="O99" s="29"/>
      <c r="P99" s="32"/>
      <c r="Q99" s="32"/>
      <c r="R99" s="4"/>
      <c r="S99" s="4"/>
      <c r="T99" s="4"/>
      <c r="U99" s="4"/>
    </row>
    <row x14ac:dyDescent="0.25" r="100" customHeight="1" ht="12.75">
      <c r="A100" s="4"/>
      <c r="B100" s="29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29"/>
      <c r="N100" s="29"/>
      <c r="O100" s="29"/>
      <c r="P100" s="32"/>
      <c r="Q100" s="32"/>
      <c r="R100" s="4"/>
      <c r="S100" s="4"/>
      <c r="T100" s="4"/>
      <c r="U100" s="4"/>
    </row>
    <row x14ac:dyDescent="0.25" r="101" customHeight="1" ht="12.75">
      <c r="A101" s="4"/>
      <c r="B101" s="29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29"/>
      <c r="N101" s="29"/>
      <c r="O101" s="29"/>
      <c r="P101" s="32"/>
      <c r="Q101" s="32"/>
      <c r="R101" s="4"/>
      <c r="S101" s="4"/>
      <c r="T101" s="4"/>
      <c r="U101" s="4"/>
    </row>
    <row x14ac:dyDescent="0.25" r="102" customHeight="1" ht="12.75">
      <c r="A102" s="4"/>
      <c r="B102" s="29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29"/>
      <c r="N102" s="29"/>
      <c r="O102" s="29"/>
      <c r="P102" s="32"/>
      <c r="Q102" s="32"/>
      <c r="R102" s="4"/>
      <c r="S102" s="4"/>
      <c r="T102" s="4"/>
      <c r="U102" s="4"/>
    </row>
    <row x14ac:dyDescent="0.25" r="103" customHeight="1" ht="12.75">
      <c r="A103" s="4"/>
      <c r="B103" s="29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29"/>
      <c r="N103" s="29"/>
      <c r="O103" s="29"/>
      <c r="P103" s="32"/>
      <c r="Q103" s="32"/>
      <c r="R103" s="4"/>
      <c r="S103" s="4"/>
      <c r="T103" s="4"/>
      <c r="U103" s="4"/>
    </row>
    <row x14ac:dyDescent="0.25" r="104" customHeight="1" ht="12.75">
      <c r="A104" s="4"/>
      <c r="B104" s="29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29"/>
      <c r="N104" s="29"/>
      <c r="O104" s="29"/>
      <c r="P104" s="32"/>
      <c r="Q104" s="32"/>
      <c r="R104" s="4"/>
      <c r="S104" s="4"/>
      <c r="T104" s="4"/>
      <c r="U104" s="4"/>
    </row>
    <row x14ac:dyDescent="0.25" r="105" customHeight="1" ht="12.75">
      <c r="A105" s="4"/>
      <c r="B105" s="29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29"/>
      <c r="N105" s="29"/>
      <c r="O105" s="29"/>
      <c r="P105" s="32"/>
      <c r="Q105" s="32"/>
      <c r="R105" s="4"/>
      <c r="S105" s="4"/>
      <c r="T105" s="4"/>
      <c r="U105" s="4"/>
    </row>
    <row x14ac:dyDescent="0.25" r="106" customHeight="1" ht="12.75">
      <c r="A106" s="4"/>
      <c r="B106" s="29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29"/>
      <c r="N106" s="29"/>
      <c r="O106" s="29"/>
      <c r="P106" s="32"/>
      <c r="Q106" s="32"/>
      <c r="R106" s="4"/>
      <c r="S106" s="4"/>
      <c r="T106" s="4"/>
      <c r="U106" s="4"/>
    </row>
    <row x14ac:dyDescent="0.25" r="107" customHeight="1" ht="12.75">
      <c r="A107" s="4"/>
      <c r="B107" s="29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29"/>
      <c r="N107" s="29"/>
      <c r="O107" s="29"/>
      <c r="P107" s="32"/>
      <c r="Q107" s="32"/>
      <c r="R107" s="4"/>
      <c r="S107" s="4"/>
      <c r="T107" s="4"/>
      <c r="U107" s="4"/>
    </row>
    <row x14ac:dyDescent="0.25" r="108" customHeight="1" ht="12.75">
      <c r="A108" s="4"/>
      <c r="B108" s="29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29"/>
      <c r="N108" s="29"/>
      <c r="O108" s="29"/>
      <c r="P108" s="32"/>
      <c r="Q108" s="32"/>
      <c r="R108" s="4"/>
      <c r="S108" s="4"/>
      <c r="T108" s="4"/>
      <c r="U108" s="4"/>
    </row>
    <row x14ac:dyDescent="0.25" r="109" customHeight="1" ht="12.75">
      <c r="A109" s="4"/>
      <c r="B109" s="29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29"/>
      <c r="N109" s="29"/>
      <c r="O109" s="29"/>
      <c r="P109" s="32"/>
      <c r="Q109" s="32"/>
      <c r="R109" s="4"/>
      <c r="S109" s="4"/>
      <c r="T109" s="4"/>
      <c r="U109" s="4"/>
    </row>
    <row x14ac:dyDescent="0.25" r="110" customHeight="1" ht="12.75">
      <c r="A110" s="4"/>
      <c r="B110" s="29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29"/>
      <c r="N110" s="29"/>
      <c r="O110" s="29"/>
      <c r="P110" s="32"/>
      <c r="Q110" s="32"/>
      <c r="R110" s="4"/>
      <c r="S110" s="4"/>
      <c r="T110" s="4"/>
      <c r="U110" s="4"/>
    </row>
    <row x14ac:dyDescent="0.25" r="111" customHeight="1" ht="12.75">
      <c r="A111" s="4"/>
      <c r="B111" s="29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29"/>
      <c r="N111" s="29"/>
      <c r="O111" s="29"/>
      <c r="P111" s="32"/>
      <c r="Q111" s="32"/>
      <c r="R111" s="4"/>
      <c r="S111" s="4"/>
      <c r="T111" s="4"/>
      <c r="U111" s="4"/>
    </row>
    <row x14ac:dyDescent="0.25" r="112" customHeight="1" ht="12.75">
      <c r="A112" s="4"/>
      <c r="B112" s="29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29"/>
      <c r="N112" s="29"/>
      <c r="O112" s="29"/>
      <c r="P112" s="32"/>
      <c r="Q112" s="32"/>
      <c r="R112" s="4"/>
      <c r="S112" s="4"/>
      <c r="T112" s="4"/>
      <c r="U112" s="4"/>
    </row>
    <row x14ac:dyDescent="0.25" r="113" customHeight="1" ht="12.75">
      <c r="A113" s="4"/>
      <c r="B113" s="29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29"/>
      <c r="N113" s="29"/>
      <c r="O113" s="29"/>
      <c r="P113" s="32"/>
      <c r="Q113" s="32"/>
      <c r="R113" s="4"/>
      <c r="S113" s="4"/>
      <c r="T113" s="4"/>
      <c r="U113" s="4"/>
    </row>
    <row x14ac:dyDescent="0.25" r="114" customHeight="1" ht="12.75">
      <c r="A114" s="4"/>
      <c r="B114" s="29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29"/>
      <c r="N114" s="29"/>
      <c r="O114" s="29"/>
      <c r="P114" s="32"/>
      <c r="Q114" s="32"/>
      <c r="R114" s="4"/>
      <c r="S114" s="4"/>
      <c r="T114" s="4"/>
      <c r="U114" s="4"/>
    </row>
    <row x14ac:dyDescent="0.25" r="115" customHeight="1" ht="12.75">
      <c r="A115" s="4"/>
      <c r="B115" s="29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29"/>
      <c r="N115" s="29"/>
      <c r="O115" s="29"/>
      <c r="P115" s="32"/>
      <c r="Q115" s="32"/>
      <c r="R115" s="4"/>
      <c r="S115" s="4"/>
      <c r="T115" s="4"/>
      <c r="U115" s="4"/>
    </row>
    <row x14ac:dyDescent="0.25" r="116" customHeight="1" ht="12.75">
      <c r="A116" s="4"/>
      <c r="B116" s="29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29"/>
      <c r="N116" s="29"/>
      <c r="O116" s="29"/>
      <c r="P116" s="32"/>
      <c r="Q116" s="32"/>
      <c r="R116" s="4"/>
      <c r="S116" s="4"/>
      <c r="T116" s="4"/>
      <c r="U116" s="4"/>
    </row>
    <row x14ac:dyDescent="0.25" r="117" customHeight="1" ht="12.75">
      <c r="A117" s="4"/>
      <c r="B117" s="29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29"/>
      <c r="N117" s="29"/>
      <c r="O117" s="29"/>
      <c r="P117" s="32"/>
      <c r="Q117" s="32"/>
      <c r="R117" s="4"/>
      <c r="S117" s="4"/>
      <c r="T117" s="4"/>
      <c r="U117" s="4"/>
    </row>
    <row x14ac:dyDescent="0.25" r="118" customHeight="1" ht="12.75">
      <c r="A118" s="4"/>
      <c r="B118" s="29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29"/>
      <c r="N118" s="29"/>
      <c r="O118" s="29"/>
      <c r="P118" s="32"/>
      <c r="Q118" s="32"/>
      <c r="R118" s="4"/>
      <c r="S118" s="4"/>
      <c r="T118" s="4"/>
      <c r="U118" s="4"/>
    </row>
    <row x14ac:dyDescent="0.25" r="119" customHeight="1" ht="12.75">
      <c r="A119" s="4"/>
      <c r="B119" s="29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29"/>
      <c r="N119" s="29"/>
      <c r="O119" s="29"/>
      <c r="P119" s="32"/>
      <c r="Q119" s="32"/>
      <c r="R119" s="4"/>
      <c r="S119" s="4"/>
      <c r="T119" s="4"/>
      <c r="U119" s="4"/>
    </row>
    <row x14ac:dyDescent="0.25" r="120" customHeight="1" ht="12.75">
      <c r="A120" s="4"/>
      <c r="B120" s="29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29"/>
      <c r="N120" s="29"/>
      <c r="O120" s="29"/>
      <c r="P120" s="32"/>
      <c r="Q120" s="32"/>
      <c r="R120" s="4"/>
      <c r="S120" s="4"/>
      <c r="T120" s="4"/>
      <c r="U120" s="4"/>
    </row>
    <row x14ac:dyDescent="0.25" r="121" customHeight="1" ht="12.75">
      <c r="A121" s="4"/>
      <c r="B121" s="29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29"/>
      <c r="N121" s="29"/>
      <c r="O121" s="29"/>
      <c r="P121" s="32"/>
      <c r="Q121" s="32"/>
      <c r="R121" s="4"/>
      <c r="S121" s="4"/>
      <c r="T121" s="4"/>
      <c r="U121" s="4"/>
    </row>
    <row x14ac:dyDescent="0.25" r="122" customHeight="1" ht="12.75">
      <c r="A122" s="4"/>
      <c r="B122" s="29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29"/>
      <c r="N122" s="29"/>
      <c r="O122" s="29"/>
      <c r="P122" s="32"/>
      <c r="Q122" s="32"/>
      <c r="R122" s="4"/>
      <c r="S122" s="4"/>
      <c r="T122" s="4"/>
      <c r="U122" s="4"/>
    </row>
    <row x14ac:dyDescent="0.25" r="123" customHeight="1" ht="12.75">
      <c r="A123" s="4"/>
      <c r="B123" s="29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29"/>
      <c r="N123" s="29"/>
      <c r="O123" s="29"/>
      <c r="P123" s="32"/>
      <c r="Q123" s="32"/>
      <c r="R123" s="4"/>
      <c r="S123" s="4"/>
      <c r="T123" s="4"/>
      <c r="U123" s="4"/>
    </row>
    <row x14ac:dyDescent="0.25" r="124" customHeight="1" ht="12.75">
      <c r="A124" s="4"/>
      <c r="B124" s="29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29"/>
      <c r="N124" s="29"/>
      <c r="O124" s="29"/>
      <c r="P124" s="32"/>
      <c r="Q124" s="32"/>
      <c r="R124" s="4"/>
      <c r="S124" s="4"/>
      <c r="T124" s="4"/>
      <c r="U124" s="4"/>
    </row>
    <row x14ac:dyDescent="0.25" r="125" customHeight="1" ht="12.75">
      <c r="A125" s="4"/>
      <c r="B125" s="29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29"/>
      <c r="N125" s="29"/>
      <c r="O125" s="29"/>
      <c r="P125" s="32"/>
      <c r="Q125" s="32"/>
      <c r="R125" s="4"/>
      <c r="S125" s="4"/>
      <c r="T125" s="4"/>
      <c r="U125" s="4"/>
    </row>
    <row x14ac:dyDescent="0.25" r="126" customHeight="1" ht="12.75">
      <c r="A126" s="4"/>
      <c r="B126" s="29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29"/>
      <c r="N126" s="29"/>
      <c r="O126" s="29"/>
      <c r="P126" s="32"/>
      <c r="Q126" s="32"/>
      <c r="R126" s="4"/>
      <c r="S126" s="4"/>
      <c r="T126" s="4"/>
      <c r="U126" s="4"/>
    </row>
    <row x14ac:dyDescent="0.25" r="127" customHeight="1" ht="12.75">
      <c r="A127" s="4"/>
      <c r="B127" s="29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29"/>
      <c r="N127" s="29"/>
      <c r="O127" s="29"/>
      <c r="P127" s="32"/>
      <c r="Q127" s="32"/>
      <c r="R127" s="4"/>
      <c r="S127" s="4"/>
      <c r="T127" s="4"/>
      <c r="U127" s="4"/>
    </row>
    <row x14ac:dyDescent="0.25" r="128" customHeight="1" ht="12.75">
      <c r="A128" s="4"/>
      <c r="B128" s="29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29"/>
      <c r="N128" s="29"/>
      <c r="O128" s="29"/>
      <c r="P128" s="32"/>
      <c r="Q128" s="32"/>
      <c r="R128" s="4"/>
      <c r="S128" s="4"/>
      <c r="T128" s="4"/>
      <c r="U128" s="4"/>
    </row>
    <row x14ac:dyDescent="0.25" r="129" customHeight="1" ht="12.75">
      <c r="A129" s="4"/>
      <c r="B129" s="29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29"/>
      <c r="N129" s="29"/>
      <c r="O129" s="29"/>
      <c r="P129" s="32"/>
      <c r="Q129" s="32"/>
      <c r="R129" s="4"/>
      <c r="S129" s="4"/>
      <c r="T129" s="4"/>
      <c r="U129" s="4"/>
    </row>
    <row x14ac:dyDescent="0.25" r="130" customHeight="1" ht="12.75">
      <c r="A130" s="4"/>
      <c r="B130" s="29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29"/>
      <c r="N130" s="29"/>
      <c r="O130" s="29"/>
      <c r="P130" s="32"/>
      <c r="Q130" s="32"/>
      <c r="R130" s="4"/>
      <c r="S130" s="4"/>
      <c r="T130" s="4"/>
      <c r="U130" s="4"/>
    </row>
    <row x14ac:dyDescent="0.25" r="131" customHeight="1" ht="12.75">
      <c r="A131" s="4"/>
      <c r="B131" s="29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29"/>
      <c r="N131" s="29"/>
      <c r="O131" s="29"/>
      <c r="P131" s="32"/>
      <c r="Q131" s="32"/>
      <c r="R131" s="4"/>
      <c r="S131" s="4"/>
      <c r="T131" s="4"/>
      <c r="U131" s="4"/>
    </row>
    <row x14ac:dyDescent="0.25" r="132" customHeight="1" ht="12.75">
      <c r="A132" s="4"/>
      <c r="B132" s="29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29"/>
      <c r="N132" s="29"/>
      <c r="O132" s="29"/>
      <c r="P132" s="32"/>
      <c r="Q132" s="32"/>
      <c r="R132" s="4"/>
      <c r="S132" s="4"/>
      <c r="T132" s="4"/>
      <c r="U132" s="4"/>
    </row>
    <row x14ac:dyDescent="0.25" r="133" customHeight="1" ht="12.75">
      <c r="A133" s="4"/>
      <c r="B133" s="29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29"/>
      <c r="N133" s="29"/>
      <c r="O133" s="29"/>
      <c r="P133" s="32"/>
      <c r="Q133" s="32"/>
      <c r="R133" s="4"/>
      <c r="S133" s="4"/>
      <c r="T133" s="4"/>
      <c r="U133" s="4"/>
    </row>
    <row x14ac:dyDescent="0.25" r="134" customHeight="1" ht="12.75">
      <c r="A134" s="4"/>
      <c r="B134" s="29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29"/>
      <c r="N134" s="29"/>
      <c r="O134" s="29"/>
      <c r="P134" s="32"/>
      <c r="Q134" s="32"/>
      <c r="R134" s="4"/>
      <c r="S134" s="4"/>
      <c r="T134" s="4"/>
      <c r="U134" s="4"/>
    </row>
    <row x14ac:dyDescent="0.25" r="135" customHeight="1" ht="12.75">
      <c r="A135" s="4"/>
      <c r="B135" s="29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29"/>
      <c r="N135" s="29"/>
      <c r="O135" s="29"/>
      <c r="P135" s="32"/>
      <c r="Q135" s="32"/>
      <c r="R135" s="4"/>
      <c r="S135" s="4"/>
      <c r="T135" s="4"/>
      <c r="U135" s="4"/>
    </row>
    <row x14ac:dyDescent="0.25" r="136" customHeight="1" ht="12.75">
      <c r="A136" s="4"/>
      <c r="B136" s="29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29"/>
      <c r="N136" s="29"/>
      <c r="O136" s="29"/>
      <c r="P136" s="32"/>
      <c r="Q136" s="32"/>
      <c r="R136" s="4"/>
      <c r="S136" s="4"/>
      <c r="T136" s="4"/>
      <c r="U136" s="4"/>
    </row>
    <row x14ac:dyDescent="0.25" r="137" customHeight="1" ht="12.75">
      <c r="A137" s="4"/>
      <c r="B137" s="29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29"/>
      <c r="N137" s="29"/>
      <c r="O137" s="29"/>
      <c r="P137" s="32"/>
      <c r="Q137" s="32"/>
      <c r="R137" s="4"/>
      <c r="S137" s="4"/>
      <c r="T137" s="4"/>
      <c r="U137" s="4"/>
    </row>
    <row x14ac:dyDescent="0.25" r="138" customHeight="1" ht="12.75">
      <c r="A138" s="4"/>
      <c r="B138" s="29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29"/>
      <c r="N138" s="29"/>
      <c r="O138" s="29"/>
      <c r="P138" s="32"/>
      <c r="Q138" s="32"/>
      <c r="R138" s="4"/>
      <c r="S138" s="4"/>
      <c r="T138" s="4"/>
      <c r="U138" s="4"/>
    </row>
    <row x14ac:dyDescent="0.25" r="139" customHeight="1" ht="12.75">
      <c r="A139" s="4"/>
      <c r="B139" s="29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29"/>
      <c r="N139" s="29"/>
      <c r="O139" s="29"/>
      <c r="P139" s="32"/>
      <c r="Q139" s="32"/>
      <c r="R139" s="4"/>
      <c r="S139" s="4"/>
      <c r="T139" s="4"/>
      <c r="U139" s="4"/>
    </row>
    <row x14ac:dyDescent="0.25" r="140" customHeight="1" ht="12.75">
      <c r="A140" s="4"/>
      <c r="B140" s="29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29"/>
      <c r="N140" s="29"/>
      <c r="O140" s="29"/>
      <c r="P140" s="32"/>
      <c r="Q140" s="32"/>
      <c r="R140" s="4"/>
      <c r="S140" s="4"/>
      <c r="T140" s="4"/>
      <c r="U140" s="4"/>
    </row>
    <row x14ac:dyDescent="0.25" r="141" customHeight="1" ht="12.75">
      <c r="A141" s="4"/>
      <c r="B141" s="29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29"/>
      <c r="N141" s="29"/>
      <c r="O141" s="29"/>
      <c r="P141" s="32"/>
      <c r="Q141" s="32"/>
      <c r="R141" s="4"/>
      <c r="S141" s="4"/>
      <c r="T141" s="4"/>
      <c r="U141" s="4"/>
    </row>
    <row x14ac:dyDescent="0.25" r="142" customHeight="1" ht="12.75">
      <c r="A142" s="4"/>
      <c r="B142" s="29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29"/>
      <c r="N142" s="29"/>
      <c r="O142" s="29"/>
      <c r="P142" s="32"/>
      <c r="Q142" s="32"/>
      <c r="R142" s="4"/>
      <c r="S142" s="4"/>
      <c r="T142" s="4"/>
      <c r="U142" s="4"/>
    </row>
    <row x14ac:dyDescent="0.25" r="143" customHeight="1" ht="12.75">
      <c r="A143" s="4"/>
      <c r="B143" s="29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29"/>
      <c r="N143" s="29"/>
      <c r="O143" s="29"/>
      <c r="P143" s="32"/>
      <c r="Q143" s="32"/>
      <c r="R143" s="4"/>
      <c r="S143" s="4"/>
      <c r="T143" s="4"/>
      <c r="U143" s="4"/>
    </row>
    <row x14ac:dyDescent="0.25" r="144" customHeight="1" ht="12.75">
      <c r="A144" s="4"/>
      <c r="B144" s="29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29"/>
      <c r="N144" s="29"/>
      <c r="O144" s="29"/>
      <c r="P144" s="32"/>
      <c r="Q144" s="32"/>
      <c r="R144" s="4"/>
      <c r="S144" s="4"/>
      <c r="T144" s="4"/>
      <c r="U144" s="4"/>
    </row>
    <row x14ac:dyDescent="0.25" r="145" customHeight="1" ht="12.75">
      <c r="A145" s="4"/>
      <c r="B145" s="29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29"/>
      <c r="N145" s="29"/>
      <c r="O145" s="29"/>
      <c r="P145" s="32"/>
      <c r="Q145" s="32"/>
      <c r="R145" s="4"/>
      <c r="S145" s="4"/>
      <c r="T145" s="4"/>
      <c r="U145" s="4"/>
    </row>
    <row x14ac:dyDescent="0.25" r="146" customHeight="1" ht="12.75">
      <c r="A146" s="4"/>
      <c r="B146" s="29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29"/>
      <c r="N146" s="29"/>
      <c r="O146" s="29"/>
      <c r="P146" s="32"/>
      <c r="Q146" s="32"/>
      <c r="R146" s="4"/>
      <c r="S146" s="4"/>
      <c r="T146" s="4"/>
      <c r="U146" s="4"/>
    </row>
    <row x14ac:dyDescent="0.25" r="147" customHeight="1" ht="12.75">
      <c r="A147" s="4"/>
      <c r="B147" s="29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29"/>
      <c r="N147" s="29"/>
      <c r="O147" s="29"/>
      <c r="P147" s="32"/>
      <c r="Q147" s="32"/>
      <c r="R147" s="4"/>
      <c r="S147" s="4"/>
      <c r="T147" s="4"/>
      <c r="U147" s="4"/>
    </row>
    <row x14ac:dyDescent="0.25" r="148" customHeight="1" ht="12.75">
      <c r="A148" s="4"/>
      <c r="B148" s="29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29"/>
      <c r="N148" s="29"/>
      <c r="O148" s="29"/>
      <c r="P148" s="32"/>
      <c r="Q148" s="32"/>
      <c r="R148" s="4"/>
      <c r="S148" s="4"/>
      <c r="T148" s="4"/>
      <c r="U148" s="4"/>
    </row>
    <row x14ac:dyDescent="0.25" r="149" customHeight="1" ht="12.75">
      <c r="A149" s="4"/>
      <c r="B149" s="29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29"/>
      <c r="N149" s="29"/>
      <c r="O149" s="29"/>
      <c r="P149" s="32"/>
      <c r="Q149" s="32"/>
      <c r="R149" s="4"/>
      <c r="S149" s="4"/>
      <c r="T149" s="4"/>
      <c r="U149" s="4"/>
    </row>
    <row x14ac:dyDescent="0.25" r="150" customHeight="1" ht="12.75">
      <c r="A150" s="4"/>
      <c r="B150" s="29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29"/>
      <c r="N150" s="29"/>
      <c r="O150" s="29"/>
      <c r="P150" s="32"/>
      <c r="Q150" s="32"/>
      <c r="R150" s="4"/>
      <c r="S150" s="4"/>
      <c r="T150" s="4"/>
      <c r="U150" s="4"/>
    </row>
    <row x14ac:dyDescent="0.25" r="151" customHeight="1" ht="12.75">
      <c r="A151" s="4"/>
      <c r="B151" s="29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29"/>
      <c r="N151" s="29"/>
      <c r="O151" s="29"/>
      <c r="P151" s="32"/>
      <c r="Q151" s="32"/>
      <c r="R151" s="4"/>
      <c r="S151" s="4"/>
      <c r="T151" s="4"/>
      <c r="U151" s="4"/>
    </row>
    <row x14ac:dyDescent="0.25" r="152" customHeight="1" ht="12.75">
      <c r="A152" s="4"/>
      <c r="B152" s="29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29"/>
      <c r="N152" s="29"/>
      <c r="O152" s="29"/>
      <c r="P152" s="32"/>
      <c r="Q152" s="32"/>
      <c r="R152" s="4"/>
      <c r="S152" s="4"/>
      <c r="T152" s="4"/>
      <c r="U152" s="4"/>
    </row>
    <row x14ac:dyDescent="0.25" r="153" customHeight="1" ht="12.75">
      <c r="A153" s="4"/>
      <c r="B153" s="29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29"/>
      <c r="N153" s="29"/>
      <c r="O153" s="29"/>
      <c r="P153" s="32"/>
      <c r="Q153" s="32"/>
      <c r="R153" s="4"/>
      <c r="S153" s="4"/>
      <c r="T153" s="4"/>
      <c r="U153" s="4"/>
    </row>
    <row x14ac:dyDescent="0.25" r="154" customHeight="1" ht="12.75">
      <c r="A154" s="4"/>
      <c r="B154" s="29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29"/>
      <c r="N154" s="29"/>
      <c r="O154" s="29"/>
      <c r="P154" s="32"/>
      <c r="Q154" s="32"/>
      <c r="R154" s="4"/>
      <c r="S154" s="4"/>
      <c r="T154" s="4"/>
      <c r="U154" s="4"/>
    </row>
    <row x14ac:dyDescent="0.25" r="155" customHeight="1" ht="12.75">
      <c r="A155" s="4"/>
      <c r="B155" s="29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29"/>
      <c r="N155" s="29"/>
      <c r="O155" s="29"/>
      <c r="P155" s="32"/>
      <c r="Q155" s="32"/>
      <c r="R155" s="4"/>
      <c r="S155" s="4"/>
      <c r="T155" s="4"/>
      <c r="U155" s="4"/>
    </row>
    <row x14ac:dyDescent="0.25" r="156" customHeight="1" ht="12.75">
      <c r="A156" s="4"/>
      <c r="B156" s="29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29"/>
      <c r="N156" s="29"/>
      <c r="O156" s="29"/>
      <c r="P156" s="32"/>
      <c r="Q156" s="32"/>
      <c r="R156" s="4"/>
      <c r="S156" s="4"/>
      <c r="T156" s="4"/>
      <c r="U156" s="4"/>
    </row>
    <row x14ac:dyDescent="0.25" r="157" customHeight="1" ht="12.75">
      <c r="A157" s="4"/>
      <c r="B157" s="29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29"/>
      <c r="N157" s="29"/>
      <c r="O157" s="29"/>
      <c r="P157" s="32"/>
      <c r="Q157" s="32"/>
      <c r="R157" s="4"/>
      <c r="S157" s="4"/>
      <c r="T157" s="4"/>
      <c r="U157" s="4"/>
    </row>
    <row x14ac:dyDescent="0.25" r="158" customHeight="1" ht="12.75">
      <c r="A158" s="4"/>
      <c r="B158" s="29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29"/>
      <c r="N158" s="29"/>
      <c r="O158" s="29"/>
      <c r="P158" s="32"/>
      <c r="Q158" s="32"/>
      <c r="R158" s="4"/>
      <c r="S158" s="4"/>
      <c r="T158" s="4"/>
      <c r="U158" s="4"/>
    </row>
    <row x14ac:dyDescent="0.25" r="159" customHeight="1" ht="12.75">
      <c r="A159" s="4"/>
      <c r="B159" s="29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29"/>
      <c r="N159" s="29"/>
      <c r="O159" s="29"/>
      <c r="P159" s="32"/>
      <c r="Q159" s="32"/>
      <c r="R159" s="4"/>
      <c r="S159" s="4"/>
      <c r="T159" s="4"/>
      <c r="U159" s="4"/>
    </row>
    <row x14ac:dyDescent="0.25" r="160" customHeight="1" ht="12.75">
      <c r="A160" s="4"/>
      <c r="B160" s="29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29"/>
      <c r="N160" s="29"/>
      <c r="O160" s="29"/>
      <c r="P160" s="32"/>
      <c r="Q160" s="32"/>
      <c r="R160" s="4"/>
      <c r="S160" s="4"/>
      <c r="T160" s="4"/>
      <c r="U160" s="4"/>
    </row>
    <row x14ac:dyDescent="0.25" r="161" customHeight="1" ht="12.75">
      <c r="A161" s="4"/>
      <c r="B161" s="29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29"/>
      <c r="N161" s="29"/>
      <c r="O161" s="29"/>
      <c r="P161" s="32"/>
      <c r="Q161" s="32"/>
      <c r="R161" s="4"/>
      <c r="S161" s="4"/>
      <c r="T161" s="4"/>
      <c r="U161" s="4"/>
    </row>
    <row x14ac:dyDescent="0.25" r="162" customHeight="1" ht="12.75">
      <c r="A162" s="4"/>
      <c r="B162" s="29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29"/>
      <c r="N162" s="29"/>
      <c r="O162" s="29"/>
      <c r="P162" s="32"/>
      <c r="Q162" s="32"/>
      <c r="R162" s="4"/>
      <c r="S162" s="4"/>
      <c r="T162" s="4"/>
      <c r="U162" s="4"/>
    </row>
    <row x14ac:dyDescent="0.25" r="163" customHeight="1" ht="12.75">
      <c r="A163" s="4"/>
      <c r="B163" s="29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29"/>
      <c r="N163" s="29"/>
      <c r="O163" s="29"/>
      <c r="P163" s="32"/>
      <c r="Q163" s="32"/>
      <c r="R163" s="4"/>
      <c r="S163" s="4"/>
      <c r="T163" s="4"/>
      <c r="U163" s="4"/>
    </row>
    <row x14ac:dyDescent="0.25" r="164" customHeight="1" ht="12.75">
      <c r="A164" s="4"/>
      <c r="B164" s="29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29"/>
      <c r="N164" s="29"/>
      <c r="O164" s="29"/>
      <c r="P164" s="32"/>
      <c r="Q164" s="32"/>
      <c r="R164" s="4"/>
      <c r="S164" s="4"/>
      <c r="T164" s="4"/>
      <c r="U164" s="4"/>
    </row>
    <row x14ac:dyDescent="0.25" r="165" customHeight="1" ht="12.75">
      <c r="A165" s="4"/>
      <c r="B165" s="29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29"/>
      <c r="N165" s="29"/>
      <c r="O165" s="29"/>
      <c r="P165" s="32"/>
      <c r="Q165" s="32"/>
      <c r="R165" s="4"/>
      <c r="S165" s="4"/>
      <c r="T165" s="4"/>
      <c r="U165" s="4"/>
    </row>
    <row x14ac:dyDescent="0.25" r="166" customHeight="1" ht="12.75">
      <c r="A166" s="4"/>
      <c r="B166" s="29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29"/>
      <c r="N166" s="29"/>
      <c r="O166" s="29"/>
      <c r="P166" s="32"/>
      <c r="Q166" s="32"/>
      <c r="R166" s="4"/>
      <c r="S166" s="4"/>
      <c r="T166" s="4"/>
      <c r="U166" s="4"/>
    </row>
    <row x14ac:dyDescent="0.25" r="167" customHeight="1" ht="12.75">
      <c r="A167" s="4"/>
      <c r="B167" s="29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29"/>
      <c r="N167" s="29"/>
      <c r="O167" s="29"/>
      <c r="P167" s="32"/>
      <c r="Q167" s="32"/>
      <c r="R167" s="4"/>
      <c r="S167" s="4"/>
      <c r="T167" s="4"/>
      <c r="U167" s="4"/>
    </row>
    <row x14ac:dyDescent="0.25" r="168" customHeight="1" ht="12.75">
      <c r="A168" s="4"/>
      <c r="B168" s="29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29"/>
      <c r="N168" s="29"/>
      <c r="O168" s="29"/>
      <c r="P168" s="32"/>
      <c r="Q168" s="32"/>
      <c r="R168" s="4"/>
      <c r="S168" s="4"/>
      <c r="T168" s="4"/>
      <c r="U168" s="4"/>
    </row>
    <row x14ac:dyDescent="0.25" r="169" customHeight="1" ht="12.75">
      <c r="A169" s="4"/>
      <c r="B169" s="29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29"/>
      <c r="N169" s="29"/>
      <c r="O169" s="29"/>
      <c r="P169" s="32"/>
      <c r="Q169" s="32"/>
      <c r="R169" s="4"/>
      <c r="S169" s="4"/>
      <c r="T169" s="4"/>
      <c r="U169" s="4"/>
    </row>
    <row x14ac:dyDescent="0.25" r="170" customHeight="1" ht="12.75">
      <c r="A170" s="4"/>
      <c r="B170" s="29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29"/>
      <c r="N170" s="29"/>
      <c r="O170" s="29"/>
      <c r="P170" s="32"/>
      <c r="Q170" s="32"/>
      <c r="R170" s="4"/>
      <c r="S170" s="4"/>
      <c r="T170" s="4"/>
      <c r="U170" s="4"/>
    </row>
    <row x14ac:dyDescent="0.25" r="171" customHeight="1" ht="12.75">
      <c r="A171" s="4"/>
      <c r="B171" s="29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29"/>
      <c r="N171" s="29"/>
      <c r="O171" s="29"/>
      <c r="P171" s="32"/>
      <c r="Q171" s="32"/>
      <c r="R171" s="4"/>
      <c r="S171" s="4"/>
      <c r="T171" s="4"/>
      <c r="U171" s="4"/>
    </row>
    <row x14ac:dyDescent="0.25" r="172" customHeight="1" ht="12.75">
      <c r="A172" s="4"/>
      <c r="B172" s="29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29"/>
      <c r="N172" s="29"/>
      <c r="O172" s="29"/>
      <c r="P172" s="32"/>
      <c r="Q172" s="32"/>
      <c r="R172" s="4"/>
      <c r="S172" s="4"/>
      <c r="T172" s="4"/>
      <c r="U172" s="4"/>
    </row>
    <row x14ac:dyDescent="0.25" r="173" customHeight="1" ht="12.75">
      <c r="A173" s="4"/>
      <c r="B173" s="29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29"/>
      <c r="N173" s="29"/>
      <c r="O173" s="29"/>
      <c r="P173" s="32"/>
      <c r="Q173" s="32"/>
      <c r="R173" s="4"/>
      <c r="S173" s="4"/>
      <c r="T173" s="4"/>
      <c r="U173" s="4"/>
    </row>
    <row x14ac:dyDescent="0.25" r="174" customHeight="1" ht="12.75">
      <c r="A174" s="4"/>
      <c r="B174" s="29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29"/>
      <c r="N174" s="29"/>
      <c r="O174" s="29"/>
      <c r="P174" s="32"/>
      <c r="Q174" s="32"/>
      <c r="R174" s="4"/>
      <c r="S174" s="4"/>
      <c r="T174" s="4"/>
      <c r="U174" s="4"/>
    </row>
    <row x14ac:dyDescent="0.25" r="175" customHeight="1" ht="12.75">
      <c r="A175" s="4"/>
      <c r="B175" s="29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29"/>
      <c r="N175" s="29"/>
      <c r="O175" s="29"/>
      <c r="P175" s="32"/>
      <c r="Q175" s="32"/>
      <c r="R175" s="4"/>
      <c r="S175" s="4"/>
      <c r="T175" s="4"/>
      <c r="U175" s="4"/>
    </row>
    <row x14ac:dyDescent="0.25" r="176" customHeight="1" ht="12.75">
      <c r="A176" s="4"/>
      <c r="B176" s="29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29"/>
      <c r="N176" s="29"/>
      <c r="O176" s="29"/>
      <c r="P176" s="32"/>
      <c r="Q176" s="32"/>
      <c r="R176" s="4"/>
      <c r="S176" s="4"/>
      <c r="T176" s="4"/>
      <c r="U176" s="4"/>
    </row>
    <row x14ac:dyDescent="0.25" r="177" customHeight="1" ht="12.75">
      <c r="A177" s="4"/>
      <c r="B177" s="29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29"/>
      <c r="N177" s="29"/>
      <c r="O177" s="29"/>
      <c r="P177" s="32"/>
      <c r="Q177" s="32"/>
      <c r="R177" s="4"/>
      <c r="S177" s="4"/>
      <c r="T177" s="4"/>
      <c r="U177" s="4"/>
    </row>
    <row x14ac:dyDescent="0.25" r="178" customHeight="1" ht="12.75">
      <c r="A178" s="4"/>
      <c r="B178" s="29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29"/>
      <c r="N178" s="29"/>
      <c r="O178" s="29"/>
      <c r="P178" s="32"/>
      <c r="Q178" s="32"/>
      <c r="R178" s="4"/>
      <c r="S178" s="4"/>
      <c r="T178" s="4"/>
      <c r="U178" s="4"/>
    </row>
    <row x14ac:dyDescent="0.25" r="179" customHeight="1" ht="12.75">
      <c r="A179" s="4"/>
      <c r="B179" s="29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29"/>
      <c r="N179" s="29"/>
      <c r="O179" s="29"/>
      <c r="P179" s="32"/>
      <c r="Q179" s="32"/>
      <c r="R179" s="4"/>
      <c r="S179" s="4"/>
      <c r="T179" s="4"/>
      <c r="U179" s="4"/>
    </row>
    <row x14ac:dyDescent="0.25" r="180" customHeight="1" ht="12.75">
      <c r="A180" s="4"/>
      <c r="B180" s="29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29"/>
      <c r="N180" s="29"/>
      <c r="O180" s="29"/>
      <c r="P180" s="32"/>
      <c r="Q180" s="32"/>
      <c r="R180" s="4"/>
      <c r="S180" s="4"/>
      <c r="T180" s="4"/>
      <c r="U180" s="4"/>
    </row>
    <row x14ac:dyDescent="0.25" r="181" customHeight="1" ht="12.75">
      <c r="A181" s="4"/>
      <c r="B181" s="29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29"/>
      <c r="N181" s="29"/>
      <c r="O181" s="29"/>
      <c r="P181" s="32"/>
      <c r="Q181" s="32"/>
      <c r="R181" s="4"/>
      <c r="S181" s="4"/>
      <c r="T181" s="4"/>
      <c r="U181" s="4"/>
    </row>
    <row x14ac:dyDescent="0.25" r="182" customHeight="1" ht="12.75">
      <c r="A182" s="4"/>
      <c r="B182" s="29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29"/>
      <c r="N182" s="29"/>
      <c r="O182" s="29"/>
      <c r="P182" s="32"/>
      <c r="Q182" s="32"/>
      <c r="R182" s="4"/>
      <c r="S182" s="4"/>
      <c r="T182" s="4"/>
      <c r="U182" s="4"/>
    </row>
    <row x14ac:dyDescent="0.25" r="183" customHeight="1" ht="12.75">
      <c r="A183" s="4"/>
      <c r="B183" s="29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29"/>
      <c r="N183" s="29"/>
      <c r="O183" s="29"/>
      <c r="P183" s="32"/>
      <c r="Q183" s="32"/>
      <c r="R183" s="4"/>
      <c r="S183" s="4"/>
      <c r="T183" s="4"/>
      <c r="U183" s="4"/>
    </row>
    <row x14ac:dyDescent="0.25" r="184" customHeight="1" ht="12.75">
      <c r="A184" s="4"/>
      <c r="B184" s="29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29"/>
      <c r="N184" s="29"/>
      <c r="O184" s="29"/>
      <c r="P184" s="32"/>
      <c r="Q184" s="32"/>
      <c r="R184" s="4"/>
      <c r="S184" s="4"/>
      <c r="T184" s="4"/>
      <c r="U184" s="4"/>
    </row>
    <row x14ac:dyDescent="0.25" r="185" customHeight="1" ht="12.75">
      <c r="A185" s="4"/>
      <c r="B185" s="29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29"/>
      <c r="N185" s="29"/>
      <c r="O185" s="29"/>
      <c r="P185" s="32"/>
      <c r="Q185" s="32"/>
      <c r="R185" s="4"/>
      <c r="S185" s="4"/>
      <c r="T185" s="4"/>
      <c r="U185" s="4"/>
    </row>
    <row x14ac:dyDescent="0.25" r="186" customHeight="1" ht="12.75">
      <c r="A186" s="4"/>
      <c r="B186" s="29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29"/>
      <c r="N186" s="29"/>
      <c r="O186" s="29"/>
      <c r="P186" s="32"/>
      <c r="Q186" s="32"/>
      <c r="R186" s="4"/>
      <c r="S186" s="4"/>
      <c r="T186" s="4"/>
      <c r="U186" s="4"/>
    </row>
    <row x14ac:dyDescent="0.25" r="187" customHeight="1" ht="12.75">
      <c r="A187" s="4"/>
      <c r="B187" s="29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29"/>
      <c r="N187" s="29"/>
      <c r="O187" s="29"/>
      <c r="P187" s="32"/>
      <c r="Q187" s="32"/>
      <c r="R187" s="4"/>
      <c r="S187" s="4"/>
      <c r="T187" s="4"/>
      <c r="U187" s="4"/>
    </row>
    <row x14ac:dyDescent="0.25" r="188" customHeight="1" ht="12.75">
      <c r="A188" s="4"/>
      <c r="B188" s="29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29"/>
      <c r="N188" s="29"/>
      <c r="O188" s="29"/>
      <c r="P188" s="32"/>
      <c r="Q188" s="32"/>
      <c r="R188" s="4"/>
      <c r="S188" s="4"/>
      <c r="T188" s="4"/>
      <c r="U188" s="4"/>
    </row>
    <row x14ac:dyDescent="0.25" r="189" customHeight="1" ht="12.75">
      <c r="A189" s="4"/>
      <c r="B189" s="29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29"/>
      <c r="N189" s="29"/>
      <c r="O189" s="29"/>
      <c r="P189" s="32"/>
      <c r="Q189" s="32"/>
      <c r="R189" s="4"/>
      <c r="S189" s="4"/>
      <c r="T189" s="4"/>
      <c r="U189" s="4"/>
    </row>
    <row x14ac:dyDescent="0.25" r="190" customHeight="1" ht="12.75">
      <c r="A190" s="4"/>
      <c r="B190" s="29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29"/>
      <c r="N190" s="29"/>
      <c r="O190" s="29"/>
      <c r="P190" s="32"/>
      <c r="Q190" s="32"/>
      <c r="R190" s="4"/>
      <c r="S190" s="4"/>
      <c r="T190" s="4"/>
      <c r="U190" s="4"/>
    </row>
    <row x14ac:dyDescent="0.25" r="191" customHeight="1" ht="12.75">
      <c r="A191" s="4"/>
      <c r="B191" s="29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29"/>
      <c r="N191" s="29"/>
      <c r="O191" s="29"/>
      <c r="P191" s="32"/>
      <c r="Q191" s="32"/>
      <c r="R191" s="4"/>
      <c r="S191" s="4"/>
      <c r="T191" s="4"/>
      <c r="U191" s="4"/>
    </row>
    <row x14ac:dyDescent="0.25" r="192" customHeight="1" ht="12.75">
      <c r="A192" s="4"/>
      <c r="B192" s="29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29"/>
      <c r="N192" s="29"/>
      <c r="O192" s="29"/>
      <c r="P192" s="32"/>
      <c r="Q192" s="32"/>
      <c r="R192" s="4"/>
      <c r="S192" s="4"/>
      <c r="T192" s="4"/>
      <c r="U192" s="4"/>
    </row>
    <row x14ac:dyDescent="0.25" r="193" customHeight="1" ht="12.75">
      <c r="A193" s="4"/>
      <c r="B193" s="29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29"/>
      <c r="N193" s="29"/>
      <c r="O193" s="29"/>
      <c r="P193" s="32"/>
      <c r="Q193" s="32"/>
      <c r="R193" s="4"/>
      <c r="S193" s="4"/>
      <c r="T193" s="4"/>
      <c r="U193" s="4"/>
    </row>
    <row x14ac:dyDescent="0.25" r="194" customHeight="1" ht="12.75">
      <c r="A194" s="4"/>
      <c r="B194" s="29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29"/>
      <c r="N194" s="29"/>
      <c r="O194" s="29"/>
      <c r="P194" s="32"/>
      <c r="Q194" s="32"/>
      <c r="R194" s="4"/>
      <c r="S194" s="4"/>
      <c r="T194" s="4"/>
      <c r="U194" s="4"/>
    </row>
    <row x14ac:dyDescent="0.25" r="195" customHeight="1" ht="12.75">
      <c r="A195" s="4"/>
      <c r="B195" s="29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29"/>
      <c r="N195" s="29"/>
      <c r="O195" s="29"/>
      <c r="P195" s="32"/>
      <c r="Q195" s="32"/>
      <c r="R195" s="4"/>
      <c r="S195" s="4"/>
      <c r="T195" s="4"/>
      <c r="U195" s="4"/>
    </row>
    <row x14ac:dyDescent="0.25" r="196" customHeight="1" ht="12.75">
      <c r="A196" s="4"/>
      <c r="B196" s="29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29"/>
      <c r="N196" s="29"/>
      <c r="O196" s="29"/>
      <c r="P196" s="32"/>
      <c r="Q196" s="32"/>
      <c r="R196" s="4"/>
      <c r="S196" s="4"/>
      <c r="T196" s="4"/>
      <c r="U196" s="4"/>
    </row>
    <row x14ac:dyDescent="0.25" r="197" customHeight="1" ht="12.75">
      <c r="A197" s="4"/>
      <c r="B197" s="29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29"/>
      <c r="N197" s="29"/>
      <c r="O197" s="29"/>
      <c r="P197" s="32"/>
      <c r="Q197" s="32"/>
      <c r="R197" s="4"/>
      <c r="S197" s="4"/>
      <c r="T197" s="4"/>
      <c r="U197" s="4"/>
    </row>
    <row x14ac:dyDescent="0.25" r="198" customHeight="1" ht="12.75">
      <c r="A198" s="4"/>
      <c r="B198" s="29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29"/>
      <c r="N198" s="29"/>
      <c r="O198" s="29"/>
      <c r="P198" s="32"/>
      <c r="Q198" s="32"/>
      <c r="R198" s="4"/>
      <c r="S198" s="4"/>
      <c r="T198" s="4"/>
      <c r="U198" s="4"/>
    </row>
    <row x14ac:dyDescent="0.25" r="199" customHeight="1" ht="12.75">
      <c r="A199" s="4"/>
      <c r="B199" s="29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29"/>
      <c r="N199" s="29"/>
      <c r="O199" s="29"/>
      <c r="P199" s="32"/>
      <c r="Q199" s="32"/>
      <c r="R199" s="4"/>
      <c r="S199" s="4"/>
      <c r="T199" s="4"/>
      <c r="U199" s="4"/>
    </row>
    <row x14ac:dyDescent="0.25" r="200" customHeight="1" ht="12.75">
      <c r="A200" s="4"/>
      <c r="B200" s="29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29"/>
      <c r="N200" s="29"/>
      <c r="O200" s="29"/>
      <c r="P200" s="32"/>
      <c r="Q200" s="32"/>
      <c r="R200" s="4"/>
      <c r="S200" s="4"/>
      <c r="T200" s="4"/>
      <c r="U200" s="4"/>
    </row>
    <row x14ac:dyDescent="0.25" r="201" customHeight="1" ht="12.75">
      <c r="A201" s="4"/>
      <c r="B201" s="29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29"/>
      <c r="N201" s="29"/>
      <c r="O201" s="29"/>
      <c r="P201" s="32"/>
      <c r="Q201" s="32"/>
      <c r="R201" s="4"/>
      <c r="S201" s="4"/>
      <c r="T201" s="4"/>
      <c r="U201" s="4"/>
    </row>
    <row x14ac:dyDescent="0.25" r="202" customHeight="1" ht="12.75">
      <c r="A202" s="4"/>
      <c r="B202" s="29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29"/>
      <c r="N202" s="29"/>
      <c r="O202" s="29"/>
      <c r="P202" s="32"/>
      <c r="Q202" s="32"/>
      <c r="R202" s="4"/>
      <c r="S202" s="4"/>
      <c r="T202" s="4"/>
      <c r="U202" s="4"/>
    </row>
    <row x14ac:dyDescent="0.25" r="203" customHeight="1" ht="12.75">
      <c r="A203" s="4"/>
      <c r="B203" s="29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29"/>
      <c r="N203" s="29"/>
      <c r="O203" s="29"/>
      <c r="P203" s="32"/>
      <c r="Q203" s="32"/>
      <c r="R203" s="4"/>
      <c r="S203" s="4"/>
      <c r="T203" s="4"/>
      <c r="U203" s="4"/>
    </row>
    <row x14ac:dyDescent="0.25" r="204" customHeight="1" ht="12.75">
      <c r="A204" s="4"/>
      <c r="B204" s="29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29"/>
      <c r="N204" s="29"/>
      <c r="O204" s="29"/>
      <c r="P204" s="32"/>
      <c r="Q204" s="32"/>
      <c r="R204" s="4"/>
      <c r="S204" s="4"/>
      <c r="T204" s="4"/>
      <c r="U204" s="4"/>
    </row>
    <row x14ac:dyDescent="0.25" r="205" customHeight="1" ht="12.75">
      <c r="A205" s="4"/>
      <c r="B205" s="29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29"/>
      <c r="N205" s="29"/>
      <c r="O205" s="29"/>
      <c r="P205" s="32"/>
      <c r="Q205" s="32"/>
      <c r="R205" s="4"/>
      <c r="S205" s="4"/>
      <c r="T205" s="4"/>
      <c r="U205" s="4"/>
    </row>
    <row x14ac:dyDescent="0.25" r="206" customHeight="1" ht="12.75">
      <c r="A206" s="4"/>
      <c r="B206" s="29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29"/>
      <c r="N206" s="29"/>
      <c r="O206" s="29"/>
      <c r="P206" s="32"/>
      <c r="Q206" s="32"/>
      <c r="R206" s="4"/>
      <c r="S206" s="4"/>
      <c r="T206" s="4"/>
      <c r="U206" s="4"/>
    </row>
    <row x14ac:dyDescent="0.25" r="207" customHeight="1" ht="12.75">
      <c r="A207" s="4"/>
      <c r="B207" s="29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29"/>
      <c r="N207" s="29"/>
      <c r="O207" s="29"/>
      <c r="P207" s="32"/>
      <c r="Q207" s="32"/>
      <c r="R207" s="4"/>
      <c r="S207" s="4"/>
      <c r="T207" s="4"/>
      <c r="U207" s="4"/>
    </row>
    <row x14ac:dyDescent="0.25" r="208" customHeight="1" ht="12.75">
      <c r="A208" s="4"/>
      <c r="B208" s="29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29"/>
      <c r="N208" s="29"/>
      <c r="O208" s="29"/>
      <c r="P208" s="32"/>
      <c r="Q208" s="32"/>
      <c r="R208" s="4"/>
      <c r="S208" s="4"/>
      <c r="T208" s="4"/>
      <c r="U208" s="4"/>
    </row>
    <row x14ac:dyDescent="0.25" r="209" customHeight="1" ht="12.75">
      <c r="A209" s="4"/>
      <c r="B209" s="29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29"/>
      <c r="N209" s="29"/>
      <c r="O209" s="29"/>
      <c r="P209" s="32"/>
      <c r="Q209" s="32"/>
      <c r="R209" s="4"/>
      <c r="S209" s="4"/>
      <c r="T209" s="4"/>
      <c r="U209" s="4"/>
    </row>
    <row x14ac:dyDescent="0.25" r="210" customHeight="1" ht="12.75">
      <c r="A210" s="4"/>
      <c r="B210" s="29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29"/>
      <c r="N210" s="29"/>
      <c r="O210" s="29"/>
      <c r="P210" s="32"/>
      <c r="Q210" s="32"/>
      <c r="R210" s="4"/>
      <c r="S210" s="4"/>
      <c r="T210" s="4"/>
      <c r="U210" s="4"/>
    </row>
    <row x14ac:dyDescent="0.25" r="211" customHeight="1" ht="12.75">
      <c r="A211" s="4"/>
      <c r="B211" s="29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29"/>
      <c r="N211" s="29"/>
      <c r="O211" s="29"/>
      <c r="P211" s="32"/>
      <c r="Q211" s="32"/>
      <c r="R211" s="4"/>
      <c r="S211" s="4"/>
      <c r="T211" s="4"/>
      <c r="U211" s="4"/>
    </row>
    <row x14ac:dyDescent="0.25" r="212" customHeight="1" ht="12.75">
      <c r="A212" s="4"/>
      <c r="B212" s="29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29"/>
      <c r="N212" s="29"/>
      <c r="O212" s="29"/>
      <c r="P212" s="32"/>
      <c r="Q212" s="32"/>
      <c r="R212" s="4"/>
      <c r="S212" s="4"/>
      <c r="T212" s="4"/>
      <c r="U212" s="4"/>
    </row>
    <row x14ac:dyDescent="0.25" r="213" customHeight="1" ht="12.75">
      <c r="A213" s="4"/>
      <c r="B213" s="29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29"/>
      <c r="N213" s="29"/>
      <c r="O213" s="29"/>
      <c r="P213" s="32"/>
      <c r="Q213" s="32"/>
      <c r="R213" s="4"/>
      <c r="S213" s="4"/>
      <c r="T213" s="4"/>
      <c r="U213" s="4"/>
    </row>
    <row x14ac:dyDescent="0.25" r="214" customHeight="1" ht="12.75">
      <c r="A214" s="4"/>
      <c r="B214" s="29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29"/>
      <c r="N214" s="29"/>
      <c r="O214" s="29"/>
      <c r="P214" s="32"/>
      <c r="Q214" s="32"/>
      <c r="R214" s="4"/>
      <c r="S214" s="4"/>
      <c r="T214" s="4"/>
      <c r="U214" s="4"/>
    </row>
    <row x14ac:dyDescent="0.25" r="215" customHeight="1" ht="12.75">
      <c r="A215" s="4"/>
      <c r="B215" s="29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29"/>
      <c r="N215" s="29"/>
      <c r="O215" s="29"/>
      <c r="P215" s="32"/>
      <c r="Q215" s="32"/>
      <c r="R215" s="4"/>
      <c r="S215" s="4"/>
      <c r="T215" s="4"/>
      <c r="U215" s="4"/>
    </row>
    <row x14ac:dyDescent="0.25" r="216" customHeight="1" ht="12.75">
      <c r="A216" s="4"/>
      <c r="B216" s="29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29"/>
      <c r="N216" s="29"/>
      <c r="O216" s="29"/>
      <c r="P216" s="32"/>
      <c r="Q216" s="32"/>
      <c r="R216" s="4"/>
      <c r="S216" s="4"/>
      <c r="T216" s="4"/>
      <c r="U216" s="4"/>
    </row>
    <row x14ac:dyDescent="0.25" r="217" customHeight="1" ht="12.75">
      <c r="A217" s="4"/>
      <c r="B217" s="29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29"/>
      <c r="N217" s="29"/>
      <c r="O217" s="29"/>
      <c r="P217" s="32"/>
      <c r="Q217" s="32"/>
      <c r="R217" s="4"/>
      <c r="S217" s="4"/>
      <c r="T217" s="4"/>
      <c r="U217" s="4"/>
    </row>
    <row x14ac:dyDescent="0.25" r="218" customHeight="1" ht="12.75">
      <c r="A218" s="4"/>
      <c r="B218" s="29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29"/>
      <c r="N218" s="29"/>
      <c r="O218" s="29"/>
      <c r="P218" s="32"/>
      <c r="Q218" s="32"/>
      <c r="R218" s="4"/>
      <c r="S218" s="4"/>
      <c r="T218" s="4"/>
      <c r="U218" s="4"/>
    </row>
    <row x14ac:dyDescent="0.25" r="219" customHeight="1" ht="12.75">
      <c r="A219" s="4"/>
      <c r="B219" s="29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29"/>
      <c r="N219" s="29"/>
      <c r="O219" s="29"/>
      <c r="P219" s="32"/>
      <c r="Q219" s="32"/>
      <c r="R219" s="4"/>
      <c r="S219" s="4"/>
      <c r="T219" s="4"/>
      <c r="U219" s="4"/>
    </row>
    <row x14ac:dyDescent="0.25" r="220" customHeight="1" ht="12.75">
      <c r="A220" s="4"/>
      <c r="B220" s="29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29"/>
      <c r="N220" s="29"/>
      <c r="O220" s="29"/>
      <c r="P220" s="32"/>
      <c r="Q220" s="32"/>
      <c r="R220" s="4"/>
      <c r="S220" s="4"/>
      <c r="T220" s="4"/>
      <c r="U220" s="4"/>
    </row>
    <row x14ac:dyDescent="0.25" r="221" customHeight="1" ht="12.75">
      <c r="A221" s="4"/>
      <c r="B221" s="29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29"/>
      <c r="N221" s="29"/>
      <c r="O221" s="29"/>
      <c r="P221" s="32"/>
      <c r="Q221" s="32"/>
      <c r="R221" s="4"/>
      <c r="S221" s="4"/>
      <c r="T221" s="4"/>
      <c r="U221" s="4"/>
    </row>
    <row x14ac:dyDescent="0.25" r="222" customHeight="1" ht="12.75">
      <c r="A222" s="4"/>
      <c r="B222" s="29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29"/>
      <c r="N222" s="29"/>
      <c r="O222" s="29"/>
      <c r="P222" s="32"/>
      <c r="Q222" s="32"/>
      <c r="R222" s="4"/>
      <c r="S222" s="4"/>
      <c r="T222" s="4"/>
      <c r="U222" s="4"/>
    </row>
    <row x14ac:dyDescent="0.25" r="223" customHeight="1" ht="12.75">
      <c r="A223" s="4"/>
      <c r="B223" s="29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29"/>
      <c r="N223" s="29"/>
      <c r="O223" s="29"/>
      <c r="P223" s="32"/>
      <c r="Q223" s="32"/>
      <c r="R223" s="4"/>
      <c r="S223" s="4"/>
      <c r="T223" s="4"/>
      <c r="U223" s="4"/>
    </row>
    <row x14ac:dyDescent="0.25" r="224" customHeight="1" ht="12.75">
      <c r="A224" s="4"/>
      <c r="B224" s="29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29"/>
      <c r="N224" s="29"/>
      <c r="O224" s="29"/>
      <c r="P224" s="32"/>
      <c r="Q224" s="32"/>
      <c r="R224" s="4"/>
      <c r="S224" s="4"/>
      <c r="T224" s="4"/>
      <c r="U224" s="4"/>
    </row>
    <row x14ac:dyDescent="0.25" r="225" customHeight="1" ht="12.75">
      <c r="A225" s="4"/>
      <c r="B225" s="29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29"/>
      <c r="N225" s="29"/>
      <c r="O225" s="29"/>
      <c r="P225" s="32"/>
      <c r="Q225" s="32"/>
      <c r="R225" s="4"/>
      <c r="S225" s="4"/>
      <c r="T225" s="4"/>
      <c r="U225" s="4"/>
    </row>
    <row x14ac:dyDescent="0.25" r="226" customHeight="1" ht="12.75">
      <c r="A226" s="4"/>
      <c r="B226" s="29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29"/>
      <c r="N226" s="29"/>
      <c r="O226" s="29"/>
      <c r="P226" s="32"/>
      <c r="Q226" s="32"/>
      <c r="R226" s="4"/>
      <c r="S226" s="4"/>
      <c r="T226" s="4"/>
      <c r="U226" s="4"/>
    </row>
    <row x14ac:dyDescent="0.25" r="227" customHeight="1" ht="12.75">
      <c r="A227" s="4"/>
      <c r="B227" s="29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29"/>
      <c r="N227" s="29"/>
      <c r="O227" s="29"/>
      <c r="P227" s="32"/>
      <c r="Q227" s="32"/>
      <c r="R227" s="4"/>
      <c r="S227" s="4"/>
      <c r="T227" s="4"/>
      <c r="U227" s="4"/>
    </row>
    <row x14ac:dyDescent="0.25" r="228" customHeight="1" ht="12.75">
      <c r="A228" s="4"/>
      <c r="B228" s="29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29"/>
      <c r="N228" s="29"/>
      <c r="O228" s="29"/>
      <c r="P228" s="32"/>
      <c r="Q228" s="32"/>
      <c r="R228" s="4"/>
      <c r="S228" s="4"/>
      <c r="T228" s="4"/>
      <c r="U228" s="4"/>
    </row>
    <row x14ac:dyDescent="0.25" r="229" customHeight="1" ht="12.75">
      <c r="A229" s="4"/>
      <c r="B229" s="29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29"/>
      <c r="N229" s="29"/>
      <c r="O229" s="29"/>
      <c r="P229" s="32"/>
      <c r="Q229" s="32"/>
      <c r="R229" s="4"/>
      <c r="S229" s="4"/>
      <c r="T229" s="4"/>
      <c r="U229" s="4"/>
    </row>
    <row x14ac:dyDescent="0.25" r="230" customHeight="1" ht="12.75">
      <c r="A230" s="4"/>
      <c r="B230" s="29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29"/>
      <c r="N230" s="29"/>
      <c r="O230" s="29"/>
      <c r="P230" s="32"/>
      <c r="Q230" s="32"/>
      <c r="R230" s="4"/>
      <c r="S230" s="4"/>
      <c r="T230" s="4"/>
      <c r="U230" s="4"/>
    </row>
    <row x14ac:dyDescent="0.25" r="231" customHeight="1" ht="12.75">
      <c r="A231" s="4"/>
      <c r="B231" s="29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29"/>
      <c r="N231" s="29"/>
      <c r="O231" s="29"/>
      <c r="P231" s="32"/>
      <c r="Q231" s="32"/>
      <c r="R231" s="4"/>
      <c r="S231" s="4"/>
      <c r="T231" s="4"/>
      <c r="U231" s="4"/>
    </row>
    <row x14ac:dyDescent="0.25" r="232" customHeight="1" ht="12.75">
      <c r="A232" s="4"/>
      <c r="B232" s="29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29"/>
      <c r="N232" s="29"/>
      <c r="O232" s="29"/>
      <c r="P232" s="32"/>
      <c r="Q232" s="32"/>
      <c r="R232" s="4"/>
      <c r="S232" s="4"/>
      <c r="T232" s="4"/>
      <c r="U232" s="4"/>
    </row>
    <row x14ac:dyDescent="0.25" r="233" customHeight="1" ht="12.75">
      <c r="A233" s="4"/>
      <c r="B233" s="29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29"/>
      <c r="N233" s="29"/>
      <c r="O233" s="29"/>
      <c r="P233" s="32"/>
      <c r="Q233" s="32"/>
      <c r="R233" s="4"/>
      <c r="S233" s="4"/>
      <c r="T233" s="4"/>
      <c r="U233" s="4"/>
    </row>
    <row x14ac:dyDescent="0.25" r="234" customHeight="1" ht="12.75">
      <c r="A234" s="4"/>
      <c r="B234" s="29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29"/>
      <c r="N234" s="29"/>
      <c r="O234" s="29"/>
      <c r="P234" s="32"/>
      <c r="Q234" s="32"/>
      <c r="R234" s="4"/>
      <c r="S234" s="4"/>
      <c r="T234" s="4"/>
      <c r="U234" s="4"/>
    </row>
    <row x14ac:dyDescent="0.25" r="235" customHeight="1" ht="12.75">
      <c r="A235" s="4"/>
      <c r="B235" s="29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29"/>
      <c r="N235" s="29"/>
      <c r="O235" s="29"/>
      <c r="P235" s="32"/>
      <c r="Q235" s="32"/>
      <c r="R235" s="4"/>
      <c r="S235" s="4"/>
      <c r="T235" s="4"/>
      <c r="U235" s="4"/>
    </row>
    <row x14ac:dyDescent="0.25" r="236" customHeight="1" ht="12.75">
      <c r="A236" s="4"/>
      <c r="B236" s="29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29"/>
      <c r="N236" s="29"/>
      <c r="O236" s="29"/>
      <c r="P236" s="32"/>
      <c r="Q236" s="32"/>
      <c r="R236" s="4"/>
      <c r="S236" s="4"/>
      <c r="T236" s="4"/>
      <c r="U236" s="4"/>
    </row>
    <row x14ac:dyDescent="0.25" r="237" customHeight="1" ht="12.75">
      <c r="A237" s="4"/>
      <c r="B237" s="29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29"/>
      <c r="N237" s="29"/>
      <c r="O237" s="29"/>
      <c r="P237" s="32"/>
      <c r="Q237" s="32"/>
      <c r="R237" s="4"/>
      <c r="S237" s="4"/>
      <c r="T237" s="4"/>
      <c r="U237" s="4"/>
    </row>
    <row x14ac:dyDescent="0.25" r="238" customHeight="1" ht="12.75">
      <c r="A238" s="4"/>
      <c r="B238" s="29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29"/>
      <c r="N238" s="29"/>
      <c r="O238" s="29"/>
      <c r="P238" s="32"/>
      <c r="Q238" s="32"/>
      <c r="R238" s="4"/>
      <c r="S238" s="4"/>
      <c r="T238" s="4"/>
      <c r="U238" s="4"/>
    </row>
    <row x14ac:dyDescent="0.25" r="239" customHeight="1" ht="12.75">
      <c r="A239" s="4"/>
      <c r="B239" s="29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29"/>
      <c r="N239" s="29"/>
      <c r="O239" s="29"/>
      <c r="P239" s="32"/>
      <c r="Q239" s="32"/>
      <c r="R239" s="4"/>
      <c r="S239" s="4"/>
      <c r="T239" s="4"/>
      <c r="U239" s="4"/>
    </row>
    <row x14ac:dyDescent="0.25" r="240" customHeight="1" ht="12.75">
      <c r="A240" s="4"/>
      <c r="B240" s="29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29"/>
      <c r="N240" s="29"/>
      <c r="O240" s="29"/>
      <c r="P240" s="32"/>
      <c r="Q240" s="32"/>
      <c r="R240" s="4"/>
      <c r="S240" s="4"/>
      <c r="T240" s="4"/>
      <c r="U240" s="4"/>
    </row>
    <row x14ac:dyDescent="0.25" r="241" customHeight="1" ht="12.75">
      <c r="A241" s="4"/>
      <c r="B241" s="29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29"/>
      <c r="N241" s="29"/>
      <c r="O241" s="29"/>
      <c r="P241" s="32"/>
      <c r="Q241" s="32"/>
      <c r="R241" s="4"/>
      <c r="S241" s="4"/>
      <c r="T241" s="4"/>
      <c r="U241" s="4"/>
    </row>
    <row x14ac:dyDescent="0.25" r="242" customHeight="1" ht="12.75">
      <c r="A242" s="4"/>
      <c r="B242" s="29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29"/>
      <c r="N242" s="29"/>
      <c r="O242" s="29"/>
      <c r="P242" s="32"/>
      <c r="Q242" s="32"/>
      <c r="R242" s="4"/>
      <c r="S242" s="4"/>
      <c r="T242" s="4"/>
      <c r="U242" s="4"/>
    </row>
    <row x14ac:dyDescent="0.25" r="243" customHeight="1" ht="12.75">
      <c r="A243" s="4"/>
      <c r="B243" s="29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29"/>
      <c r="N243" s="29"/>
      <c r="O243" s="29"/>
      <c r="P243" s="32"/>
      <c r="Q243" s="32"/>
      <c r="R243" s="4"/>
      <c r="S243" s="4"/>
      <c r="T243" s="4"/>
      <c r="U243" s="4"/>
    </row>
    <row x14ac:dyDescent="0.25" r="244" customHeight="1" ht="12.75">
      <c r="A244" s="4"/>
      <c r="B244" s="29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29"/>
      <c r="N244" s="29"/>
      <c r="O244" s="29"/>
      <c r="P244" s="32"/>
      <c r="Q244" s="32"/>
      <c r="R244" s="4"/>
      <c r="S244" s="4"/>
      <c r="T244" s="4"/>
      <c r="U244" s="4"/>
    </row>
    <row x14ac:dyDescent="0.25" r="245" customHeight="1" ht="12.75">
      <c r="A245" s="4"/>
      <c r="B245" s="29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29"/>
      <c r="N245" s="29"/>
      <c r="O245" s="29"/>
      <c r="P245" s="32"/>
      <c r="Q245" s="32"/>
      <c r="R245" s="4"/>
      <c r="S245" s="4"/>
      <c r="T245" s="4"/>
      <c r="U245" s="4"/>
    </row>
    <row x14ac:dyDescent="0.25" r="246" customHeight="1" ht="12.75">
      <c r="A246" s="4"/>
      <c r="B246" s="29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29"/>
      <c r="N246" s="29"/>
      <c r="O246" s="29"/>
      <c r="P246" s="32"/>
      <c r="Q246" s="32"/>
      <c r="R246" s="4"/>
      <c r="S246" s="4"/>
      <c r="T246" s="4"/>
      <c r="U246" s="4"/>
    </row>
    <row x14ac:dyDescent="0.25" r="247" customHeight="1" ht="12.75">
      <c r="A247" s="4"/>
      <c r="B247" s="29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29"/>
      <c r="N247" s="29"/>
      <c r="O247" s="29"/>
      <c r="P247" s="32"/>
      <c r="Q247" s="32"/>
      <c r="R247" s="4"/>
      <c r="S247" s="4"/>
      <c r="T247" s="4"/>
      <c r="U247" s="4"/>
    </row>
    <row x14ac:dyDescent="0.25" r="248" customHeight="1" ht="12.75">
      <c r="A248" s="4"/>
      <c r="B248" s="29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29"/>
      <c r="N248" s="29"/>
      <c r="O248" s="29"/>
      <c r="P248" s="32"/>
      <c r="Q248" s="32"/>
      <c r="R248" s="4"/>
      <c r="S248" s="4"/>
      <c r="T248" s="4"/>
      <c r="U248" s="4"/>
    </row>
    <row x14ac:dyDescent="0.25" r="249" customHeight="1" ht="12.75">
      <c r="A249" s="4"/>
      <c r="B249" s="29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29"/>
      <c r="N249" s="29"/>
      <c r="O249" s="29"/>
      <c r="P249" s="32"/>
      <c r="Q249" s="32"/>
      <c r="R249" s="4"/>
      <c r="S249" s="4"/>
      <c r="T249" s="4"/>
      <c r="U249" s="4"/>
    </row>
    <row x14ac:dyDescent="0.25" r="250" customHeight="1" ht="12.75">
      <c r="A250" s="4"/>
      <c r="B250" s="29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29"/>
      <c r="N250" s="29"/>
      <c r="O250" s="29"/>
      <c r="P250" s="32"/>
      <c r="Q250" s="32"/>
      <c r="R250" s="4"/>
      <c r="S250" s="4"/>
      <c r="T250" s="4"/>
      <c r="U250" s="4"/>
    </row>
    <row x14ac:dyDescent="0.25" r="251" customHeight="1" ht="12.75">
      <c r="A251" s="4"/>
      <c r="B251" s="29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29"/>
      <c r="N251" s="29"/>
      <c r="O251" s="29"/>
      <c r="P251" s="32"/>
      <c r="Q251" s="32"/>
      <c r="R251" s="4"/>
      <c r="S251" s="4"/>
      <c r="T251" s="4"/>
      <c r="U251" s="4"/>
    </row>
    <row x14ac:dyDescent="0.25" r="252" customHeight="1" ht="12.75">
      <c r="A252" s="4"/>
      <c r="B252" s="29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29"/>
      <c r="N252" s="29"/>
      <c r="O252" s="29"/>
      <c r="P252" s="32"/>
      <c r="Q252" s="32"/>
      <c r="R252" s="4"/>
      <c r="S252" s="4"/>
      <c r="T252" s="4"/>
      <c r="U252" s="4"/>
    </row>
    <row x14ac:dyDescent="0.25" r="253" customHeight="1" ht="12.75">
      <c r="A253" s="4"/>
      <c r="B253" s="29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29"/>
      <c r="N253" s="29"/>
      <c r="O253" s="29"/>
      <c r="P253" s="32"/>
      <c r="Q253" s="32"/>
      <c r="R253" s="4"/>
      <c r="S253" s="4"/>
      <c r="T253" s="4"/>
      <c r="U253" s="4"/>
    </row>
    <row x14ac:dyDescent="0.25" r="254" customHeight="1" ht="12.75">
      <c r="A254" s="4"/>
      <c r="B254" s="29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29"/>
      <c r="N254" s="29"/>
      <c r="O254" s="29"/>
      <c r="P254" s="32"/>
      <c r="Q254" s="32"/>
      <c r="R254" s="4"/>
      <c r="S254" s="4"/>
      <c r="T254" s="4"/>
      <c r="U254" s="4"/>
    </row>
    <row x14ac:dyDescent="0.25" r="255" customHeight="1" ht="12.75">
      <c r="A255" s="4"/>
      <c r="B255" s="29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29"/>
      <c r="N255" s="29"/>
      <c r="O255" s="29"/>
      <c r="P255" s="32"/>
      <c r="Q255" s="32"/>
      <c r="R255" s="4"/>
      <c r="S255" s="4"/>
      <c r="T255" s="4"/>
      <c r="U255" s="4"/>
    </row>
    <row x14ac:dyDescent="0.25" r="256" customHeight="1" ht="12.75">
      <c r="A256" s="4"/>
      <c r="B256" s="29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29"/>
      <c r="N256" s="29"/>
      <c r="O256" s="29"/>
      <c r="P256" s="32"/>
      <c r="Q256" s="32"/>
      <c r="R256" s="4"/>
      <c r="S256" s="4"/>
      <c r="T256" s="4"/>
      <c r="U256" s="4"/>
    </row>
    <row x14ac:dyDescent="0.25" r="257" customHeight="1" ht="12.75">
      <c r="A257" s="4"/>
      <c r="B257" s="29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29"/>
      <c r="N257" s="29"/>
      <c r="O257" s="29"/>
      <c r="P257" s="32"/>
      <c r="Q257" s="32"/>
      <c r="R257" s="4"/>
      <c r="S257" s="4"/>
      <c r="T257" s="4"/>
      <c r="U257" s="4"/>
    </row>
    <row x14ac:dyDescent="0.25" r="258" customHeight="1" ht="12.75">
      <c r="A258" s="4"/>
      <c r="B258" s="29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29"/>
      <c r="N258" s="29"/>
      <c r="O258" s="29"/>
      <c r="P258" s="32"/>
      <c r="Q258" s="32"/>
      <c r="R258" s="4"/>
      <c r="S258" s="4"/>
      <c r="T258" s="4"/>
      <c r="U258" s="4"/>
    </row>
    <row x14ac:dyDescent="0.25" r="259" customHeight="1" ht="12.75">
      <c r="A259" s="4"/>
      <c r="B259" s="29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29"/>
      <c r="N259" s="29"/>
      <c r="O259" s="29"/>
      <c r="P259" s="32"/>
      <c r="Q259" s="32"/>
      <c r="R259" s="4"/>
      <c r="S259" s="4"/>
      <c r="T259" s="4"/>
      <c r="U259" s="4"/>
    </row>
    <row x14ac:dyDescent="0.25" r="260" customHeight="1" ht="12.75">
      <c r="A260" s="4"/>
      <c r="B260" s="29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29"/>
      <c r="N260" s="29"/>
      <c r="O260" s="29"/>
      <c r="P260" s="32"/>
      <c r="Q260" s="32"/>
      <c r="R260" s="4"/>
      <c r="S260" s="4"/>
      <c r="T260" s="4"/>
      <c r="U260" s="4"/>
    </row>
    <row x14ac:dyDescent="0.25" r="261" customHeight="1" ht="12.75">
      <c r="A261" s="4"/>
      <c r="B261" s="29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29"/>
      <c r="N261" s="29"/>
      <c r="O261" s="29"/>
      <c r="P261" s="32"/>
      <c r="Q261" s="32"/>
      <c r="R261" s="4"/>
      <c r="S261" s="4"/>
      <c r="T261" s="4"/>
      <c r="U261" s="4"/>
    </row>
    <row x14ac:dyDescent="0.25" r="262" customHeight="1" ht="12.75">
      <c r="A262" s="4"/>
      <c r="B262" s="29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29"/>
      <c r="N262" s="29"/>
      <c r="O262" s="29"/>
      <c r="P262" s="32"/>
      <c r="Q262" s="32"/>
      <c r="R262" s="4"/>
      <c r="S262" s="4"/>
      <c r="T262" s="4"/>
      <c r="U262" s="4"/>
    </row>
    <row x14ac:dyDescent="0.25" r="263" customHeight="1" ht="12.75">
      <c r="A263" s="4"/>
      <c r="B263" s="29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29"/>
      <c r="N263" s="29"/>
      <c r="O263" s="29"/>
      <c r="P263" s="32"/>
      <c r="Q263" s="32"/>
      <c r="R263" s="4"/>
      <c r="S263" s="4"/>
      <c r="T263" s="4"/>
      <c r="U263" s="4"/>
    </row>
    <row x14ac:dyDescent="0.25" r="264" customHeight="1" ht="12.75">
      <c r="A264" s="4"/>
      <c r="B264" s="29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29"/>
      <c r="N264" s="29"/>
      <c r="O264" s="29"/>
      <c r="P264" s="32"/>
      <c r="Q264" s="32"/>
      <c r="R264" s="4"/>
      <c r="S264" s="4"/>
      <c r="T264" s="4"/>
      <c r="U264" s="4"/>
    </row>
    <row x14ac:dyDescent="0.25" r="265" customHeight="1" ht="12.75">
      <c r="A265" s="4"/>
      <c r="B265" s="29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29"/>
      <c r="N265" s="29"/>
      <c r="O265" s="29"/>
      <c r="P265" s="32"/>
      <c r="Q265" s="32"/>
      <c r="R265" s="4"/>
      <c r="S265" s="4"/>
      <c r="T265" s="4"/>
      <c r="U265" s="4"/>
    </row>
    <row x14ac:dyDescent="0.25" r="266" customHeight="1" ht="12.75">
      <c r="A266" s="4"/>
      <c r="B266" s="29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29"/>
      <c r="N266" s="29"/>
      <c r="O266" s="29"/>
      <c r="P266" s="32"/>
      <c r="Q266" s="32"/>
      <c r="R266" s="4"/>
      <c r="S266" s="4"/>
      <c r="T266" s="4"/>
      <c r="U266" s="4"/>
    </row>
    <row x14ac:dyDescent="0.25" r="267" customHeight="1" ht="12.75">
      <c r="A267" s="4"/>
      <c r="B267" s="29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29"/>
      <c r="N267" s="29"/>
      <c r="O267" s="29"/>
      <c r="P267" s="32"/>
      <c r="Q267" s="32"/>
      <c r="R267" s="4"/>
      <c r="S267" s="4"/>
      <c r="T267" s="4"/>
      <c r="U267" s="4"/>
    </row>
    <row x14ac:dyDescent="0.25" r="268" customHeight="1" ht="12.75">
      <c r="A268" s="4"/>
      <c r="B268" s="29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29"/>
      <c r="N268" s="29"/>
      <c r="O268" s="29"/>
      <c r="P268" s="32"/>
      <c r="Q268" s="32"/>
      <c r="R268" s="4"/>
      <c r="S268" s="4"/>
      <c r="T268" s="4"/>
      <c r="U268" s="4"/>
    </row>
    <row x14ac:dyDescent="0.25" r="269" customHeight="1" ht="12.75">
      <c r="A269" s="4"/>
      <c r="B269" s="29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29"/>
      <c r="N269" s="29"/>
      <c r="O269" s="29"/>
      <c r="P269" s="32"/>
      <c r="Q269" s="32"/>
      <c r="R269" s="4"/>
      <c r="S269" s="4"/>
      <c r="T269" s="4"/>
      <c r="U269" s="4"/>
    </row>
    <row x14ac:dyDescent="0.25" r="270" customHeight="1" ht="12.75">
      <c r="A270" s="4"/>
      <c r="B270" s="29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29"/>
      <c r="N270" s="29"/>
      <c r="O270" s="29"/>
      <c r="P270" s="32"/>
      <c r="Q270" s="32"/>
      <c r="R270" s="4"/>
      <c r="S270" s="4"/>
      <c r="T270" s="4"/>
      <c r="U270" s="4"/>
    </row>
    <row x14ac:dyDescent="0.25" r="271" customHeight="1" ht="12.75">
      <c r="A271" s="4"/>
      <c r="B271" s="29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29"/>
      <c r="N271" s="29"/>
      <c r="O271" s="29"/>
      <c r="P271" s="32"/>
      <c r="Q271" s="32"/>
      <c r="R271" s="4"/>
      <c r="S271" s="4"/>
      <c r="T271" s="4"/>
      <c r="U271" s="4"/>
    </row>
    <row x14ac:dyDescent="0.25" r="272" customHeight="1" ht="12.75">
      <c r="A272" s="4"/>
      <c r="B272" s="29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29"/>
      <c r="N272" s="29"/>
      <c r="O272" s="29"/>
      <c r="P272" s="32"/>
      <c r="Q272" s="32"/>
      <c r="R272" s="4"/>
      <c r="S272" s="4"/>
      <c r="T272" s="4"/>
      <c r="U272" s="4"/>
    </row>
    <row x14ac:dyDescent="0.25" r="273" customHeight="1" ht="12.75">
      <c r="A273" s="4"/>
      <c r="B273" s="29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29"/>
      <c r="N273" s="29"/>
      <c r="O273" s="29"/>
      <c r="P273" s="32"/>
      <c r="Q273" s="32"/>
      <c r="R273" s="4"/>
      <c r="S273" s="4"/>
      <c r="T273" s="4"/>
      <c r="U273" s="4"/>
    </row>
    <row x14ac:dyDescent="0.25" r="274" customHeight="1" ht="12.75">
      <c r="A274" s="4"/>
      <c r="B274" s="29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29"/>
      <c r="N274" s="29"/>
      <c r="O274" s="29"/>
      <c r="P274" s="32"/>
      <c r="Q274" s="32"/>
      <c r="R274" s="4"/>
      <c r="S274" s="4"/>
      <c r="T274" s="4"/>
      <c r="U274" s="4"/>
    </row>
    <row x14ac:dyDescent="0.25" r="275" customHeight="1" ht="12.75">
      <c r="A275" s="4"/>
      <c r="B275" s="29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29"/>
      <c r="N275" s="29"/>
      <c r="O275" s="29"/>
      <c r="P275" s="32"/>
      <c r="Q275" s="32"/>
      <c r="R275" s="4"/>
      <c r="S275" s="4"/>
      <c r="T275" s="4"/>
      <c r="U275" s="4"/>
    </row>
    <row x14ac:dyDescent="0.25" r="276" customHeight="1" ht="12.75">
      <c r="A276" s="4"/>
      <c r="B276" s="29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29"/>
      <c r="N276" s="29"/>
      <c r="O276" s="29"/>
      <c r="P276" s="32"/>
      <c r="Q276" s="32"/>
      <c r="R276" s="4"/>
      <c r="S276" s="4"/>
      <c r="T276" s="4"/>
      <c r="U276" s="4"/>
    </row>
    <row x14ac:dyDescent="0.25" r="277" customHeight="1" ht="12.75">
      <c r="A277" s="4"/>
      <c r="B277" s="29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29"/>
      <c r="N277" s="29"/>
      <c r="O277" s="29"/>
      <c r="P277" s="32"/>
      <c r="Q277" s="32"/>
      <c r="R277" s="4"/>
      <c r="S277" s="4"/>
      <c r="T277" s="4"/>
      <c r="U277" s="4"/>
    </row>
    <row x14ac:dyDescent="0.25" r="278" customHeight="1" ht="12.75">
      <c r="A278" s="4"/>
      <c r="B278" s="29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29"/>
      <c r="N278" s="29"/>
      <c r="O278" s="29"/>
      <c r="P278" s="32"/>
      <c r="Q278" s="32"/>
      <c r="R278" s="4"/>
      <c r="S278" s="4"/>
      <c r="T278" s="4"/>
      <c r="U278" s="4"/>
    </row>
    <row x14ac:dyDescent="0.25" r="279" customHeight="1" ht="12.75">
      <c r="A279" s="4"/>
      <c r="B279" s="29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29"/>
      <c r="N279" s="29"/>
      <c r="O279" s="29"/>
      <c r="P279" s="32"/>
      <c r="Q279" s="32"/>
      <c r="R279" s="4"/>
      <c r="S279" s="4"/>
      <c r="T279" s="4"/>
      <c r="U279" s="4"/>
    </row>
    <row x14ac:dyDescent="0.25" r="280" customHeight="1" ht="12.75">
      <c r="A280" s="4"/>
      <c r="B280" s="29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29"/>
      <c r="N280" s="29"/>
      <c r="O280" s="29"/>
      <c r="P280" s="32"/>
      <c r="Q280" s="32"/>
      <c r="R280" s="4"/>
      <c r="S280" s="4"/>
      <c r="T280" s="4"/>
      <c r="U280" s="4"/>
    </row>
    <row x14ac:dyDescent="0.25" r="281" customHeight="1" ht="12.75">
      <c r="A281" s="4"/>
      <c r="B281" s="29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29"/>
      <c r="N281" s="29"/>
      <c r="O281" s="29"/>
      <c r="P281" s="32"/>
      <c r="Q281" s="32"/>
      <c r="R281" s="4"/>
      <c r="S281" s="4"/>
      <c r="T281" s="4"/>
      <c r="U281" s="4"/>
    </row>
    <row x14ac:dyDescent="0.25" r="282" customHeight="1" ht="12.75">
      <c r="A282" s="4"/>
      <c r="B282" s="29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29"/>
      <c r="N282" s="29"/>
      <c r="O282" s="29"/>
      <c r="P282" s="32"/>
      <c r="Q282" s="32"/>
      <c r="R282" s="4"/>
      <c r="S282" s="4"/>
      <c r="T282" s="4"/>
      <c r="U282" s="4"/>
    </row>
    <row x14ac:dyDescent="0.25" r="283" customHeight="1" ht="12.75">
      <c r="A283" s="4"/>
      <c r="B283" s="29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29"/>
      <c r="N283" s="29"/>
      <c r="O283" s="29"/>
      <c r="P283" s="32"/>
      <c r="Q283" s="32"/>
      <c r="R283" s="4"/>
      <c r="S283" s="4"/>
      <c r="T283" s="4"/>
      <c r="U283" s="4"/>
    </row>
    <row x14ac:dyDescent="0.25" r="284" customHeight="1" ht="12.75">
      <c r="A284" s="4"/>
      <c r="B284" s="29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29"/>
      <c r="N284" s="29"/>
      <c r="O284" s="29"/>
      <c r="P284" s="32"/>
      <c r="Q284" s="32"/>
      <c r="R284" s="4"/>
      <c r="S284" s="4"/>
      <c r="T284" s="4"/>
      <c r="U284" s="4"/>
    </row>
    <row x14ac:dyDescent="0.25" r="285" customHeight="1" ht="12.75">
      <c r="A285" s="4"/>
      <c r="B285" s="29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29"/>
      <c r="N285" s="29"/>
      <c r="O285" s="29"/>
      <c r="P285" s="32"/>
      <c r="Q285" s="32"/>
      <c r="R285" s="4"/>
      <c r="S285" s="4"/>
      <c r="T285" s="4"/>
      <c r="U285" s="4"/>
    </row>
    <row x14ac:dyDescent="0.25" r="286" customHeight="1" ht="12.75">
      <c r="A286" s="4"/>
      <c r="B286" s="29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29"/>
      <c r="N286" s="29"/>
      <c r="O286" s="29"/>
      <c r="P286" s="32"/>
      <c r="Q286" s="32"/>
      <c r="R286" s="4"/>
      <c r="S286" s="4"/>
      <c r="T286" s="4"/>
      <c r="U286" s="4"/>
    </row>
    <row x14ac:dyDescent="0.25" r="287" customHeight="1" ht="12.75">
      <c r="A287" s="4"/>
      <c r="B287" s="29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29"/>
      <c r="N287" s="29"/>
      <c r="O287" s="29"/>
      <c r="P287" s="32"/>
      <c r="Q287" s="32"/>
      <c r="R287" s="4"/>
      <c r="S287" s="4"/>
      <c r="T287" s="4"/>
      <c r="U287" s="4"/>
    </row>
    <row x14ac:dyDescent="0.25" r="288" customHeight="1" ht="12.75">
      <c r="A288" s="4"/>
      <c r="B288" s="29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29"/>
      <c r="N288" s="29"/>
      <c r="O288" s="29"/>
      <c r="P288" s="32"/>
      <c r="Q288" s="32"/>
      <c r="R288" s="4"/>
      <c r="S288" s="4"/>
      <c r="T288" s="4"/>
      <c r="U288" s="4"/>
    </row>
    <row x14ac:dyDescent="0.25" r="289" customHeight="1" ht="12.75">
      <c r="A289" s="4"/>
      <c r="B289" s="29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29"/>
      <c r="N289" s="29"/>
      <c r="O289" s="29"/>
      <c r="P289" s="32"/>
      <c r="Q289" s="32"/>
      <c r="R289" s="4"/>
      <c r="S289" s="4"/>
      <c r="T289" s="4"/>
      <c r="U289" s="4"/>
    </row>
    <row x14ac:dyDescent="0.25" r="290" customHeight="1" ht="12.75">
      <c r="A290" s="4"/>
      <c r="B290" s="29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29"/>
      <c r="N290" s="29"/>
      <c r="O290" s="29"/>
      <c r="P290" s="32"/>
      <c r="Q290" s="32"/>
      <c r="R290" s="4"/>
      <c r="S290" s="4"/>
      <c r="T290" s="4"/>
      <c r="U290" s="4"/>
    </row>
    <row x14ac:dyDescent="0.25" r="291" customHeight="1" ht="12.75">
      <c r="A291" s="4"/>
      <c r="B291" s="29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29"/>
      <c r="N291" s="29"/>
      <c r="O291" s="29"/>
      <c r="P291" s="32"/>
      <c r="Q291" s="32"/>
      <c r="R291" s="4"/>
      <c r="S291" s="4"/>
      <c r="T291" s="4"/>
      <c r="U291" s="4"/>
    </row>
    <row x14ac:dyDescent="0.25" r="292" customHeight="1" ht="12.75">
      <c r="A292" s="4"/>
      <c r="B292" s="29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29"/>
      <c r="N292" s="29"/>
      <c r="O292" s="29"/>
      <c r="P292" s="32"/>
      <c r="Q292" s="32"/>
      <c r="R292" s="4"/>
      <c r="S292" s="4"/>
      <c r="T292" s="4"/>
      <c r="U292" s="4"/>
    </row>
    <row x14ac:dyDescent="0.25" r="293" customHeight="1" ht="12.75">
      <c r="A293" s="4"/>
      <c r="B293" s="29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29"/>
      <c r="N293" s="29"/>
      <c r="O293" s="29"/>
      <c r="P293" s="32"/>
      <c r="Q293" s="32"/>
      <c r="R293" s="4"/>
      <c r="S293" s="4"/>
      <c r="T293" s="4"/>
      <c r="U293" s="4"/>
    </row>
    <row x14ac:dyDescent="0.25" r="294" customHeight="1" ht="12.75">
      <c r="A294" s="4"/>
      <c r="B294" s="29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29"/>
      <c r="N294" s="29"/>
      <c r="O294" s="29"/>
      <c r="P294" s="32"/>
      <c r="Q294" s="32"/>
      <c r="R294" s="4"/>
      <c r="S294" s="4"/>
      <c r="T294" s="4"/>
      <c r="U294" s="4"/>
    </row>
    <row x14ac:dyDescent="0.25" r="295" customHeight="1" ht="12.75">
      <c r="A295" s="4"/>
      <c r="B295" s="29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29"/>
      <c r="N295" s="29"/>
      <c r="O295" s="29"/>
      <c r="P295" s="32"/>
      <c r="Q295" s="32"/>
      <c r="R295" s="4"/>
      <c r="S295" s="4"/>
      <c r="T295" s="4"/>
      <c r="U295" s="4"/>
    </row>
    <row x14ac:dyDescent="0.25" r="296" customHeight="1" ht="12.75">
      <c r="A296" s="4"/>
      <c r="B296" s="29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29"/>
      <c r="N296" s="29"/>
      <c r="O296" s="29"/>
      <c r="P296" s="32"/>
      <c r="Q296" s="32"/>
      <c r="R296" s="4"/>
      <c r="S296" s="4"/>
      <c r="T296" s="4"/>
      <c r="U296" s="4"/>
    </row>
    <row x14ac:dyDescent="0.25" r="297" customHeight="1" ht="12.75">
      <c r="A297" s="4"/>
      <c r="B297" s="29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29"/>
      <c r="N297" s="29"/>
      <c r="O297" s="29"/>
      <c r="P297" s="32"/>
      <c r="Q297" s="32"/>
      <c r="R297" s="4"/>
      <c r="S297" s="4"/>
      <c r="T297" s="4"/>
      <c r="U297" s="4"/>
    </row>
    <row x14ac:dyDescent="0.25" r="298" customHeight="1" ht="12.75">
      <c r="A298" s="4"/>
      <c r="B298" s="29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29"/>
      <c r="N298" s="29"/>
      <c r="O298" s="29"/>
      <c r="P298" s="32"/>
      <c r="Q298" s="32"/>
      <c r="R298" s="4"/>
      <c r="S298" s="4"/>
      <c r="T298" s="4"/>
      <c r="U298" s="4"/>
    </row>
    <row x14ac:dyDescent="0.25" r="299" customHeight="1" ht="12.75">
      <c r="A299" s="4"/>
      <c r="B299" s="29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29"/>
      <c r="N299" s="29"/>
      <c r="O299" s="29"/>
      <c r="P299" s="32"/>
      <c r="Q299" s="32"/>
      <c r="R299" s="4"/>
      <c r="S299" s="4"/>
      <c r="T299" s="4"/>
      <c r="U299" s="4"/>
    </row>
    <row x14ac:dyDescent="0.25" r="300" customHeight="1" ht="12.75">
      <c r="A300" s="4"/>
      <c r="B300" s="29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29"/>
      <c r="N300" s="29"/>
      <c r="O300" s="29"/>
      <c r="P300" s="32"/>
      <c r="Q300" s="32"/>
      <c r="R300" s="4"/>
      <c r="S300" s="4"/>
      <c r="T300" s="4"/>
      <c r="U300" s="4"/>
    </row>
    <row x14ac:dyDescent="0.25" r="301" customHeight="1" ht="12.75">
      <c r="A301" s="4"/>
      <c r="B301" s="29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29"/>
      <c r="N301" s="29"/>
      <c r="O301" s="29"/>
      <c r="P301" s="32"/>
      <c r="Q301" s="32"/>
      <c r="R301" s="4"/>
      <c r="S301" s="4"/>
      <c r="T301" s="4"/>
      <c r="U301" s="4"/>
    </row>
    <row x14ac:dyDescent="0.25" r="302" customHeight="1" ht="12.75">
      <c r="A302" s="4"/>
      <c r="B302" s="29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29"/>
      <c r="N302" s="29"/>
      <c r="O302" s="29"/>
      <c r="P302" s="32"/>
      <c r="Q302" s="32"/>
      <c r="R302" s="4"/>
      <c r="S302" s="4"/>
      <c r="T302" s="4"/>
      <c r="U302" s="4"/>
    </row>
    <row x14ac:dyDescent="0.25" r="303" customHeight="1" ht="12.75">
      <c r="A303" s="4"/>
      <c r="B303" s="29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29"/>
      <c r="N303" s="29"/>
      <c r="O303" s="29"/>
      <c r="P303" s="32"/>
      <c r="Q303" s="32"/>
      <c r="R303" s="4"/>
      <c r="S303" s="4"/>
      <c r="T303" s="4"/>
      <c r="U303" s="4"/>
    </row>
    <row x14ac:dyDescent="0.25" r="304" customHeight="1" ht="12.75">
      <c r="A304" s="4"/>
      <c r="B304" s="29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29"/>
      <c r="N304" s="29"/>
      <c r="O304" s="29"/>
      <c r="P304" s="32"/>
      <c r="Q304" s="32"/>
      <c r="R304" s="4"/>
      <c r="S304" s="4"/>
      <c r="T304" s="4"/>
      <c r="U304" s="4"/>
    </row>
    <row x14ac:dyDescent="0.25" r="305" customHeight="1" ht="12.75">
      <c r="A305" s="4"/>
      <c r="B305" s="29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29"/>
      <c r="N305" s="29"/>
      <c r="O305" s="29"/>
      <c r="P305" s="32"/>
      <c r="Q305" s="32"/>
      <c r="R305" s="4"/>
      <c r="S305" s="4"/>
      <c r="T305" s="4"/>
      <c r="U305" s="4"/>
    </row>
    <row x14ac:dyDescent="0.25" r="306" customHeight="1" ht="12.75">
      <c r="A306" s="4"/>
      <c r="B306" s="29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29"/>
      <c r="N306" s="29"/>
      <c r="O306" s="29"/>
      <c r="P306" s="32"/>
      <c r="Q306" s="32"/>
      <c r="R306" s="4"/>
      <c r="S306" s="4"/>
      <c r="T306" s="4"/>
      <c r="U306" s="4"/>
    </row>
    <row x14ac:dyDescent="0.25" r="307" customHeight="1" ht="12.75">
      <c r="A307" s="4"/>
      <c r="B307" s="29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29"/>
      <c r="N307" s="29"/>
      <c r="O307" s="29"/>
      <c r="P307" s="32"/>
      <c r="Q307" s="32"/>
      <c r="R307" s="4"/>
      <c r="S307" s="4"/>
      <c r="T307" s="4"/>
      <c r="U307" s="4"/>
    </row>
    <row x14ac:dyDescent="0.25" r="308" customHeight="1" ht="12.75">
      <c r="A308" s="4"/>
      <c r="B308" s="29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29"/>
      <c r="N308" s="29"/>
      <c r="O308" s="29"/>
      <c r="P308" s="32"/>
      <c r="Q308" s="32"/>
      <c r="R308" s="4"/>
      <c r="S308" s="4"/>
      <c r="T308" s="4"/>
      <c r="U308" s="4"/>
    </row>
    <row x14ac:dyDescent="0.25" r="309" customHeight="1" ht="12.75">
      <c r="A309" s="4"/>
      <c r="B309" s="29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29"/>
      <c r="N309" s="29"/>
      <c r="O309" s="29"/>
      <c r="P309" s="32"/>
      <c r="Q309" s="32"/>
      <c r="R309" s="4"/>
      <c r="S309" s="4"/>
      <c r="T309" s="4"/>
      <c r="U309" s="4"/>
    </row>
    <row x14ac:dyDescent="0.25" r="310" customHeight="1" ht="12.75">
      <c r="A310" s="4"/>
      <c r="B310" s="29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29"/>
      <c r="N310" s="29"/>
      <c r="O310" s="29"/>
      <c r="P310" s="32"/>
      <c r="Q310" s="32"/>
      <c r="R310" s="4"/>
      <c r="S310" s="4"/>
      <c r="T310" s="4"/>
      <c r="U310" s="4"/>
    </row>
    <row x14ac:dyDescent="0.25" r="311" customHeight="1" ht="12.75">
      <c r="A311" s="4"/>
      <c r="B311" s="29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29"/>
      <c r="N311" s="29"/>
      <c r="O311" s="29"/>
      <c r="P311" s="32"/>
      <c r="Q311" s="32"/>
      <c r="R311" s="4"/>
      <c r="S311" s="4"/>
      <c r="T311" s="4"/>
      <c r="U311" s="4"/>
    </row>
    <row x14ac:dyDescent="0.25" r="312" customHeight="1" ht="12.75">
      <c r="A312" s="4"/>
      <c r="B312" s="29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29"/>
      <c r="N312" s="29"/>
      <c r="O312" s="29"/>
      <c r="P312" s="32"/>
      <c r="Q312" s="32"/>
      <c r="R312" s="4"/>
      <c r="S312" s="4"/>
      <c r="T312" s="4"/>
      <c r="U312" s="4"/>
    </row>
    <row x14ac:dyDescent="0.25" r="313" customHeight="1" ht="12.75">
      <c r="A313" s="4"/>
      <c r="B313" s="29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29"/>
      <c r="N313" s="29"/>
      <c r="O313" s="29"/>
      <c r="P313" s="32"/>
      <c r="Q313" s="32"/>
      <c r="R313" s="4"/>
      <c r="S313" s="4"/>
      <c r="T313" s="4"/>
      <c r="U313" s="4"/>
    </row>
    <row x14ac:dyDescent="0.25" r="314" customHeight="1" ht="12.75">
      <c r="A314" s="4"/>
      <c r="B314" s="29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29"/>
      <c r="N314" s="29"/>
      <c r="O314" s="29"/>
      <c r="P314" s="32"/>
      <c r="Q314" s="32"/>
      <c r="R314" s="4"/>
      <c r="S314" s="4"/>
      <c r="T314" s="4"/>
      <c r="U314" s="4"/>
    </row>
    <row x14ac:dyDescent="0.25" r="315" customHeight="1" ht="12.75">
      <c r="A315" s="4"/>
      <c r="B315" s="29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29"/>
      <c r="N315" s="29"/>
      <c r="O315" s="29"/>
      <c r="P315" s="32"/>
      <c r="Q315" s="32"/>
      <c r="R315" s="4"/>
      <c r="S315" s="4"/>
      <c r="T315" s="4"/>
      <c r="U315" s="4"/>
    </row>
    <row x14ac:dyDescent="0.25" r="316" customHeight="1" ht="12.75">
      <c r="A316" s="4"/>
      <c r="B316" s="29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29"/>
      <c r="N316" s="29"/>
      <c r="O316" s="29"/>
      <c r="P316" s="32"/>
      <c r="Q316" s="32"/>
      <c r="R316" s="4"/>
      <c r="S316" s="4"/>
      <c r="T316" s="4"/>
      <c r="U316" s="4"/>
    </row>
    <row x14ac:dyDescent="0.25" r="317" customHeight="1" ht="12.75">
      <c r="A317" s="4"/>
      <c r="B317" s="29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29"/>
      <c r="N317" s="29"/>
      <c r="O317" s="29"/>
      <c r="P317" s="32"/>
      <c r="Q317" s="32"/>
      <c r="R317" s="4"/>
      <c r="S317" s="4"/>
      <c r="T317" s="4"/>
      <c r="U317" s="4"/>
    </row>
    <row x14ac:dyDescent="0.25" r="318" customHeight="1" ht="12.75">
      <c r="A318" s="4"/>
      <c r="B318" s="29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29"/>
      <c r="N318" s="29"/>
      <c r="O318" s="29"/>
      <c r="P318" s="32"/>
      <c r="Q318" s="32"/>
      <c r="R318" s="4"/>
      <c r="S318" s="4"/>
      <c r="T318" s="4"/>
      <c r="U318" s="4"/>
    </row>
    <row x14ac:dyDescent="0.25" r="319" customHeight="1" ht="12.75">
      <c r="A319" s="4"/>
      <c r="B319" s="29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29"/>
      <c r="N319" s="29"/>
      <c r="O319" s="29"/>
      <c r="P319" s="32"/>
      <c r="Q319" s="32"/>
      <c r="R319" s="4"/>
      <c r="S319" s="4"/>
      <c r="T319" s="4"/>
      <c r="U319" s="4"/>
    </row>
    <row x14ac:dyDescent="0.25" r="320" customHeight="1" ht="12.75">
      <c r="A320" s="4"/>
      <c r="B320" s="29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29"/>
      <c r="N320" s="29"/>
      <c r="O320" s="29"/>
      <c r="P320" s="32"/>
      <c r="Q320" s="32"/>
      <c r="R320" s="4"/>
      <c r="S320" s="4"/>
      <c r="T320" s="4"/>
      <c r="U320" s="4"/>
    </row>
    <row x14ac:dyDescent="0.25" r="321" customHeight="1" ht="12.75">
      <c r="A321" s="4"/>
      <c r="B321" s="29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29"/>
      <c r="N321" s="29"/>
      <c r="O321" s="29"/>
      <c r="P321" s="32"/>
      <c r="Q321" s="32"/>
      <c r="R321" s="4"/>
      <c r="S321" s="4"/>
      <c r="T321" s="4"/>
      <c r="U321" s="4"/>
    </row>
    <row x14ac:dyDescent="0.25" r="322" customHeight="1" ht="12.75">
      <c r="A322" s="4"/>
      <c r="B322" s="29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29"/>
      <c r="N322" s="29"/>
      <c r="O322" s="29"/>
      <c r="P322" s="32"/>
      <c r="Q322" s="32"/>
      <c r="R322" s="4"/>
      <c r="S322" s="4"/>
      <c r="T322" s="4"/>
      <c r="U322" s="4"/>
    </row>
    <row x14ac:dyDescent="0.25" r="323" customHeight="1" ht="12.75">
      <c r="A323" s="4"/>
      <c r="B323" s="29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29"/>
      <c r="N323" s="29"/>
      <c r="O323" s="29"/>
      <c r="P323" s="32"/>
      <c r="Q323" s="32"/>
      <c r="R323" s="4"/>
      <c r="S323" s="4"/>
      <c r="T323" s="4"/>
      <c r="U323" s="4"/>
    </row>
    <row x14ac:dyDescent="0.25" r="324" customHeight="1" ht="12.75">
      <c r="A324" s="4"/>
      <c r="B324" s="29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29"/>
      <c r="N324" s="29"/>
      <c r="O324" s="29"/>
      <c r="P324" s="32"/>
      <c r="Q324" s="32"/>
      <c r="R324" s="4"/>
      <c r="S324" s="4"/>
      <c r="T324" s="4"/>
      <c r="U324" s="4"/>
    </row>
    <row x14ac:dyDescent="0.25" r="325" customHeight="1" ht="12.75">
      <c r="A325" s="4"/>
      <c r="B325" s="29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29"/>
      <c r="N325" s="29"/>
      <c r="O325" s="29"/>
      <c r="P325" s="32"/>
      <c r="Q325" s="32"/>
      <c r="R325" s="4"/>
      <c r="S325" s="4"/>
      <c r="T325" s="4"/>
      <c r="U325" s="4"/>
    </row>
    <row x14ac:dyDescent="0.25" r="326" customHeight="1" ht="12.75">
      <c r="A326" s="4"/>
      <c r="B326" s="29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29"/>
      <c r="N326" s="29"/>
      <c r="O326" s="29"/>
      <c r="P326" s="32"/>
      <c r="Q326" s="32"/>
      <c r="R326" s="4"/>
      <c r="S326" s="4"/>
      <c r="T326" s="4"/>
      <c r="U326" s="4"/>
    </row>
    <row x14ac:dyDescent="0.25" r="327" customHeight="1" ht="12.75">
      <c r="A327" s="4"/>
      <c r="B327" s="29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29"/>
      <c r="N327" s="29"/>
      <c r="O327" s="29"/>
      <c r="P327" s="32"/>
      <c r="Q327" s="32"/>
      <c r="R327" s="4"/>
      <c r="S327" s="4"/>
      <c r="T327" s="4"/>
      <c r="U327" s="4"/>
    </row>
    <row x14ac:dyDescent="0.25" r="328" customHeight="1" ht="12.75">
      <c r="A328" s="4"/>
      <c r="B328" s="29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29"/>
      <c r="N328" s="29"/>
      <c r="O328" s="29"/>
      <c r="P328" s="32"/>
      <c r="Q328" s="32"/>
      <c r="R328" s="4"/>
      <c r="S328" s="4"/>
      <c r="T328" s="4"/>
      <c r="U328" s="4"/>
    </row>
    <row x14ac:dyDescent="0.25" r="329" customHeight="1" ht="12.75">
      <c r="A329" s="4"/>
      <c r="B329" s="29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29"/>
      <c r="N329" s="29"/>
      <c r="O329" s="29"/>
      <c r="P329" s="32"/>
      <c r="Q329" s="32"/>
      <c r="R329" s="4"/>
      <c r="S329" s="4"/>
      <c r="T329" s="4"/>
      <c r="U329" s="4"/>
    </row>
    <row x14ac:dyDescent="0.25" r="330" customHeight="1" ht="12.75">
      <c r="A330" s="4"/>
      <c r="B330" s="29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29"/>
      <c r="N330" s="29"/>
      <c r="O330" s="29"/>
      <c r="P330" s="32"/>
      <c r="Q330" s="32"/>
      <c r="R330" s="4"/>
      <c r="S330" s="4"/>
      <c r="T330" s="4"/>
      <c r="U330" s="4"/>
    </row>
    <row x14ac:dyDescent="0.25" r="331" customHeight="1" ht="12.75">
      <c r="A331" s="4"/>
      <c r="B331" s="29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29"/>
      <c r="N331" s="29"/>
      <c r="O331" s="29"/>
      <c r="P331" s="32"/>
      <c r="Q331" s="32"/>
      <c r="R331" s="4"/>
      <c r="S331" s="4"/>
      <c r="T331" s="4"/>
      <c r="U331" s="4"/>
    </row>
    <row x14ac:dyDescent="0.25" r="332" customHeight="1" ht="12.75">
      <c r="A332" s="4"/>
      <c r="B332" s="29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29"/>
      <c r="N332" s="29"/>
      <c r="O332" s="29"/>
      <c r="P332" s="32"/>
      <c r="Q332" s="32"/>
      <c r="R332" s="4"/>
      <c r="S332" s="4"/>
      <c r="T332" s="4"/>
      <c r="U332" s="4"/>
    </row>
    <row x14ac:dyDescent="0.25" r="333" customHeight="1" ht="12.75">
      <c r="A333" s="4"/>
      <c r="B333" s="29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29"/>
      <c r="N333" s="29"/>
      <c r="O333" s="29"/>
      <c r="P333" s="32"/>
      <c r="Q333" s="32"/>
      <c r="R333" s="4"/>
      <c r="S333" s="4"/>
      <c r="T333" s="4"/>
      <c r="U333" s="4"/>
    </row>
    <row x14ac:dyDescent="0.25" r="334" customHeight="1" ht="12.75">
      <c r="A334" s="4"/>
      <c r="B334" s="29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29"/>
      <c r="N334" s="29"/>
      <c r="O334" s="29"/>
      <c r="P334" s="32"/>
      <c r="Q334" s="32"/>
      <c r="R334" s="4"/>
      <c r="S334" s="4"/>
      <c r="T334" s="4"/>
      <c r="U334" s="4"/>
    </row>
    <row x14ac:dyDescent="0.25" r="335" customHeight="1" ht="12.75">
      <c r="A335" s="4"/>
      <c r="B335" s="29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29"/>
      <c r="N335" s="29"/>
      <c r="O335" s="29"/>
      <c r="P335" s="32"/>
      <c r="Q335" s="32"/>
      <c r="R335" s="4"/>
      <c r="S335" s="4"/>
      <c r="T335" s="4"/>
      <c r="U335" s="4"/>
    </row>
    <row x14ac:dyDescent="0.25" r="336" customHeight="1" ht="12.75">
      <c r="A336" s="4"/>
      <c r="B336" s="29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29"/>
      <c r="N336" s="29"/>
      <c r="O336" s="29"/>
      <c r="P336" s="32"/>
      <c r="Q336" s="32"/>
      <c r="R336" s="4"/>
      <c r="S336" s="4"/>
      <c r="T336" s="4"/>
      <c r="U336" s="4"/>
    </row>
    <row x14ac:dyDescent="0.25" r="337" customHeight="1" ht="12.75">
      <c r="A337" s="4"/>
      <c r="B337" s="29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29"/>
      <c r="N337" s="29"/>
      <c r="O337" s="29"/>
      <c r="P337" s="32"/>
      <c r="Q337" s="32"/>
      <c r="R337" s="4"/>
      <c r="S337" s="4"/>
      <c r="T337" s="4"/>
      <c r="U337" s="4"/>
    </row>
    <row x14ac:dyDescent="0.25" r="338" customHeight="1" ht="12.75">
      <c r="A338" s="4"/>
      <c r="B338" s="29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29"/>
      <c r="N338" s="29"/>
      <c r="O338" s="29"/>
      <c r="P338" s="32"/>
      <c r="Q338" s="32"/>
      <c r="R338" s="4"/>
      <c r="S338" s="4"/>
      <c r="T338" s="4"/>
      <c r="U338" s="4"/>
    </row>
    <row x14ac:dyDescent="0.25" r="339" customHeight="1" ht="12.75">
      <c r="A339" s="4"/>
      <c r="B339" s="29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29"/>
      <c r="N339" s="29"/>
      <c r="O339" s="29"/>
      <c r="P339" s="32"/>
      <c r="Q339" s="32"/>
      <c r="R339" s="4"/>
      <c r="S339" s="4"/>
      <c r="T339" s="4"/>
      <c r="U339" s="4"/>
    </row>
    <row x14ac:dyDescent="0.25" r="340" customHeight="1" ht="12.75">
      <c r="A340" s="4"/>
      <c r="B340" s="29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29"/>
      <c r="N340" s="29"/>
      <c r="O340" s="29"/>
      <c r="P340" s="32"/>
      <c r="Q340" s="32"/>
      <c r="R340" s="4"/>
      <c r="S340" s="4"/>
      <c r="T340" s="4"/>
      <c r="U340" s="4"/>
    </row>
    <row x14ac:dyDescent="0.25" r="341" customHeight="1" ht="12.75">
      <c r="A341" s="4"/>
      <c r="B341" s="29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29"/>
      <c r="N341" s="29"/>
      <c r="O341" s="29"/>
      <c r="P341" s="32"/>
      <c r="Q341" s="32"/>
      <c r="R341" s="4"/>
      <c r="S341" s="4"/>
      <c r="T341" s="4"/>
      <c r="U341" s="4"/>
    </row>
    <row x14ac:dyDescent="0.25" r="342" customHeight="1" ht="12.75">
      <c r="A342" s="4"/>
      <c r="B342" s="29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29"/>
      <c r="N342" s="29"/>
      <c r="O342" s="29"/>
      <c r="P342" s="32"/>
      <c r="Q342" s="32"/>
      <c r="R342" s="4"/>
      <c r="S342" s="4"/>
      <c r="T342" s="4"/>
      <c r="U342" s="4"/>
    </row>
    <row x14ac:dyDescent="0.25" r="343" customHeight="1" ht="12.75">
      <c r="A343" s="4"/>
      <c r="B343" s="29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29"/>
      <c r="N343" s="29"/>
      <c r="O343" s="29"/>
      <c r="P343" s="32"/>
      <c r="Q343" s="32"/>
      <c r="R343" s="4"/>
      <c r="S343" s="4"/>
      <c r="T343" s="4"/>
      <c r="U343" s="4"/>
    </row>
    <row x14ac:dyDescent="0.25" r="344" customHeight="1" ht="12.75">
      <c r="A344" s="4"/>
      <c r="B344" s="29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29"/>
      <c r="N344" s="29"/>
      <c r="O344" s="29"/>
      <c r="P344" s="32"/>
      <c r="Q344" s="32"/>
      <c r="R344" s="4"/>
      <c r="S344" s="4"/>
      <c r="T344" s="4"/>
      <c r="U344" s="4"/>
    </row>
    <row x14ac:dyDescent="0.25" r="345" customHeight="1" ht="12.75">
      <c r="A345" s="4"/>
      <c r="B345" s="29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29"/>
      <c r="N345" s="29"/>
      <c r="O345" s="29"/>
      <c r="P345" s="32"/>
      <c r="Q345" s="32"/>
      <c r="R345" s="4"/>
      <c r="S345" s="4"/>
      <c r="T345" s="4"/>
      <c r="U345" s="4"/>
    </row>
    <row x14ac:dyDescent="0.25" r="346" customHeight="1" ht="12.75">
      <c r="A346" s="4"/>
      <c r="B346" s="29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29"/>
      <c r="N346" s="29"/>
      <c r="O346" s="29"/>
      <c r="P346" s="32"/>
      <c r="Q346" s="32"/>
      <c r="R346" s="4"/>
      <c r="S346" s="4"/>
      <c r="T346" s="4"/>
      <c r="U346" s="4"/>
    </row>
    <row x14ac:dyDescent="0.25" r="347" customHeight="1" ht="12.75">
      <c r="A347" s="4"/>
      <c r="B347" s="29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29"/>
      <c r="N347" s="29"/>
      <c r="O347" s="29"/>
      <c r="P347" s="32"/>
      <c r="Q347" s="32"/>
      <c r="R347" s="4"/>
      <c r="S347" s="4"/>
      <c r="T347" s="4"/>
      <c r="U347" s="4"/>
    </row>
    <row x14ac:dyDescent="0.25" r="348" customHeight="1" ht="12.75">
      <c r="A348" s="4"/>
      <c r="B348" s="29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29"/>
      <c r="N348" s="29"/>
      <c r="O348" s="29"/>
      <c r="P348" s="32"/>
      <c r="Q348" s="32"/>
      <c r="R348" s="4"/>
      <c r="S348" s="4"/>
      <c r="T348" s="4"/>
      <c r="U348" s="4"/>
    </row>
    <row x14ac:dyDescent="0.25" r="349" customHeight="1" ht="12.75">
      <c r="A349" s="4"/>
      <c r="B349" s="29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29"/>
      <c r="N349" s="29"/>
      <c r="O349" s="29"/>
      <c r="P349" s="32"/>
      <c r="Q349" s="32"/>
      <c r="R349" s="4"/>
      <c r="S349" s="4"/>
      <c r="T349" s="4"/>
      <c r="U349" s="4"/>
    </row>
    <row x14ac:dyDescent="0.25" r="350" customHeight="1" ht="12.75">
      <c r="A350" s="4"/>
      <c r="B350" s="29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29"/>
      <c r="N350" s="29"/>
      <c r="O350" s="29"/>
      <c r="P350" s="32"/>
      <c r="Q350" s="32"/>
      <c r="R350" s="4"/>
      <c r="S350" s="4"/>
      <c r="T350" s="4"/>
      <c r="U350" s="4"/>
    </row>
    <row x14ac:dyDescent="0.25" r="351" customHeight="1" ht="12.75">
      <c r="A351" s="4"/>
      <c r="B351" s="29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29"/>
      <c r="N351" s="29"/>
      <c r="O351" s="29"/>
      <c r="P351" s="32"/>
      <c r="Q351" s="32"/>
      <c r="R351" s="4"/>
      <c r="S351" s="4"/>
      <c r="T351" s="4"/>
      <c r="U351" s="4"/>
    </row>
    <row x14ac:dyDescent="0.25" r="352" customHeight="1" ht="12.75">
      <c r="A352" s="4"/>
      <c r="B352" s="29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29"/>
      <c r="N352" s="29"/>
      <c r="O352" s="29"/>
      <c r="P352" s="32"/>
      <c r="Q352" s="32"/>
      <c r="R352" s="4"/>
      <c r="S352" s="4"/>
      <c r="T352" s="4"/>
      <c r="U352" s="4"/>
    </row>
    <row x14ac:dyDescent="0.25" r="353" customHeight="1" ht="12.75">
      <c r="A353" s="4"/>
      <c r="B353" s="29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29"/>
      <c r="N353" s="29"/>
      <c r="O353" s="29"/>
      <c r="P353" s="32"/>
      <c r="Q353" s="32"/>
      <c r="R353" s="4"/>
      <c r="S353" s="4"/>
      <c r="T353" s="4"/>
      <c r="U353" s="4"/>
    </row>
    <row x14ac:dyDescent="0.25" r="354" customHeight="1" ht="12.75">
      <c r="A354" s="4"/>
      <c r="B354" s="29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29"/>
      <c r="N354" s="29"/>
      <c r="O354" s="29"/>
      <c r="P354" s="32"/>
      <c r="Q354" s="32"/>
      <c r="R354" s="4"/>
      <c r="S354" s="4"/>
      <c r="T354" s="4"/>
      <c r="U354" s="4"/>
    </row>
    <row x14ac:dyDescent="0.25" r="355" customHeight="1" ht="12.75">
      <c r="A355" s="4"/>
      <c r="B355" s="29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29"/>
      <c r="N355" s="29"/>
      <c r="O355" s="29"/>
      <c r="P355" s="32"/>
      <c r="Q355" s="32"/>
      <c r="R355" s="4"/>
      <c r="S355" s="4"/>
      <c r="T355" s="4"/>
      <c r="U355" s="4"/>
    </row>
    <row x14ac:dyDescent="0.25" r="356" customHeight="1" ht="12.75">
      <c r="A356" s="4"/>
      <c r="B356" s="29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29"/>
      <c r="N356" s="29"/>
      <c r="O356" s="29"/>
      <c r="P356" s="32"/>
      <c r="Q356" s="32"/>
      <c r="R356" s="4"/>
      <c r="S356" s="4"/>
      <c r="T356" s="4"/>
      <c r="U356" s="4"/>
    </row>
    <row x14ac:dyDescent="0.25" r="357" customHeight="1" ht="12.75">
      <c r="A357" s="4"/>
      <c r="B357" s="29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29"/>
      <c r="N357" s="29"/>
      <c r="O357" s="29"/>
      <c r="P357" s="32"/>
      <c r="Q357" s="32"/>
      <c r="R357" s="4"/>
      <c r="S357" s="4"/>
      <c r="T357" s="4"/>
      <c r="U357" s="4"/>
    </row>
    <row x14ac:dyDescent="0.25" r="358" customHeight="1" ht="12.75">
      <c r="A358" s="4"/>
      <c r="B358" s="29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29"/>
      <c r="N358" s="29"/>
      <c r="O358" s="29"/>
      <c r="P358" s="32"/>
      <c r="Q358" s="32"/>
      <c r="R358" s="4"/>
      <c r="S358" s="4"/>
      <c r="T358" s="4"/>
      <c r="U358" s="4"/>
    </row>
    <row x14ac:dyDescent="0.25" r="359" customHeight="1" ht="12.75">
      <c r="A359" s="4"/>
      <c r="B359" s="29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29"/>
      <c r="N359" s="29"/>
      <c r="O359" s="29"/>
      <c r="P359" s="32"/>
      <c r="Q359" s="32"/>
      <c r="R359" s="4"/>
      <c r="S359" s="4"/>
      <c r="T359" s="4"/>
      <c r="U359" s="4"/>
    </row>
    <row x14ac:dyDescent="0.25" r="360" customHeight="1" ht="12.75">
      <c r="A360" s="4"/>
      <c r="B360" s="29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29"/>
      <c r="N360" s="29"/>
      <c r="O360" s="29"/>
      <c r="P360" s="32"/>
      <c r="Q360" s="32"/>
      <c r="R360" s="4"/>
      <c r="S360" s="4"/>
      <c r="T360" s="4"/>
      <c r="U360" s="4"/>
    </row>
    <row x14ac:dyDescent="0.25" r="361" customHeight="1" ht="12.75">
      <c r="A361" s="4"/>
      <c r="B361" s="29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29"/>
      <c r="N361" s="29"/>
      <c r="O361" s="29"/>
      <c r="P361" s="32"/>
      <c r="Q361" s="32"/>
      <c r="R361" s="4"/>
      <c r="S361" s="4"/>
      <c r="T361" s="4"/>
      <c r="U361" s="4"/>
    </row>
    <row x14ac:dyDescent="0.25" r="362" customHeight="1" ht="12.75">
      <c r="A362" s="4"/>
      <c r="B362" s="29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29"/>
      <c r="N362" s="29"/>
      <c r="O362" s="29"/>
      <c r="P362" s="32"/>
      <c r="Q362" s="32"/>
      <c r="R362" s="4"/>
      <c r="S362" s="4"/>
      <c r="T362" s="4"/>
      <c r="U362" s="4"/>
    </row>
    <row x14ac:dyDescent="0.25" r="363" customHeight="1" ht="12.75">
      <c r="A363" s="4"/>
      <c r="B363" s="29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29"/>
      <c r="N363" s="29"/>
      <c r="O363" s="29"/>
      <c r="P363" s="32"/>
      <c r="Q363" s="32"/>
      <c r="R363" s="4"/>
      <c r="S363" s="4"/>
      <c r="T363" s="4"/>
      <c r="U363" s="4"/>
    </row>
    <row x14ac:dyDescent="0.25" r="364" customHeight="1" ht="12.75">
      <c r="A364" s="4"/>
      <c r="B364" s="29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29"/>
      <c r="N364" s="29"/>
      <c r="O364" s="29"/>
      <c r="P364" s="32"/>
      <c r="Q364" s="32"/>
      <c r="R364" s="4"/>
      <c r="S364" s="4"/>
      <c r="T364" s="4"/>
      <c r="U364" s="4"/>
    </row>
    <row x14ac:dyDescent="0.25" r="365" customHeight="1" ht="12.75">
      <c r="A365" s="4"/>
      <c r="B365" s="29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29"/>
      <c r="N365" s="29"/>
      <c r="O365" s="29"/>
      <c r="P365" s="32"/>
      <c r="Q365" s="32"/>
      <c r="R365" s="4"/>
      <c r="S365" s="4"/>
      <c r="T365" s="4"/>
      <c r="U365" s="4"/>
    </row>
    <row x14ac:dyDescent="0.25" r="366" customHeight="1" ht="12.75">
      <c r="A366" s="4"/>
      <c r="B366" s="29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29"/>
      <c r="N366" s="29"/>
      <c r="O366" s="29"/>
      <c r="P366" s="32"/>
      <c r="Q366" s="32"/>
      <c r="R366" s="4"/>
      <c r="S366" s="4"/>
      <c r="T366" s="4"/>
      <c r="U366" s="4"/>
    </row>
    <row x14ac:dyDescent="0.25" r="367" customHeight="1" ht="12.75">
      <c r="A367" s="4"/>
      <c r="B367" s="29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29"/>
      <c r="N367" s="29"/>
      <c r="O367" s="29"/>
      <c r="P367" s="32"/>
      <c r="Q367" s="32"/>
      <c r="R367" s="4"/>
      <c r="S367" s="4"/>
      <c r="T367" s="4"/>
      <c r="U367" s="4"/>
    </row>
    <row x14ac:dyDescent="0.25" r="368" customHeight="1" ht="12.75">
      <c r="A368" s="4"/>
      <c r="B368" s="29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29"/>
      <c r="N368" s="29"/>
      <c r="O368" s="29"/>
      <c r="P368" s="32"/>
      <c r="Q368" s="32"/>
      <c r="R368" s="4"/>
      <c r="S368" s="4"/>
      <c r="T368" s="4"/>
      <c r="U368" s="4"/>
    </row>
    <row x14ac:dyDescent="0.25" r="369" customHeight="1" ht="12.75">
      <c r="A369" s="4"/>
      <c r="B369" s="29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29"/>
      <c r="N369" s="29"/>
      <c r="O369" s="29"/>
      <c r="P369" s="32"/>
      <c r="Q369" s="32"/>
      <c r="R369" s="4"/>
      <c r="S369" s="4"/>
      <c r="T369" s="4"/>
      <c r="U369" s="4"/>
    </row>
    <row x14ac:dyDescent="0.25" r="370" customHeight="1" ht="12.75">
      <c r="A370" s="4"/>
      <c r="B370" s="29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29"/>
      <c r="N370" s="29"/>
      <c r="O370" s="29"/>
      <c r="P370" s="32"/>
      <c r="Q370" s="32"/>
      <c r="R370" s="4"/>
      <c r="S370" s="4"/>
      <c r="T370" s="4"/>
      <c r="U370" s="4"/>
    </row>
    <row x14ac:dyDescent="0.25" r="371" customHeight="1" ht="12.75">
      <c r="A371" s="4"/>
      <c r="B371" s="29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29"/>
      <c r="N371" s="29"/>
      <c r="O371" s="29"/>
      <c r="P371" s="32"/>
      <c r="Q371" s="32"/>
      <c r="R371" s="4"/>
      <c r="S371" s="4"/>
      <c r="T371" s="4"/>
      <c r="U371" s="4"/>
    </row>
    <row x14ac:dyDescent="0.25" r="372" customHeight="1" ht="12.75">
      <c r="A372" s="4"/>
      <c r="B372" s="29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29"/>
      <c r="N372" s="29"/>
      <c r="O372" s="29"/>
      <c r="P372" s="32"/>
      <c r="Q372" s="32"/>
      <c r="R372" s="4"/>
      <c r="S372" s="4"/>
      <c r="T372" s="4"/>
      <c r="U372" s="4"/>
    </row>
    <row x14ac:dyDescent="0.25" r="373" customHeight="1" ht="12.75">
      <c r="A373" s="4"/>
      <c r="B373" s="29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29"/>
      <c r="N373" s="29"/>
      <c r="O373" s="29"/>
      <c r="P373" s="32"/>
      <c r="Q373" s="32"/>
      <c r="R373" s="4"/>
      <c r="S373" s="4"/>
      <c r="T373" s="4"/>
      <c r="U373" s="4"/>
    </row>
    <row x14ac:dyDescent="0.25" r="374" customHeight="1" ht="12.75">
      <c r="A374" s="4"/>
      <c r="B374" s="29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29"/>
      <c r="N374" s="29"/>
      <c r="O374" s="29"/>
      <c r="P374" s="32"/>
      <c r="Q374" s="32"/>
      <c r="R374" s="4"/>
      <c r="S374" s="4"/>
      <c r="T374" s="4"/>
      <c r="U374" s="4"/>
    </row>
    <row x14ac:dyDescent="0.25" r="375" customHeight="1" ht="12.75">
      <c r="A375" s="4"/>
      <c r="B375" s="29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29"/>
      <c r="N375" s="29"/>
      <c r="O375" s="29"/>
      <c r="P375" s="32"/>
      <c r="Q375" s="32"/>
      <c r="R375" s="4"/>
      <c r="S375" s="4"/>
      <c r="T375" s="4"/>
      <c r="U375" s="4"/>
    </row>
    <row x14ac:dyDescent="0.25" r="376" customHeight="1" ht="12.75">
      <c r="A376" s="4"/>
      <c r="B376" s="29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29"/>
      <c r="N376" s="29"/>
      <c r="O376" s="29"/>
      <c r="P376" s="32"/>
      <c r="Q376" s="32"/>
      <c r="R376" s="4"/>
      <c r="S376" s="4"/>
      <c r="T376" s="4"/>
      <c r="U376" s="4"/>
    </row>
    <row x14ac:dyDescent="0.25" r="377" customHeight="1" ht="12.75">
      <c r="A377" s="4"/>
      <c r="B377" s="29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29"/>
      <c r="N377" s="29"/>
      <c r="O377" s="29"/>
      <c r="P377" s="32"/>
      <c r="Q377" s="32"/>
      <c r="R377" s="4"/>
      <c r="S377" s="4"/>
      <c r="T377" s="4"/>
      <c r="U377" s="4"/>
    </row>
    <row x14ac:dyDescent="0.25" r="378" customHeight="1" ht="12.75">
      <c r="A378" s="4"/>
      <c r="B378" s="29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29"/>
      <c r="N378" s="29"/>
      <c r="O378" s="29"/>
      <c r="P378" s="32"/>
      <c r="Q378" s="32"/>
      <c r="R378" s="4"/>
      <c r="S378" s="4"/>
      <c r="T378" s="4"/>
      <c r="U378" s="4"/>
    </row>
    <row x14ac:dyDescent="0.25" r="379" customHeight="1" ht="12.75">
      <c r="A379" s="4"/>
      <c r="B379" s="29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29"/>
      <c r="N379" s="29"/>
      <c r="O379" s="29"/>
      <c r="P379" s="32"/>
      <c r="Q379" s="32"/>
      <c r="R379" s="4"/>
      <c r="S379" s="4"/>
      <c r="T379" s="4"/>
      <c r="U379" s="4"/>
    </row>
    <row x14ac:dyDescent="0.25" r="380" customHeight="1" ht="12.75">
      <c r="A380" s="4"/>
      <c r="B380" s="29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29"/>
      <c r="N380" s="29"/>
      <c r="O380" s="29"/>
      <c r="P380" s="32"/>
      <c r="Q380" s="32"/>
      <c r="R380" s="4"/>
      <c r="S380" s="4"/>
      <c r="T380" s="4"/>
      <c r="U380" s="4"/>
    </row>
    <row x14ac:dyDescent="0.25" r="381" customHeight="1" ht="12.75">
      <c r="A381" s="4"/>
      <c r="B381" s="29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29"/>
      <c r="N381" s="29"/>
      <c r="O381" s="29"/>
      <c r="P381" s="32"/>
      <c r="Q381" s="32"/>
      <c r="R381" s="4"/>
      <c r="S381" s="4"/>
      <c r="T381" s="4"/>
      <c r="U381" s="4"/>
    </row>
    <row x14ac:dyDescent="0.25" r="382" customHeight="1" ht="12.75">
      <c r="A382" s="4"/>
      <c r="B382" s="29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29"/>
      <c r="N382" s="29"/>
      <c r="O382" s="29"/>
      <c r="P382" s="32"/>
      <c r="Q382" s="32"/>
      <c r="R382" s="4"/>
      <c r="S382" s="4"/>
      <c r="T382" s="4"/>
      <c r="U382" s="4"/>
    </row>
    <row x14ac:dyDescent="0.25" r="383" customHeight="1" ht="12.75">
      <c r="A383" s="4"/>
      <c r="B383" s="29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29"/>
      <c r="N383" s="29"/>
      <c r="O383" s="29"/>
      <c r="P383" s="32"/>
      <c r="Q383" s="32"/>
      <c r="R383" s="4"/>
      <c r="S383" s="4"/>
      <c r="T383" s="4"/>
      <c r="U383" s="4"/>
    </row>
    <row x14ac:dyDescent="0.25" r="384" customHeight="1" ht="12.75">
      <c r="A384" s="4"/>
      <c r="B384" s="29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29"/>
      <c r="N384" s="29"/>
      <c r="O384" s="29"/>
      <c r="P384" s="32"/>
      <c r="Q384" s="32"/>
      <c r="R384" s="4"/>
      <c r="S384" s="4"/>
      <c r="T384" s="4"/>
      <c r="U384" s="4"/>
    </row>
    <row x14ac:dyDescent="0.25" r="385" customHeight="1" ht="12.75">
      <c r="A385" s="4"/>
      <c r="B385" s="29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29"/>
      <c r="N385" s="29"/>
      <c r="O385" s="29"/>
      <c r="P385" s="32"/>
      <c r="Q385" s="32"/>
      <c r="R385" s="4"/>
      <c r="S385" s="4"/>
      <c r="T385" s="4"/>
      <c r="U385" s="4"/>
    </row>
    <row x14ac:dyDescent="0.25" r="386" customHeight="1" ht="12.75">
      <c r="A386" s="4"/>
      <c r="B386" s="29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29"/>
      <c r="N386" s="29"/>
      <c r="O386" s="29"/>
      <c r="P386" s="32"/>
      <c r="Q386" s="32"/>
      <c r="R386" s="4"/>
      <c r="S386" s="4"/>
      <c r="T386" s="4"/>
      <c r="U386" s="4"/>
    </row>
    <row x14ac:dyDescent="0.25" r="387" customHeight="1" ht="12.75">
      <c r="A387" s="4"/>
      <c r="B387" s="29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29"/>
      <c r="N387" s="29"/>
      <c r="O387" s="29"/>
      <c r="P387" s="32"/>
      <c r="Q387" s="32"/>
      <c r="R387" s="4"/>
      <c r="S387" s="4"/>
      <c r="T387" s="4"/>
      <c r="U387" s="4"/>
    </row>
    <row x14ac:dyDescent="0.25" r="388" customHeight="1" ht="12.75">
      <c r="A388" s="4"/>
      <c r="B388" s="29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29"/>
      <c r="N388" s="29"/>
      <c r="O388" s="29"/>
      <c r="P388" s="32"/>
      <c r="Q388" s="32"/>
      <c r="R388" s="4"/>
      <c r="S388" s="4"/>
      <c r="T388" s="4"/>
      <c r="U388" s="4"/>
    </row>
    <row x14ac:dyDescent="0.25" r="389" customHeight="1" ht="12.75">
      <c r="A389" s="4"/>
      <c r="B389" s="29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29"/>
      <c r="N389" s="29"/>
      <c r="O389" s="29"/>
      <c r="P389" s="32"/>
      <c r="Q389" s="32"/>
      <c r="R389" s="4"/>
      <c r="S389" s="4"/>
      <c r="T389" s="4"/>
      <c r="U389" s="4"/>
    </row>
    <row x14ac:dyDescent="0.25" r="390" customHeight="1" ht="12.75">
      <c r="A390" s="4"/>
      <c r="B390" s="29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29"/>
      <c r="N390" s="29"/>
      <c r="O390" s="29"/>
      <c r="P390" s="32"/>
      <c r="Q390" s="32"/>
      <c r="R390" s="4"/>
      <c r="S390" s="4"/>
      <c r="T390" s="4"/>
      <c r="U390" s="4"/>
    </row>
    <row x14ac:dyDescent="0.25" r="391" customHeight="1" ht="12.75">
      <c r="A391" s="4"/>
      <c r="B391" s="29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29"/>
      <c r="N391" s="29"/>
      <c r="O391" s="29"/>
      <c r="P391" s="32"/>
      <c r="Q391" s="32"/>
      <c r="R391" s="4"/>
      <c r="S391" s="4"/>
      <c r="T391" s="4"/>
      <c r="U391" s="4"/>
    </row>
    <row x14ac:dyDescent="0.25" r="392" customHeight="1" ht="12.75">
      <c r="A392" s="4"/>
      <c r="B392" s="29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29"/>
      <c r="N392" s="29"/>
      <c r="O392" s="29"/>
      <c r="P392" s="32"/>
      <c r="Q392" s="32"/>
      <c r="R392" s="4"/>
      <c r="S392" s="4"/>
      <c r="T392" s="4"/>
      <c r="U392" s="4"/>
    </row>
    <row x14ac:dyDescent="0.25" r="393" customHeight="1" ht="12.75">
      <c r="A393" s="4"/>
      <c r="B393" s="29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29"/>
      <c r="N393" s="29"/>
      <c r="O393" s="29"/>
      <c r="P393" s="32"/>
      <c r="Q393" s="32"/>
      <c r="R393" s="4"/>
      <c r="S393" s="4"/>
      <c r="T393" s="4"/>
      <c r="U393" s="4"/>
    </row>
    <row x14ac:dyDescent="0.25" r="394" customHeight="1" ht="12.75">
      <c r="A394" s="4"/>
      <c r="B394" s="29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29"/>
      <c r="N394" s="29"/>
      <c r="O394" s="29"/>
      <c r="P394" s="32"/>
      <c r="Q394" s="32"/>
      <c r="R394" s="4"/>
      <c r="S394" s="4"/>
      <c r="T394" s="4"/>
      <c r="U394" s="4"/>
    </row>
    <row x14ac:dyDescent="0.25" r="395" customHeight="1" ht="12.75">
      <c r="A395" s="4"/>
      <c r="B395" s="29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29"/>
      <c r="N395" s="29"/>
      <c r="O395" s="29"/>
      <c r="P395" s="32"/>
      <c r="Q395" s="32"/>
      <c r="R395" s="4"/>
      <c r="S395" s="4"/>
      <c r="T395" s="4"/>
      <c r="U395" s="4"/>
    </row>
    <row x14ac:dyDescent="0.25" r="396" customHeight="1" ht="12.75">
      <c r="A396" s="4"/>
      <c r="B396" s="29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29"/>
      <c r="N396" s="29"/>
      <c r="O396" s="29"/>
      <c r="P396" s="32"/>
      <c r="Q396" s="32"/>
      <c r="R396" s="4"/>
      <c r="S396" s="4"/>
      <c r="T396" s="4"/>
      <c r="U396" s="4"/>
    </row>
    <row x14ac:dyDescent="0.25" r="397" customHeight="1" ht="12.75">
      <c r="A397" s="4"/>
      <c r="B397" s="29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29"/>
      <c r="N397" s="29"/>
      <c r="O397" s="29"/>
      <c r="P397" s="32"/>
      <c r="Q397" s="32"/>
      <c r="R397" s="4"/>
      <c r="S397" s="4"/>
      <c r="T397" s="4"/>
      <c r="U397" s="4"/>
    </row>
    <row x14ac:dyDescent="0.25" r="398" customHeight="1" ht="12.75">
      <c r="A398" s="4"/>
      <c r="B398" s="29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29"/>
      <c r="N398" s="29"/>
      <c r="O398" s="29"/>
      <c r="P398" s="32"/>
      <c r="Q398" s="32"/>
      <c r="R398" s="4"/>
      <c r="S398" s="4"/>
      <c r="T398" s="4"/>
      <c r="U398" s="4"/>
    </row>
    <row x14ac:dyDescent="0.25" r="399" customHeight="1" ht="12.75">
      <c r="A399" s="4"/>
      <c r="B399" s="29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29"/>
      <c r="N399" s="29"/>
      <c r="O399" s="29"/>
      <c r="P399" s="32"/>
      <c r="Q399" s="32"/>
      <c r="R399" s="4"/>
      <c r="S399" s="4"/>
      <c r="T399" s="4"/>
      <c r="U399" s="4"/>
    </row>
    <row x14ac:dyDescent="0.25" r="400" customHeight="1" ht="12.75">
      <c r="A400" s="4"/>
      <c r="B400" s="29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29"/>
      <c r="N400" s="29"/>
      <c r="O400" s="29"/>
      <c r="P400" s="32"/>
      <c r="Q400" s="32"/>
      <c r="R400" s="4"/>
      <c r="S400" s="4"/>
      <c r="T400" s="4"/>
      <c r="U400" s="4"/>
    </row>
    <row x14ac:dyDescent="0.25" r="401" customHeight="1" ht="12.75">
      <c r="A401" s="4"/>
      <c r="B401" s="29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29"/>
      <c r="N401" s="29"/>
      <c r="O401" s="29"/>
      <c r="P401" s="32"/>
      <c r="Q401" s="32"/>
      <c r="R401" s="4"/>
      <c r="S401" s="4"/>
      <c r="T401" s="4"/>
      <c r="U401" s="4"/>
    </row>
    <row x14ac:dyDescent="0.25" r="402" customHeight="1" ht="12.75">
      <c r="A402" s="4"/>
      <c r="B402" s="29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29"/>
      <c r="N402" s="29"/>
      <c r="O402" s="29"/>
      <c r="P402" s="32"/>
      <c r="Q402" s="32"/>
      <c r="R402" s="4"/>
      <c r="S402" s="4"/>
      <c r="T402" s="4"/>
      <c r="U402" s="4"/>
    </row>
    <row x14ac:dyDescent="0.25" r="403" customHeight="1" ht="12.75">
      <c r="A403" s="4"/>
      <c r="B403" s="29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29"/>
      <c r="N403" s="29"/>
      <c r="O403" s="29"/>
      <c r="P403" s="32"/>
      <c r="Q403" s="32"/>
      <c r="R403" s="4"/>
      <c r="S403" s="4"/>
      <c r="T403" s="4"/>
      <c r="U403" s="4"/>
    </row>
    <row x14ac:dyDescent="0.25" r="404" customHeight="1" ht="12.75">
      <c r="A404" s="4"/>
      <c r="B404" s="29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29"/>
      <c r="N404" s="29"/>
      <c r="O404" s="29"/>
      <c r="P404" s="32"/>
      <c r="Q404" s="32"/>
      <c r="R404" s="4"/>
      <c r="S404" s="4"/>
      <c r="T404" s="4"/>
      <c r="U404" s="4"/>
    </row>
    <row x14ac:dyDescent="0.25" r="405" customHeight="1" ht="12.75">
      <c r="A405" s="4"/>
      <c r="B405" s="29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29"/>
      <c r="N405" s="29"/>
      <c r="O405" s="29"/>
      <c r="P405" s="32"/>
      <c r="Q405" s="32"/>
      <c r="R405" s="4"/>
      <c r="S405" s="4"/>
      <c r="T405" s="4"/>
      <c r="U405" s="4"/>
    </row>
    <row x14ac:dyDescent="0.25" r="406" customHeight="1" ht="12.75">
      <c r="A406" s="4"/>
      <c r="B406" s="29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29"/>
      <c r="N406" s="29"/>
      <c r="O406" s="29"/>
      <c r="P406" s="32"/>
      <c r="Q406" s="32"/>
      <c r="R406" s="4"/>
      <c r="S406" s="4"/>
      <c r="T406" s="4"/>
      <c r="U406" s="4"/>
    </row>
    <row x14ac:dyDescent="0.25" r="407" customHeight="1" ht="12.75">
      <c r="A407" s="4"/>
      <c r="B407" s="29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29"/>
      <c r="N407" s="29"/>
      <c r="O407" s="29"/>
      <c r="P407" s="32"/>
      <c r="Q407" s="32"/>
      <c r="R407" s="4"/>
      <c r="S407" s="4"/>
      <c r="T407" s="4"/>
      <c r="U407" s="4"/>
    </row>
    <row x14ac:dyDescent="0.25" r="408" customHeight="1" ht="12.75">
      <c r="A408" s="4"/>
      <c r="B408" s="29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29"/>
      <c r="N408" s="29"/>
      <c r="O408" s="29"/>
      <c r="P408" s="32"/>
      <c r="Q408" s="32"/>
      <c r="R408" s="4"/>
      <c r="S408" s="4"/>
      <c r="T408" s="4"/>
      <c r="U408" s="4"/>
    </row>
    <row x14ac:dyDescent="0.25" r="409" customHeight="1" ht="12.75">
      <c r="A409" s="4"/>
      <c r="B409" s="29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29"/>
      <c r="N409" s="29"/>
      <c r="O409" s="29"/>
      <c r="P409" s="32"/>
      <c r="Q409" s="32"/>
      <c r="R409" s="4"/>
      <c r="S409" s="4"/>
      <c r="T409" s="4"/>
      <c r="U409" s="4"/>
    </row>
    <row x14ac:dyDescent="0.25" r="410" customHeight="1" ht="12.75">
      <c r="A410" s="4"/>
      <c r="B410" s="29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29"/>
      <c r="N410" s="29"/>
      <c r="O410" s="29"/>
      <c r="P410" s="32"/>
      <c r="Q410" s="32"/>
      <c r="R410" s="4"/>
      <c r="S410" s="4"/>
      <c r="T410" s="4"/>
      <c r="U410" s="4"/>
    </row>
    <row x14ac:dyDescent="0.25" r="411" customHeight="1" ht="12.75">
      <c r="A411" s="4"/>
      <c r="B411" s="29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29"/>
      <c r="N411" s="29"/>
      <c r="O411" s="29"/>
      <c r="P411" s="32"/>
      <c r="Q411" s="32"/>
      <c r="R411" s="4"/>
      <c r="S411" s="4"/>
      <c r="T411" s="4"/>
      <c r="U411" s="4"/>
    </row>
    <row x14ac:dyDescent="0.25" r="412" customHeight="1" ht="12.75">
      <c r="A412" s="4"/>
      <c r="B412" s="29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29"/>
      <c r="N412" s="29"/>
      <c r="O412" s="29"/>
      <c r="P412" s="32"/>
      <c r="Q412" s="32"/>
      <c r="R412" s="4"/>
      <c r="S412" s="4"/>
      <c r="T412" s="4"/>
      <c r="U412" s="4"/>
    </row>
    <row x14ac:dyDescent="0.25" r="413" customHeight="1" ht="12.75">
      <c r="A413" s="4"/>
      <c r="B413" s="29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29"/>
      <c r="N413" s="29"/>
      <c r="O413" s="29"/>
      <c r="P413" s="32"/>
      <c r="Q413" s="32"/>
      <c r="R413" s="4"/>
      <c r="S413" s="4"/>
      <c r="T413" s="4"/>
      <c r="U413" s="4"/>
    </row>
    <row x14ac:dyDescent="0.25" r="414" customHeight="1" ht="12.75">
      <c r="A414" s="4"/>
      <c r="B414" s="29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29"/>
      <c r="N414" s="29"/>
      <c r="O414" s="29"/>
      <c r="P414" s="32"/>
      <c r="Q414" s="32"/>
      <c r="R414" s="4"/>
      <c r="S414" s="4"/>
      <c r="T414" s="4"/>
      <c r="U414" s="4"/>
    </row>
    <row x14ac:dyDescent="0.25" r="415" customHeight="1" ht="12.75">
      <c r="A415" s="4"/>
      <c r="B415" s="29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29"/>
      <c r="N415" s="29"/>
      <c r="O415" s="29"/>
      <c r="P415" s="32"/>
      <c r="Q415" s="32"/>
      <c r="R415" s="4"/>
      <c r="S415" s="4"/>
      <c r="T415" s="4"/>
      <c r="U415" s="4"/>
    </row>
    <row x14ac:dyDescent="0.25" r="416" customHeight="1" ht="12.75">
      <c r="A416" s="4"/>
      <c r="B416" s="29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29"/>
      <c r="N416" s="29"/>
      <c r="O416" s="29"/>
      <c r="P416" s="32"/>
      <c r="Q416" s="32"/>
      <c r="R416" s="4"/>
      <c r="S416" s="4"/>
      <c r="T416" s="4"/>
      <c r="U416" s="4"/>
    </row>
    <row x14ac:dyDescent="0.25" r="417" customHeight="1" ht="12.75">
      <c r="A417" s="4"/>
      <c r="B417" s="29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29"/>
      <c r="N417" s="29"/>
      <c r="O417" s="29"/>
      <c r="P417" s="32"/>
      <c r="Q417" s="32"/>
      <c r="R417" s="4"/>
      <c r="S417" s="4"/>
      <c r="T417" s="4"/>
      <c r="U417" s="4"/>
    </row>
    <row x14ac:dyDescent="0.25" r="418" customHeight="1" ht="12.75">
      <c r="A418" s="4"/>
      <c r="B418" s="29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29"/>
      <c r="N418" s="29"/>
      <c r="O418" s="29"/>
      <c r="P418" s="32"/>
      <c r="Q418" s="32"/>
      <c r="R418" s="4"/>
      <c r="S418" s="4"/>
      <c r="T418" s="4"/>
      <c r="U418" s="4"/>
    </row>
    <row x14ac:dyDescent="0.25" r="419" customHeight="1" ht="12.75">
      <c r="A419" s="4"/>
      <c r="B419" s="29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29"/>
      <c r="N419" s="29"/>
      <c r="O419" s="29"/>
      <c r="P419" s="32"/>
      <c r="Q419" s="32"/>
      <c r="R419" s="4"/>
      <c r="S419" s="4"/>
      <c r="T419" s="4"/>
      <c r="U419" s="4"/>
    </row>
    <row x14ac:dyDescent="0.25" r="420" customHeight="1" ht="12.75">
      <c r="A420" s="4"/>
      <c r="B420" s="29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29"/>
      <c r="N420" s="29"/>
      <c r="O420" s="29"/>
      <c r="P420" s="32"/>
      <c r="Q420" s="32"/>
      <c r="R420" s="4"/>
      <c r="S420" s="4"/>
      <c r="T420" s="4"/>
      <c r="U420" s="4"/>
    </row>
    <row x14ac:dyDescent="0.25" r="421" customHeight="1" ht="12.75">
      <c r="A421" s="4"/>
      <c r="B421" s="29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29"/>
      <c r="N421" s="29"/>
      <c r="O421" s="29"/>
      <c r="P421" s="32"/>
      <c r="Q421" s="32"/>
      <c r="R421" s="4"/>
      <c r="S421" s="4"/>
      <c r="T421" s="4"/>
      <c r="U421" s="4"/>
    </row>
    <row x14ac:dyDescent="0.25" r="422" customHeight="1" ht="12.75">
      <c r="A422" s="4"/>
      <c r="B422" s="29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29"/>
      <c r="N422" s="29"/>
      <c r="O422" s="29"/>
      <c r="P422" s="32"/>
      <c r="Q422" s="32"/>
      <c r="R422" s="4"/>
      <c r="S422" s="4"/>
      <c r="T422" s="4"/>
      <c r="U422" s="4"/>
    </row>
    <row x14ac:dyDescent="0.25" r="423" customHeight="1" ht="12.75">
      <c r="A423" s="4"/>
      <c r="B423" s="29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29"/>
      <c r="N423" s="29"/>
      <c r="O423" s="29"/>
      <c r="P423" s="32"/>
      <c r="Q423" s="32"/>
      <c r="R423" s="4"/>
      <c r="S423" s="4"/>
      <c r="T423" s="4"/>
      <c r="U423" s="4"/>
    </row>
    <row x14ac:dyDescent="0.25" r="424" customHeight="1" ht="12.75">
      <c r="A424" s="4"/>
      <c r="B424" s="29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29"/>
      <c r="N424" s="29"/>
      <c r="O424" s="29"/>
      <c r="P424" s="32"/>
      <c r="Q424" s="32"/>
      <c r="R424" s="4"/>
      <c r="S424" s="4"/>
      <c r="T424" s="4"/>
      <c r="U424" s="4"/>
    </row>
    <row x14ac:dyDescent="0.25" r="425" customHeight="1" ht="12.75">
      <c r="A425" s="4"/>
      <c r="B425" s="29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29"/>
      <c r="N425" s="29"/>
      <c r="O425" s="29"/>
      <c r="P425" s="32"/>
      <c r="Q425" s="32"/>
      <c r="R425" s="4"/>
      <c r="S425" s="4"/>
      <c r="T425" s="4"/>
      <c r="U425" s="4"/>
    </row>
    <row x14ac:dyDescent="0.25" r="426" customHeight="1" ht="12.75">
      <c r="A426" s="4"/>
      <c r="B426" s="29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29"/>
      <c r="N426" s="29"/>
      <c r="O426" s="29"/>
      <c r="P426" s="32"/>
      <c r="Q426" s="32"/>
      <c r="R426" s="4"/>
      <c r="S426" s="4"/>
      <c r="T426" s="4"/>
      <c r="U426" s="4"/>
    </row>
    <row x14ac:dyDescent="0.25" r="427" customHeight="1" ht="12.75">
      <c r="A427" s="4"/>
      <c r="B427" s="29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29"/>
      <c r="N427" s="29"/>
      <c r="O427" s="29"/>
      <c r="P427" s="32"/>
      <c r="Q427" s="32"/>
      <c r="R427" s="4"/>
      <c r="S427" s="4"/>
      <c r="T427" s="4"/>
      <c r="U427" s="4"/>
    </row>
    <row x14ac:dyDescent="0.25" r="428" customHeight="1" ht="12.75">
      <c r="A428" s="4"/>
      <c r="B428" s="29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29"/>
      <c r="N428" s="29"/>
      <c r="O428" s="29"/>
      <c r="P428" s="32"/>
      <c r="Q428" s="32"/>
      <c r="R428" s="4"/>
      <c r="S428" s="4"/>
      <c r="T428" s="4"/>
      <c r="U428" s="4"/>
    </row>
    <row x14ac:dyDescent="0.25" r="429" customHeight="1" ht="12.75">
      <c r="A429" s="4"/>
      <c r="B429" s="29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29"/>
      <c r="N429" s="29"/>
      <c r="O429" s="29"/>
      <c r="P429" s="32"/>
      <c r="Q429" s="32"/>
      <c r="R429" s="4"/>
      <c r="S429" s="4"/>
      <c r="T429" s="4"/>
      <c r="U429" s="4"/>
    </row>
    <row x14ac:dyDescent="0.25" r="430" customHeight="1" ht="12.75">
      <c r="A430" s="4"/>
      <c r="B430" s="29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29"/>
      <c r="N430" s="29"/>
      <c r="O430" s="29"/>
      <c r="P430" s="32"/>
      <c r="Q430" s="32"/>
      <c r="R430" s="4"/>
      <c r="S430" s="4"/>
      <c r="T430" s="4"/>
      <c r="U430" s="4"/>
    </row>
    <row x14ac:dyDescent="0.25" r="431" customHeight="1" ht="12.75">
      <c r="A431" s="4"/>
      <c r="B431" s="29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29"/>
      <c r="N431" s="29"/>
      <c r="O431" s="29"/>
      <c r="P431" s="32"/>
      <c r="Q431" s="32"/>
      <c r="R431" s="4"/>
      <c r="S431" s="4"/>
      <c r="T431" s="4"/>
      <c r="U431" s="4"/>
    </row>
    <row x14ac:dyDescent="0.25" r="432" customHeight="1" ht="12.75">
      <c r="A432" s="4"/>
      <c r="B432" s="29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29"/>
      <c r="N432" s="29"/>
      <c r="O432" s="29"/>
      <c r="P432" s="32"/>
      <c r="Q432" s="32"/>
      <c r="R432" s="4"/>
      <c r="S432" s="4"/>
      <c r="T432" s="4"/>
      <c r="U432" s="4"/>
    </row>
    <row x14ac:dyDescent="0.25" r="433" customHeight="1" ht="12.75">
      <c r="A433" s="4"/>
      <c r="B433" s="29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29"/>
      <c r="N433" s="29"/>
      <c r="O433" s="29"/>
      <c r="P433" s="32"/>
      <c r="Q433" s="32"/>
      <c r="R433" s="4"/>
      <c r="S433" s="4"/>
      <c r="T433" s="4"/>
      <c r="U433" s="4"/>
    </row>
    <row x14ac:dyDescent="0.25" r="434" customHeight="1" ht="12.75">
      <c r="A434" s="4"/>
      <c r="B434" s="29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29"/>
      <c r="N434" s="29"/>
      <c r="O434" s="29"/>
      <c r="P434" s="32"/>
      <c r="Q434" s="32"/>
      <c r="R434" s="4"/>
      <c r="S434" s="4"/>
      <c r="T434" s="4"/>
      <c r="U434" s="4"/>
    </row>
    <row x14ac:dyDescent="0.25" r="435" customHeight="1" ht="12.75">
      <c r="A435" s="4"/>
      <c r="B435" s="29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29"/>
      <c r="N435" s="29"/>
      <c r="O435" s="29"/>
      <c r="P435" s="32"/>
      <c r="Q435" s="32"/>
      <c r="R435" s="4"/>
      <c r="S435" s="4"/>
      <c r="T435" s="4"/>
      <c r="U435" s="4"/>
    </row>
    <row x14ac:dyDescent="0.25" r="436" customHeight="1" ht="12.75">
      <c r="A436" s="4"/>
      <c r="B436" s="29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29"/>
      <c r="N436" s="29"/>
      <c r="O436" s="29"/>
      <c r="P436" s="32"/>
      <c r="Q436" s="32"/>
      <c r="R436" s="4"/>
      <c r="S436" s="4"/>
      <c r="T436" s="4"/>
      <c r="U436" s="4"/>
    </row>
    <row x14ac:dyDescent="0.25" r="437" customHeight="1" ht="12.75">
      <c r="A437" s="4"/>
      <c r="B437" s="29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29"/>
      <c r="N437" s="29"/>
      <c r="O437" s="29"/>
      <c r="P437" s="32"/>
      <c r="Q437" s="32"/>
      <c r="R437" s="4"/>
      <c r="S437" s="4"/>
      <c r="T437" s="4"/>
      <c r="U437" s="4"/>
    </row>
    <row x14ac:dyDescent="0.25" r="438" customHeight="1" ht="12.75">
      <c r="A438" s="4"/>
      <c r="B438" s="29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29"/>
      <c r="N438" s="29"/>
      <c r="O438" s="29"/>
      <c r="P438" s="32"/>
      <c r="Q438" s="32"/>
      <c r="R438" s="4"/>
      <c r="S438" s="4"/>
      <c r="T438" s="4"/>
      <c r="U438" s="4"/>
    </row>
    <row x14ac:dyDescent="0.25" r="439" customHeight="1" ht="12.75">
      <c r="A439" s="4"/>
      <c r="B439" s="29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29"/>
      <c r="N439" s="29"/>
      <c r="O439" s="29"/>
      <c r="P439" s="32"/>
      <c r="Q439" s="32"/>
      <c r="R439" s="4"/>
      <c r="S439" s="4"/>
      <c r="T439" s="4"/>
      <c r="U439" s="4"/>
    </row>
    <row x14ac:dyDescent="0.25" r="440" customHeight="1" ht="12.75">
      <c r="A440" s="4"/>
      <c r="B440" s="29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29"/>
      <c r="N440" s="29"/>
      <c r="O440" s="29"/>
      <c r="P440" s="32"/>
      <c r="Q440" s="32"/>
      <c r="R440" s="4"/>
      <c r="S440" s="4"/>
      <c r="T440" s="4"/>
      <c r="U440" s="4"/>
    </row>
    <row x14ac:dyDescent="0.25" r="441" customHeight="1" ht="12.75">
      <c r="A441" s="4"/>
      <c r="B441" s="29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29"/>
      <c r="N441" s="29"/>
      <c r="O441" s="29"/>
      <c r="P441" s="32"/>
      <c r="Q441" s="32"/>
      <c r="R441" s="4"/>
      <c r="S441" s="4"/>
      <c r="T441" s="4"/>
      <c r="U441" s="4"/>
    </row>
    <row x14ac:dyDescent="0.25" r="442" customHeight="1" ht="12.75">
      <c r="A442" s="4"/>
      <c r="B442" s="29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29"/>
      <c r="N442" s="29"/>
      <c r="O442" s="29"/>
      <c r="P442" s="32"/>
      <c r="Q442" s="32"/>
      <c r="R442" s="4"/>
      <c r="S442" s="4"/>
      <c r="T442" s="4"/>
      <c r="U442" s="4"/>
    </row>
    <row x14ac:dyDescent="0.25" r="443" customHeight="1" ht="12.75">
      <c r="A443" s="4"/>
      <c r="B443" s="29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29"/>
      <c r="N443" s="29"/>
      <c r="O443" s="29"/>
      <c r="P443" s="32"/>
      <c r="Q443" s="32"/>
      <c r="R443" s="4"/>
      <c r="S443" s="4"/>
      <c r="T443" s="4"/>
      <c r="U443" s="4"/>
    </row>
    <row x14ac:dyDescent="0.25" r="444" customHeight="1" ht="12.75">
      <c r="A444" s="4"/>
      <c r="B444" s="29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29"/>
      <c r="N444" s="29"/>
      <c r="O444" s="29"/>
      <c r="P444" s="32"/>
      <c r="Q444" s="32"/>
      <c r="R444" s="4"/>
      <c r="S444" s="4"/>
      <c r="T444" s="4"/>
      <c r="U444" s="4"/>
    </row>
    <row x14ac:dyDescent="0.25" r="445" customHeight="1" ht="12.75">
      <c r="A445" s="4"/>
      <c r="B445" s="29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29"/>
      <c r="N445" s="29"/>
      <c r="O445" s="29"/>
      <c r="P445" s="32"/>
      <c r="Q445" s="32"/>
      <c r="R445" s="4"/>
      <c r="S445" s="4"/>
      <c r="T445" s="4"/>
      <c r="U445" s="4"/>
    </row>
    <row x14ac:dyDescent="0.25" r="446" customHeight="1" ht="12.75">
      <c r="A446" s="4"/>
      <c r="B446" s="29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29"/>
      <c r="N446" s="29"/>
      <c r="O446" s="29"/>
      <c r="P446" s="32"/>
      <c r="Q446" s="32"/>
      <c r="R446" s="4"/>
      <c r="S446" s="4"/>
      <c r="T446" s="4"/>
      <c r="U446" s="4"/>
    </row>
    <row x14ac:dyDescent="0.25" r="447" customHeight="1" ht="12.75">
      <c r="A447" s="4"/>
      <c r="B447" s="29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29"/>
      <c r="N447" s="29"/>
      <c r="O447" s="29"/>
      <c r="P447" s="32"/>
      <c r="Q447" s="32"/>
      <c r="R447" s="4"/>
      <c r="S447" s="4"/>
      <c r="T447" s="4"/>
      <c r="U447" s="4"/>
    </row>
    <row x14ac:dyDescent="0.25" r="448" customHeight="1" ht="12.75">
      <c r="A448" s="4"/>
      <c r="B448" s="29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29"/>
      <c r="N448" s="29"/>
      <c r="O448" s="29"/>
      <c r="P448" s="32"/>
      <c r="Q448" s="32"/>
      <c r="R448" s="4"/>
      <c r="S448" s="4"/>
      <c r="T448" s="4"/>
      <c r="U448" s="4"/>
    </row>
    <row x14ac:dyDescent="0.25" r="449" customHeight="1" ht="12.75">
      <c r="A449" s="4"/>
      <c r="B449" s="29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29"/>
      <c r="N449" s="29"/>
      <c r="O449" s="29"/>
      <c r="P449" s="32"/>
      <c r="Q449" s="32"/>
      <c r="R449" s="4"/>
      <c r="S449" s="4"/>
      <c r="T449" s="4"/>
      <c r="U449" s="4"/>
    </row>
    <row x14ac:dyDescent="0.25" r="450" customHeight="1" ht="12.75">
      <c r="A450" s="4"/>
      <c r="B450" s="29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29"/>
      <c r="N450" s="29"/>
      <c r="O450" s="29"/>
      <c r="P450" s="32"/>
      <c r="Q450" s="32"/>
      <c r="R450" s="4"/>
      <c r="S450" s="4"/>
      <c r="T450" s="4"/>
      <c r="U450" s="4"/>
    </row>
    <row x14ac:dyDescent="0.25" r="451" customHeight="1" ht="12.75">
      <c r="A451" s="4"/>
      <c r="B451" s="29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29"/>
      <c r="N451" s="29"/>
      <c r="O451" s="29"/>
      <c r="P451" s="32"/>
      <c r="Q451" s="32"/>
      <c r="R451" s="4"/>
      <c r="S451" s="4"/>
      <c r="T451" s="4"/>
      <c r="U451" s="4"/>
    </row>
    <row x14ac:dyDescent="0.25" r="452" customHeight="1" ht="12.75">
      <c r="A452" s="4"/>
      <c r="B452" s="29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29"/>
      <c r="N452" s="29"/>
      <c r="O452" s="29"/>
      <c r="P452" s="32"/>
      <c r="Q452" s="32"/>
      <c r="R452" s="4"/>
      <c r="S452" s="4"/>
      <c r="T452" s="4"/>
      <c r="U452" s="4"/>
    </row>
    <row x14ac:dyDescent="0.25" r="453" customHeight="1" ht="12.75">
      <c r="A453" s="4"/>
      <c r="B453" s="29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29"/>
      <c r="N453" s="29"/>
      <c r="O453" s="29"/>
      <c r="P453" s="32"/>
      <c r="Q453" s="32"/>
      <c r="R453" s="4"/>
      <c r="S453" s="4"/>
      <c r="T453" s="4"/>
      <c r="U453" s="4"/>
    </row>
    <row x14ac:dyDescent="0.25" r="454" customHeight="1" ht="12.75">
      <c r="A454" s="4"/>
      <c r="B454" s="29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29"/>
      <c r="N454" s="29"/>
      <c r="O454" s="29"/>
      <c r="P454" s="32"/>
      <c r="Q454" s="32"/>
      <c r="R454" s="4"/>
      <c r="S454" s="4"/>
      <c r="T454" s="4"/>
      <c r="U454" s="4"/>
    </row>
    <row x14ac:dyDescent="0.25" r="455" customHeight="1" ht="12.75">
      <c r="A455" s="4"/>
      <c r="B455" s="29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29"/>
      <c r="N455" s="29"/>
      <c r="O455" s="29"/>
      <c r="P455" s="32"/>
      <c r="Q455" s="32"/>
      <c r="R455" s="4"/>
      <c r="S455" s="4"/>
      <c r="T455" s="4"/>
      <c r="U455" s="4"/>
    </row>
    <row x14ac:dyDescent="0.25" r="456" customHeight="1" ht="12.75">
      <c r="A456" s="4"/>
      <c r="B456" s="29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29"/>
      <c r="N456" s="29"/>
      <c r="O456" s="29"/>
      <c r="P456" s="32"/>
      <c r="Q456" s="32"/>
      <c r="R456" s="4"/>
      <c r="S456" s="4"/>
      <c r="T456" s="4"/>
      <c r="U456" s="4"/>
    </row>
    <row x14ac:dyDescent="0.25" r="457" customHeight="1" ht="12.75">
      <c r="A457" s="4"/>
      <c r="B457" s="29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29"/>
      <c r="N457" s="29"/>
      <c r="O457" s="29"/>
      <c r="P457" s="32"/>
      <c r="Q457" s="32"/>
      <c r="R457" s="4"/>
      <c r="S457" s="4"/>
      <c r="T457" s="4"/>
      <c r="U457" s="4"/>
    </row>
    <row x14ac:dyDescent="0.25" r="458" customHeight="1" ht="12.75">
      <c r="A458" s="4"/>
      <c r="B458" s="29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29"/>
      <c r="N458" s="29"/>
      <c r="O458" s="29"/>
      <c r="P458" s="32"/>
      <c r="Q458" s="32"/>
      <c r="R458" s="4"/>
      <c r="S458" s="4"/>
      <c r="T458" s="4"/>
      <c r="U458" s="4"/>
    </row>
    <row x14ac:dyDescent="0.25" r="459" customHeight="1" ht="12.75">
      <c r="A459" s="4"/>
      <c r="B459" s="29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29"/>
      <c r="N459" s="29"/>
      <c r="O459" s="29"/>
      <c r="P459" s="32"/>
      <c r="Q459" s="32"/>
      <c r="R459" s="4"/>
      <c r="S459" s="4"/>
      <c r="T459" s="4"/>
      <c r="U459" s="4"/>
    </row>
    <row x14ac:dyDescent="0.25" r="460" customHeight="1" ht="12.75">
      <c r="A460" s="4"/>
      <c r="B460" s="29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29"/>
      <c r="N460" s="29"/>
      <c r="O460" s="29"/>
      <c r="P460" s="32"/>
      <c r="Q460" s="32"/>
      <c r="R460" s="4"/>
      <c r="S460" s="4"/>
      <c r="T460" s="4"/>
      <c r="U460" s="4"/>
    </row>
    <row x14ac:dyDescent="0.25" r="461" customHeight="1" ht="12.75">
      <c r="A461" s="4"/>
      <c r="B461" s="29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29"/>
      <c r="N461" s="29"/>
      <c r="O461" s="29"/>
      <c r="P461" s="32"/>
      <c r="Q461" s="32"/>
      <c r="R461" s="4"/>
      <c r="S461" s="4"/>
      <c r="T461" s="4"/>
      <c r="U461" s="4"/>
    </row>
    <row x14ac:dyDescent="0.25" r="462" customHeight="1" ht="12.75">
      <c r="A462" s="4"/>
      <c r="B462" s="29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29"/>
      <c r="N462" s="29"/>
      <c r="O462" s="29"/>
      <c r="P462" s="32"/>
      <c r="Q462" s="32"/>
      <c r="R462" s="4"/>
      <c r="S462" s="4"/>
      <c r="T462" s="4"/>
      <c r="U462" s="4"/>
    </row>
    <row x14ac:dyDescent="0.25" r="463" customHeight="1" ht="12.75">
      <c r="A463" s="4"/>
      <c r="B463" s="29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29"/>
      <c r="N463" s="29"/>
      <c r="O463" s="29"/>
      <c r="P463" s="32"/>
      <c r="Q463" s="32"/>
      <c r="R463" s="4"/>
      <c r="S463" s="4"/>
      <c r="T463" s="4"/>
      <c r="U463" s="4"/>
    </row>
    <row x14ac:dyDescent="0.25" r="464" customHeight="1" ht="12.75">
      <c r="A464" s="4"/>
      <c r="B464" s="29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29"/>
      <c r="N464" s="29"/>
      <c r="O464" s="29"/>
      <c r="P464" s="32"/>
      <c r="Q464" s="32"/>
      <c r="R464" s="4"/>
      <c r="S464" s="4"/>
      <c r="T464" s="4"/>
      <c r="U464" s="4"/>
    </row>
    <row x14ac:dyDescent="0.25" r="465" customHeight="1" ht="12.75">
      <c r="A465" s="4"/>
      <c r="B465" s="29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29"/>
      <c r="N465" s="29"/>
      <c r="O465" s="29"/>
      <c r="P465" s="32"/>
      <c r="Q465" s="32"/>
      <c r="R465" s="4"/>
      <c r="S465" s="4"/>
      <c r="T465" s="4"/>
      <c r="U465" s="4"/>
    </row>
    <row x14ac:dyDescent="0.25" r="466" customHeight="1" ht="12.75">
      <c r="A466" s="4"/>
      <c r="B466" s="29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29"/>
      <c r="N466" s="29"/>
      <c r="O466" s="29"/>
      <c r="P466" s="32"/>
      <c r="Q466" s="32"/>
      <c r="R466" s="4"/>
      <c r="S466" s="4"/>
      <c r="T466" s="4"/>
      <c r="U466" s="4"/>
    </row>
    <row x14ac:dyDescent="0.25" r="467" customHeight="1" ht="12.75">
      <c r="A467" s="4"/>
      <c r="B467" s="29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29"/>
      <c r="N467" s="29"/>
      <c r="O467" s="29"/>
      <c r="P467" s="32"/>
      <c r="Q467" s="32"/>
      <c r="R467" s="4"/>
      <c r="S467" s="4"/>
      <c r="T467" s="4"/>
      <c r="U467" s="4"/>
    </row>
    <row x14ac:dyDescent="0.25" r="468" customHeight="1" ht="12.75">
      <c r="A468" s="4"/>
      <c r="B468" s="29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29"/>
      <c r="N468" s="29"/>
      <c r="O468" s="29"/>
      <c r="P468" s="32"/>
      <c r="Q468" s="32"/>
      <c r="R468" s="4"/>
      <c r="S468" s="4"/>
      <c r="T468" s="4"/>
      <c r="U468" s="4"/>
    </row>
    <row x14ac:dyDescent="0.25" r="469" customHeight="1" ht="12.75">
      <c r="A469" s="4"/>
      <c r="B469" s="29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29"/>
      <c r="N469" s="29"/>
      <c r="O469" s="29"/>
      <c r="P469" s="32"/>
      <c r="Q469" s="32"/>
      <c r="R469" s="4"/>
      <c r="S469" s="4"/>
      <c r="T469" s="4"/>
      <c r="U469" s="4"/>
    </row>
    <row x14ac:dyDescent="0.25" r="470" customHeight="1" ht="12.75">
      <c r="A470" s="4"/>
      <c r="B470" s="29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29"/>
      <c r="N470" s="29"/>
      <c r="O470" s="29"/>
      <c r="P470" s="32"/>
      <c r="Q470" s="32"/>
      <c r="R470" s="4"/>
      <c r="S470" s="4"/>
      <c r="T470" s="4"/>
      <c r="U470" s="4"/>
    </row>
    <row x14ac:dyDescent="0.25" r="471" customHeight="1" ht="12.75">
      <c r="A471" s="4"/>
      <c r="B471" s="29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29"/>
      <c r="N471" s="29"/>
      <c r="O471" s="29"/>
      <c r="P471" s="32"/>
      <c r="Q471" s="32"/>
      <c r="R471" s="4"/>
      <c r="S471" s="4"/>
      <c r="T471" s="4"/>
      <c r="U471" s="4"/>
    </row>
    <row x14ac:dyDescent="0.25" r="472" customHeight="1" ht="12.75">
      <c r="A472" s="4"/>
      <c r="B472" s="29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29"/>
      <c r="N472" s="29"/>
      <c r="O472" s="29"/>
      <c r="P472" s="32"/>
      <c r="Q472" s="32"/>
      <c r="R472" s="4"/>
      <c r="S472" s="4"/>
      <c r="T472" s="4"/>
      <c r="U472" s="4"/>
    </row>
    <row x14ac:dyDescent="0.25" r="473" customHeight="1" ht="12.75">
      <c r="A473" s="4"/>
      <c r="B473" s="29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29"/>
      <c r="N473" s="29"/>
      <c r="O473" s="29"/>
      <c r="P473" s="32"/>
      <c r="Q473" s="32"/>
      <c r="R473" s="4"/>
      <c r="S473" s="4"/>
      <c r="T473" s="4"/>
      <c r="U473" s="4"/>
    </row>
    <row x14ac:dyDescent="0.25" r="474" customHeight="1" ht="12.75">
      <c r="A474" s="4"/>
      <c r="B474" s="29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29"/>
      <c r="N474" s="29"/>
      <c r="O474" s="29"/>
      <c r="P474" s="32"/>
      <c r="Q474" s="32"/>
      <c r="R474" s="4"/>
      <c r="S474" s="4"/>
      <c r="T474" s="4"/>
      <c r="U474" s="4"/>
    </row>
    <row x14ac:dyDescent="0.25" r="475" customHeight="1" ht="12.75">
      <c r="A475" s="4"/>
      <c r="B475" s="29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29"/>
      <c r="N475" s="29"/>
      <c r="O475" s="29"/>
      <c r="P475" s="32"/>
      <c r="Q475" s="32"/>
      <c r="R475" s="4"/>
      <c r="S475" s="4"/>
      <c r="T475" s="4"/>
      <c r="U475" s="4"/>
    </row>
    <row x14ac:dyDescent="0.25" r="476" customHeight="1" ht="12.75">
      <c r="A476" s="4"/>
      <c r="B476" s="29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29"/>
      <c r="N476" s="29"/>
      <c r="O476" s="29"/>
      <c r="P476" s="32"/>
      <c r="Q476" s="32"/>
      <c r="R476" s="4"/>
      <c r="S476" s="4"/>
      <c r="T476" s="4"/>
      <c r="U476" s="4"/>
    </row>
    <row x14ac:dyDescent="0.25" r="477" customHeight="1" ht="12.75">
      <c r="A477" s="4"/>
      <c r="B477" s="29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29"/>
      <c r="N477" s="29"/>
      <c r="O477" s="29"/>
      <c r="P477" s="32"/>
      <c r="Q477" s="32"/>
      <c r="R477" s="4"/>
      <c r="S477" s="4"/>
      <c r="T477" s="4"/>
      <c r="U477" s="4"/>
    </row>
    <row x14ac:dyDescent="0.25" r="478" customHeight="1" ht="12.75">
      <c r="A478" s="4"/>
      <c r="B478" s="29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29"/>
      <c r="N478" s="29"/>
      <c r="O478" s="29"/>
      <c r="P478" s="32"/>
      <c r="Q478" s="32"/>
      <c r="R478" s="4"/>
      <c r="S478" s="4"/>
      <c r="T478" s="4"/>
      <c r="U478" s="4"/>
    </row>
    <row x14ac:dyDescent="0.25" r="479" customHeight="1" ht="12.75">
      <c r="A479" s="4"/>
      <c r="B479" s="29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29"/>
      <c r="N479" s="29"/>
      <c r="O479" s="29"/>
      <c r="P479" s="32"/>
      <c r="Q479" s="32"/>
      <c r="R479" s="4"/>
      <c r="S479" s="4"/>
      <c r="T479" s="4"/>
      <c r="U479" s="4"/>
    </row>
    <row x14ac:dyDescent="0.25" r="480" customHeight="1" ht="12.75">
      <c r="A480" s="4"/>
      <c r="B480" s="29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29"/>
      <c r="N480" s="29"/>
      <c r="O480" s="29"/>
      <c r="P480" s="32"/>
      <c r="Q480" s="32"/>
      <c r="R480" s="4"/>
      <c r="S480" s="4"/>
      <c r="T480" s="4"/>
      <c r="U480" s="4"/>
    </row>
    <row x14ac:dyDescent="0.25" r="481" customHeight="1" ht="12.75">
      <c r="A481" s="4"/>
      <c r="B481" s="29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29"/>
      <c r="N481" s="29"/>
      <c r="O481" s="29"/>
      <c r="P481" s="32"/>
      <c r="Q481" s="32"/>
      <c r="R481" s="4"/>
      <c r="S481" s="4"/>
      <c r="T481" s="4"/>
      <c r="U481" s="4"/>
    </row>
    <row x14ac:dyDescent="0.25" r="482" customHeight="1" ht="12.75">
      <c r="A482" s="4"/>
      <c r="B482" s="29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29"/>
      <c r="N482" s="29"/>
      <c r="O482" s="29"/>
      <c r="P482" s="32"/>
      <c r="Q482" s="32"/>
      <c r="R482" s="4"/>
      <c r="S482" s="4"/>
      <c r="T482" s="4"/>
      <c r="U482" s="4"/>
    </row>
    <row x14ac:dyDescent="0.25" r="483" customHeight="1" ht="12.75">
      <c r="A483" s="4"/>
      <c r="B483" s="29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29"/>
      <c r="N483" s="29"/>
      <c r="O483" s="29"/>
      <c r="P483" s="32"/>
      <c r="Q483" s="32"/>
      <c r="R483" s="4"/>
      <c r="S483" s="4"/>
      <c r="T483" s="4"/>
      <c r="U483" s="4"/>
    </row>
    <row x14ac:dyDescent="0.25" r="484" customHeight="1" ht="12.75">
      <c r="A484" s="4"/>
      <c r="B484" s="29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29"/>
      <c r="N484" s="29"/>
      <c r="O484" s="29"/>
      <c r="P484" s="32"/>
      <c r="Q484" s="32"/>
      <c r="R484" s="4"/>
      <c r="S484" s="4"/>
      <c r="T484" s="4"/>
      <c r="U484" s="4"/>
    </row>
    <row x14ac:dyDescent="0.25" r="485" customHeight="1" ht="12.75">
      <c r="A485" s="4"/>
      <c r="B485" s="29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29"/>
      <c r="N485" s="29"/>
      <c r="O485" s="29"/>
      <c r="P485" s="32"/>
      <c r="Q485" s="32"/>
      <c r="R485" s="4"/>
      <c r="S485" s="4"/>
      <c r="T485" s="4"/>
      <c r="U485" s="4"/>
    </row>
    <row x14ac:dyDescent="0.25" r="486" customHeight="1" ht="12.75">
      <c r="A486" s="4"/>
      <c r="B486" s="29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29"/>
      <c r="N486" s="29"/>
      <c r="O486" s="29"/>
      <c r="P486" s="32"/>
      <c r="Q486" s="32"/>
      <c r="R486" s="4"/>
      <c r="S486" s="4"/>
      <c r="T486" s="4"/>
      <c r="U486" s="4"/>
    </row>
    <row x14ac:dyDescent="0.25" r="487" customHeight="1" ht="12.75">
      <c r="A487" s="4"/>
      <c r="B487" s="29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29"/>
      <c r="N487" s="29"/>
      <c r="O487" s="29"/>
      <c r="P487" s="32"/>
      <c r="Q487" s="32"/>
      <c r="R487" s="4"/>
      <c r="S487" s="4"/>
      <c r="T487" s="4"/>
      <c r="U487" s="4"/>
    </row>
    <row x14ac:dyDescent="0.25" r="488" customHeight="1" ht="12.75">
      <c r="A488" s="4"/>
      <c r="B488" s="29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29"/>
      <c r="N488" s="29"/>
      <c r="O488" s="29"/>
      <c r="P488" s="32"/>
      <c r="Q488" s="32"/>
      <c r="R488" s="4"/>
      <c r="S488" s="4"/>
      <c r="T488" s="4"/>
      <c r="U488" s="4"/>
    </row>
    <row x14ac:dyDescent="0.25" r="489" customHeight="1" ht="12.75">
      <c r="A489" s="4"/>
      <c r="B489" s="29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29"/>
      <c r="N489" s="29"/>
      <c r="O489" s="29"/>
      <c r="P489" s="32"/>
      <c r="Q489" s="32"/>
      <c r="R489" s="4"/>
      <c r="S489" s="4"/>
      <c r="T489" s="4"/>
      <c r="U489" s="4"/>
    </row>
    <row x14ac:dyDescent="0.25" r="490" customHeight="1" ht="12.75">
      <c r="A490" s="4"/>
      <c r="B490" s="29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29"/>
      <c r="N490" s="29"/>
      <c r="O490" s="29"/>
      <c r="P490" s="32"/>
      <c r="Q490" s="32"/>
      <c r="R490" s="4"/>
      <c r="S490" s="4"/>
      <c r="T490" s="4"/>
      <c r="U490" s="4"/>
    </row>
    <row x14ac:dyDescent="0.25" r="491" customHeight="1" ht="12.75">
      <c r="A491" s="4"/>
      <c r="B491" s="29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29"/>
      <c r="N491" s="29"/>
      <c r="O491" s="29"/>
      <c r="P491" s="32"/>
      <c r="Q491" s="32"/>
      <c r="R491" s="4"/>
      <c r="S491" s="4"/>
      <c r="T491" s="4"/>
      <c r="U491" s="4"/>
    </row>
    <row x14ac:dyDescent="0.25" r="492" customHeight="1" ht="12.75">
      <c r="A492" s="4"/>
      <c r="B492" s="29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29"/>
      <c r="N492" s="29"/>
      <c r="O492" s="29"/>
      <c r="P492" s="32"/>
      <c r="Q492" s="32"/>
      <c r="R492" s="4"/>
      <c r="S492" s="4"/>
      <c r="T492" s="4"/>
      <c r="U492" s="4"/>
    </row>
    <row x14ac:dyDescent="0.25" r="493" customHeight="1" ht="12.75">
      <c r="A493" s="4"/>
      <c r="B493" s="29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29"/>
      <c r="N493" s="29"/>
      <c r="O493" s="29"/>
      <c r="P493" s="32"/>
      <c r="Q493" s="32"/>
      <c r="R493" s="4"/>
      <c r="S493" s="4"/>
      <c r="T493" s="4"/>
      <c r="U493" s="4"/>
    </row>
    <row x14ac:dyDescent="0.25" r="494" customHeight="1" ht="12.75">
      <c r="A494" s="4"/>
      <c r="B494" s="29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29"/>
      <c r="N494" s="29"/>
      <c r="O494" s="29"/>
      <c r="P494" s="32"/>
      <c r="Q494" s="32"/>
      <c r="R494" s="4"/>
      <c r="S494" s="4"/>
      <c r="T494" s="4"/>
      <c r="U494" s="4"/>
    </row>
    <row x14ac:dyDescent="0.25" r="495" customHeight="1" ht="12.75">
      <c r="A495" s="4"/>
      <c r="B495" s="29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29"/>
      <c r="N495" s="29"/>
      <c r="O495" s="29"/>
      <c r="P495" s="32"/>
      <c r="Q495" s="32"/>
      <c r="R495" s="4"/>
      <c r="S495" s="4"/>
      <c r="T495" s="4"/>
      <c r="U495" s="4"/>
    </row>
    <row x14ac:dyDescent="0.25" r="496" customHeight="1" ht="12.75">
      <c r="A496" s="4"/>
      <c r="B496" s="29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29"/>
      <c r="N496" s="29"/>
      <c r="O496" s="29"/>
      <c r="P496" s="32"/>
      <c r="Q496" s="32"/>
      <c r="R496" s="4"/>
      <c r="S496" s="4"/>
      <c r="T496" s="4"/>
      <c r="U496" s="4"/>
    </row>
    <row x14ac:dyDescent="0.25" r="497" customHeight="1" ht="12.75">
      <c r="A497" s="4"/>
      <c r="B497" s="29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29"/>
      <c r="N497" s="29"/>
      <c r="O497" s="29"/>
      <c r="P497" s="32"/>
      <c r="Q497" s="32"/>
      <c r="R497" s="4"/>
      <c r="S497" s="4"/>
      <c r="T497" s="4"/>
      <c r="U497" s="4"/>
    </row>
    <row x14ac:dyDescent="0.25" r="498" customHeight="1" ht="12.75">
      <c r="A498" s="4"/>
      <c r="B498" s="29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29"/>
      <c r="N498" s="29"/>
      <c r="O498" s="29"/>
      <c r="P498" s="32"/>
      <c r="Q498" s="32"/>
      <c r="R498" s="4"/>
      <c r="S498" s="4"/>
      <c r="T498" s="4"/>
      <c r="U498" s="4"/>
    </row>
    <row x14ac:dyDescent="0.25" r="499" customHeight="1" ht="12.75">
      <c r="A499" s="4"/>
      <c r="B499" s="29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29"/>
      <c r="N499" s="29"/>
      <c r="O499" s="29"/>
      <c r="P499" s="32"/>
      <c r="Q499" s="32"/>
      <c r="R499" s="4"/>
      <c r="S499" s="4"/>
      <c r="T499" s="4"/>
      <c r="U499" s="4"/>
    </row>
    <row x14ac:dyDescent="0.25" r="500" customHeight="1" ht="12.75">
      <c r="A500" s="4"/>
      <c r="B500" s="29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29"/>
      <c r="N500" s="29"/>
      <c r="O500" s="29"/>
      <c r="P500" s="32"/>
      <c r="Q500" s="32"/>
      <c r="R500" s="4"/>
      <c r="S500" s="4"/>
      <c r="T500" s="4"/>
      <c r="U500" s="4"/>
    </row>
    <row x14ac:dyDescent="0.25" r="501" customHeight="1" ht="12.75">
      <c r="A501" s="4"/>
      <c r="B501" s="29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29"/>
      <c r="N501" s="29"/>
      <c r="O501" s="29"/>
      <c r="P501" s="32"/>
      <c r="Q501" s="32"/>
      <c r="R501" s="4"/>
      <c r="S501" s="4"/>
      <c r="T501" s="4"/>
      <c r="U501" s="4"/>
    </row>
    <row x14ac:dyDescent="0.25" r="502" customHeight="1" ht="12.75">
      <c r="A502" s="4"/>
      <c r="B502" s="29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29"/>
      <c r="N502" s="29"/>
      <c r="O502" s="29"/>
      <c r="P502" s="32"/>
      <c r="Q502" s="32"/>
      <c r="R502" s="4"/>
      <c r="S502" s="4"/>
      <c r="T502" s="4"/>
      <c r="U502" s="4"/>
    </row>
    <row x14ac:dyDescent="0.25" r="503" customHeight="1" ht="12.75">
      <c r="A503" s="4"/>
      <c r="B503" s="29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29"/>
      <c r="N503" s="29"/>
      <c r="O503" s="29"/>
      <c r="P503" s="32"/>
      <c r="Q503" s="32"/>
      <c r="R503" s="4"/>
      <c r="S503" s="4"/>
      <c r="T503" s="4"/>
      <c r="U503" s="4"/>
    </row>
    <row x14ac:dyDescent="0.25" r="504" customHeight="1" ht="12.75">
      <c r="A504" s="4"/>
      <c r="B504" s="29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29"/>
      <c r="N504" s="29"/>
      <c r="O504" s="29"/>
      <c r="P504" s="32"/>
      <c r="Q504" s="32"/>
      <c r="R504" s="4"/>
      <c r="S504" s="4"/>
      <c r="T504" s="4"/>
      <c r="U504" s="4"/>
    </row>
    <row x14ac:dyDescent="0.25" r="505" customHeight="1" ht="12.75">
      <c r="A505" s="4"/>
      <c r="B505" s="29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29"/>
      <c r="N505" s="29"/>
      <c r="O505" s="29"/>
      <c r="P505" s="32"/>
      <c r="Q505" s="32"/>
      <c r="R505" s="4"/>
      <c r="S505" s="4"/>
      <c r="T505" s="4"/>
      <c r="U505" s="4"/>
    </row>
    <row x14ac:dyDescent="0.25" r="506" customHeight="1" ht="12.75">
      <c r="A506" s="4"/>
      <c r="B506" s="29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29"/>
      <c r="N506" s="29"/>
      <c r="O506" s="29"/>
      <c r="P506" s="32"/>
      <c r="Q506" s="32"/>
      <c r="R506" s="4"/>
      <c r="S506" s="4"/>
      <c r="T506" s="4"/>
      <c r="U506" s="4"/>
    </row>
    <row x14ac:dyDescent="0.25" r="507" customHeight="1" ht="12.75">
      <c r="A507" s="4"/>
      <c r="B507" s="29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29"/>
      <c r="N507" s="29"/>
      <c r="O507" s="29"/>
      <c r="P507" s="32"/>
      <c r="Q507" s="32"/>
      <c r="R507" s="4"/>
      <c r="S507" s="4"/>
      <c r="T507" s="4"/>
      <c r="U507" s="4"/>
    </row>
    <row x14ac:dyDescent="0.25" r="508" customHeight="1" ht="12.75">
      <c r="A508" s="4"/>
      <c r="B508" s="29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29"/>
      <c r="N508" s="29"/>
      <c r="O508" s="29"/>
      <c r="P508" s="32"/>
      <c r="Q508" s="32"/>
      <c r="R508" s="4"/>
      <c r="S508" s="4"/>
      <c r="T508" s="4"/>
      <c r="U508" s="4"/>
    </row>
    <row x14ac:dyDescent="0.25" r="509" customHeight="1" ht="12.75">
      <c r="A509" s="4"/>
      <c r="B509" s="29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29"/>
      <c r="N509" s="29"/>
      <c r="O509" s="29"/>
      <c r="P509" s="32"/>
      <c r="Q509" s="32"/>
      <c r="R509" s="4"/>
      <c r="S509" s="4"/>
      <c r="T509" s="4"/>
      <c r="U509" s="4"/>
    </row>
    <row x14ac:dyDescent="0.25" r="510" customHeight="1" ht="12.75">
      <c r="A510" s="4"/>
      <c r="B510" s="29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29"/>
      <c r="N510" s="29"/>
      <c r="O510" s="29"/>
      <c r="P510" s="32"/>
      <c r="Q510" s="32"/>
      <c r="R510" s="4"/>
      <c r="S510" s="4"/>
      <c r="T510" s="4"/>
      <c r="U510" s="4"/>
    </row>
    <row x14ac:dyDescent="0.25" r="511" customHeight="1" ht="12.75">
      <c r="A511" s="4"/>
      <c r="B511" s="29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29"/>
      <c r="N511" s="29"/>
      <c r="O511" s="29"/>
      <c r="P511" s="32"/>
      <c r="Q511" s="32"/>
      <c r="R511" s="4"/>
      <c r="S511" s="4"/>
      <c r="T511" s="4"/>
      <c r="U511" s="4"/>
    </row>
    <row x14ac:dyDescent="0.25" r="512" customHeight="1" ht="12.75">
      <c r="A512" s="4"/>
      <c r="B512" s="29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29"/>
      <c r="N512" s="29"/>
      <c r="O512" s="29"/>
      <c r="P512" s="32"/>
      <c r="Q512" s="32"/>
      <c r="R512" s="4"/>
      <c r="S512" s="4"/>
      <c r="T512" s="4"/>
      <c r="U512" s="4"/>
    </row>
    <row x14ac:dyDescent="0.25" r="513" customHeight="1" ht="12.75">
      <c r="A513" s="4"/>
      <c r="B513" s="29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29"/>
      <c r="N513" s="29"/>
      <c r="O513" s="29"/>
      <c r="P513" s="32"/>
      <c r="Q513" s="32"/>
      <c r="R513" s="4"/>
      <c r="S513" s="4"/>
      <c r="T513" s="4"/>
      <c r="U513" s="4"/>
    </row>
    <row x14ac:dyDescent="0.25" r="514" customHeight="1" ht="12.75">
      <c r="A514" s="4"/>
      <c r="B514" s="29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29"/>
      <c r="N514" s="29"/>
      <c r="O514" s="29"/>
      <c r="P514" s="32"/>
      <c r="Q514" s="32"/>
      <c r="R514" s="4"/>
      <c r="S514" s="4"/>
      <c r="T514" s="4"/>
      <c r="U514" s="4"/>
    </row>
    <row x14ac:dyDescent="0.25" r="515" customHeight="1" ht="12.75">
      <c r="A515" s="4"/>
      <c r="B515" s="29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29"/>
      <c r="N515" s="29"/>
      <c r="O515" s="29"/>
      <c r="P515" s="32"/>
      <c r="Q515" s="32"/>
      <c r="R515" s="4"/>
      <c r="S515" s="4"/>
      <c r="T515" s="4"/>
      <c r="U515" s="4"/>
    </row>
    <row x14ac:dyDescent="0.25" r="516" customHeight="1" ht="12.75">
      <c r="A516" s="4"/>
      <c r="B516" s="29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29"/>
      <c r="N516" s="29"/>
      <c r="O516" s="29"/>
      <c r="P516" s="32"/>
      <c r="Q516" s="32"/>
      <c r="R516" s="4"/>
      <c r="S516" s="4"/>
      <c r="T516" s="4"/>
      <c r="U516" s="4"/>
    </row>
    <row x14ac:dyDescent="0.25" r="517" customHeight="1" ht="12.75">
      <c r="A517" s="4"/>
      <c r="B517" s="29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29"/>
      <c r="N517" s="29"/>
      <c r="O517" s="29"/>
      <c r="P517" s="32"/>
      <c r="Q517" s="32"/>
      <c r="R517" s="4"/>
      <c r="S517" s="4"/>
      <c r="T517" s="4"/>
      <c r="U517" s="4"/>
    </row>
    <row x14ac:dyDescent="0.25" r="518" customHeight="1" ht="12.75">
      <c r="A518" s="4"/>
      <c r="B518" s="29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29"/>
      <c r="N518" s="29"/>
      <c r="O518" s="29"/>
      <c r="P518" s="32"/>
      <c r="Q518" s="32"/>
      <c r="R518" s="4"/>
      <c r="S518" s="4"/>
      <c r="T518" s="4"/>
      <c r="U518" s="4"/>
    </row>
    <row x14ac:dyDescent="0.25" r="519" customHeight="1" ht="12.75">
      <c r="A519" s="4"/>
      <c r="B519" s="29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29"/>
      <c r="N519" s="29"/>
      <c r="O519" s="29"/>
      <c r="P519" s="32"/>
      <c r="Q519" s="32"/>
      <c r="R519" s="4"/>
      <c r="S519" s="4"/>
      <c r="T519" s="4"/>
      <c r="U519" s="4"/>
    </row>
    <row x14ac:dyDescent="0.25" r="520" customHeight="1" ht="12.75">
      <c r="A520" s="4"/>
      <c r="B520" s="29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29"/>
      <c r="N520" s="29"/>
      <c r="O520" s="29"/>
      <c r="P520" s="32"/>
      <c r="Q520" s="32"/>
      <c r="R520" s="4"/>
      <c r="S520" s="4"/>
      <c r="T520" s="4"/>
      <c r="U520" s="4"/>
    </row>
    <row x14ac:dyDescent="0.25" r="521" customHeight="1" ht="12.75">
      <c r="A521" s="4"/>
      <c r="B521" s="29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29"/>
      <c r="N521" s="29"/>
      <c r="O521" s="29"/>
      <c r="P521" s="32"/>
      <c r="Q521" s="32"/>
      <c r="R521" s="4"/>
      <c r="S521" s="4"/>
      <c r="T521" s="4"/>
      <c r="U521" s="4"/>
    </row>
    <row x14ac:dyDescent="0.25" r="522" customHeight="1" ht="12.75">
      <c r="A522" s="4"/>
      <c r="B522" s="29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29"/>
      <c r="N522" s="29"/>
      <c r="O522" s="29"/>
      <c r="P522" s="32"/>
      <c r="Q522" s="32"/>
      <c r="R522" s="4"/>
      <c r="S522" s="4"/>
      <c r="T522" s="4"/>
      <c r="U522" s="4"/>
    </row>
    <row x14ac:dyDescent="0.25" r="523" customHeight="1" ht="12.75">
      <c r="A523" s="4"/>
      <c r="B523" s="29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29"/>
      <c r="N523" s="29"/>
      <c r="O523" s="29"/>
      <c r="P523" s="32"/>
      <c r="Q523" s="32"/>
      <c r="R523" s="4"/>
      <c r="S523" s="4"/>
      <c r="T523" s="4"/>
      <c r="U523" s="4"/>
    </row>
    <row x14ac:dyDescent="0.25" r="524" customHeight="1" ht="12.75">
      <c r="A524" s="4"/>
      <c r="B524" s="29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29"/>
      <c r="N524" s="29"/>
      <c r="O524" s="29"/>
      <c r="P524" s="32"/>
      <c r="Q524" s="32"/>
      <c r="R524" s="4"/>
      <c r="S524" s="4"/>
      <c r="T524" s="4"/>
      <c r="U524" s="4"/>
    </row>
    <row x14ac:dyDescent="0.25" r="525" customHeight="1" ht="12.75">
      <c r="A525" s="4"/>
      <c r="B525" s="29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29"/>
      <c r="N525" s="29"/>
      <c r="O525" s="29"/>
      <c r="P525" s="32"/>
      <c r="Q525" s="32"/>
      <c r="R525" s="4"/>
      <c r="S525" s="4"/>
      <c r="T525" s="4"/>
      <c r="U525" s="4"/>
    </row>
    <row x14ac:dyDescent="0.25" r="526" customHeight="1" ht="12.75">
      <c r="A526" s="4"/>
      <c r="B526" s="29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29"/>
      <c r="N526" s="29"/>
      <c r="O526" s="29"/>
      <c r="P526" s="32"/>
      <c r="Q526" s="32"/>
      <c r="R526" s="4"/>
      <c r="S526" s="4"/>
      <c r="T526" s="4"/>
      <c r="U526" s="4"/>
    </row>
    <row x14ac:dyDescent="0.25" r="527" customHeight="1" ht="12.75">
      <c r="A527" s="4"/>
      <c r="B527" s="29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29"/>
      <c r="N527" s="29"/>
      <c r="O527" s="29"/>
      <c r="P527" s="32"/>
      <c r="Q527" s="32"/>
      <c r="R527" s="4"/>
      <c r="S527" s="4"/>
      <c r="T527" s="4"/>
      <c r="U527" s="4"/>
    </row>
    <row x14ac:dyDescent="0.25" r="528" customHeight="1" ht="12.75">
      <c r="A528" s="4"/>
      <c r="B528" s="29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29"/>
      <c r="N528" s="29"/>
      <c r="O528" s="29"/>
      <c r="P528" s="32"/>
      <c r="Q528" s="32"/>
      <c r="R528" s="4"/>
      <c r="S528" s="4"/>
      <c r="T528" s="4"/>
      <c r="U528" s="4"/>
    </row>
    <row x14ac:dyDescent="0.25" r="529" customHeight="1" ht="12.75">
      <c r="A529" s="4"/>
      <c r="B529" s="29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29"/>
      <c r="N529" s="29"/>
      <c r="O529" s="29"/>
      <c r="P529" s="32"/>
      <c r="Q529" s="32"/>
      <c r="R529" s="4"/>
      <c r="S529" s="4"/>
      <c r="T529" s="4"/>
      <c r="U529" s="4"/>
    </row>
    <row x14ac:dyDescent="0.25" r="530" customHeight="1" ht="12.75">
      <c r="A530" s="4"/>
      <c r="B530" s="29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29"/>
      <c r="N530" s="29"/>
      <c r="O530" s="29"/>
      <c r="P530" s="32"/>
      <c r="Q530" s="32"/>
      <c r="R530" s="4"/>
      <c r="S530" s="4"/>
      <c r="T530" s="4"/>
      <c r="U530" s="4"/>
    </row>
    <row x14ac:dyDescent="0.25" r="531" customHeight="1" ht="12.75">
      <c r="A531" s="4"/>
      <c r="B531" s="29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29"/>
      <c r="N531" s="29"/>
      <c r="O531" s="29"/>
      <c r="P531" s="32"/>
      <c r="Q531" s="32"/>
      <c r="R531" s="4"/>
      <c r="S531" s="4"/>
      <c r="T531" s="4"/>
      <c r="U531" s="4"/>
    </row>
    <row x14ac:dyDescent="0.25" r="532" customHeight="1" ht="12.75">
      <c r="A532" s="4"/>
      <c r="B532" s="29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29"/>
      <c r="N532" s="29"/>
      <c r="O532" s="29"/>
      <c r="P532" s="32"/>
      <c r="Q532" s="32"/>
      <c r="R532" s="4"/>
      <c r="S532" s="4"/>
      <c r="T532" s="4"/>
      <c r="U532" s="4"/>
    </row>
    <row x14ac:dyDescent="0.25" r="533" customHeight="1" ht="12.75">
      <c r="A533" s="4"/>
      <c r="B533" s="29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29"/>
      <c r="N533" s="29"/>
      <c r="O533" s="29"/>
      <c r="P533" s="32"/>
      <c r="Q533" s="32"/>
      <c r="R533" s="4"/>
      <c r="S533" s="4"/>
      <c r="T533" s="4"/>
      <c r="U533" s="4"/>
    </row>
    <row x14ac:dyDescent="0.25" r="534" customHeight="1" ht="12.75">
      <c r="A534" s="4"/>
      <c r="B534" s="29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29"/>
      <c r="N534" s="29"/>
      <c r="O534" s="29"/>
      <c r="P534" s="32"/>
      <c r="Q534" s="32"/>
      <c r="R534" s="4"/>
      <c r="S534" s="4"/>
      <c r="T534" s="4"/>
      <c r="U534" s="4"/>
    </row>
    <row x14ac:dyDescent="0.25" r="535" customHeight="1" ht="12.75">
      <c r="A535" s="4"/>
      <c r="B535" s="29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29"/>
      <c r="N535" s="29"/>
      <c r="O535" s="29"/>
      <c r="P535" s="32"/>
      <c r="Q535" s="32"/>
      <c r="R535" s="4"/>
      <c r="S535" s="4"/>
      <c r="T535" s="4"/>
      <c r="U535" s="4"/>
    </row>
    <row x14ac:dyDescent="0.25" r="536" customHeight="1" ht="12.75">
      <c r="A536" s="4"/>
      <c r="B536" s="29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29"/>
      <c r="N536" s="29"/>
      <c r="O536" s="29"/>
      <c r="P536" s="32"/>
      <c r="Q536" s="32"/>
      <c r="R536" s="4"/>
      <c r="S536" s="4"/>
      <c r="T536" s="4"/>
      <c r="U536" s="4"/>
    </row>
    <row x14ac:dyDescent="0.25" r="537" customHeight="1" ht="12.75">
      <c r="A537" s="4"/>
      <c r="B537" s="29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29"/>
      <c r="N537" s="29"/>
      <c r="O537" s="29"/>
      <c r="P537" s="32"/>
      <c r="Q537" s="32"/>
      <c r="R537" s="4"/>
      <c r="S537" s="4"/>
      <c r="T537" s="4"/>
      <c r="U537" s="4"/>
    </row>
    <row x14ac:dyDescent="0.25" r="538" customHeight="1" ht="12.75">
      <c r="A538" s="4"/>
      <c r="B538" s="29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29"/>
      <c r="N538" s="29"/>
      <c r="O538" s="29"/>
      <c r="P538" s="32"/>
      <c r="Q538" s="32"/>
      <c r="R538" s="4"/>
      <c r="S538" s="4"/>
      <c r="T538" s="4"/>
      <c r="U538" s="4"/>
    </row>
    <row x14ac:dyDescent="0.25" r="539" customHeight="1" ht="12.75">
      <c r="A539" s="4"/>
      <c r="B539" s="29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29"/>
      <c r="N539" s="29"/>
      <c r="O539" s="29"/>
      <c r="P539" s="32"/>
      <c r="Q539" s="32"/>
      <c r="R539" s="4"/>
      <c r="S539" s="4"/>
      <c r="T539" s="4"/>
      <c r="U539" s="4"/>
    </row>
    <row x14ac:dyDescent="0.25" r="540" customHeight="1" ht="12.75">
      <c r="A540" s="4"/>
      <c r="B540" s="29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29"/>
      <c r="N540" s="29"/>
      <c r="O540" s="29"/>
      <c r="P540" s="32"/>
      <c r="Q540" s="32"/>
      <c r="R540" s="4"/>
      <c r="S540" s="4"/>
      <c r="T540" s="4"/>
      <c r="U540" s="4"/>
    </row>
    <row x14ac:dyDescent="0.25" r="541" customHeight="1" ht="12.75">
      <c r="A541" s="4"/>
      <c r="B541" s="29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29"/>
      <c r="N541" s="29"/>
      <c r="O541" s="29"/>
      <c r="P541" s="32"/>
      <c r="Q541" s="32"/>
      <c r="R541" s="4"/>
      <c r="S541" s="4"/>
      <c r="T541" s="4"/>
      <c r="U541" s="4"/>
    </row>
    <row x14ac:dyDescent="0.25" r="542" customHeight="1" ht="12.75">
      <c r="A542" s="4"/>
      <c r="B542" s="29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29"/>
      <c r="N542" s="29"/>
      <c r="O542" s="29"/>
      <c r="P542" s="32"/>
      <c r="Q542" s="32"/>
      <c r="R542" s="4"/>
      <c r="S542" s="4"/>
      <c r="T542" s="4"/>
      <c r="U542" s="4"/>
    </row>
    <row x14ac:dyDescent="0.25" r="543" customHeight="1" ht="12.75">
      <c r="A543" s="4"/>
      <c r="B543" s="29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29"/>
      <c r="N543" s="29"/>
      <c r="O543" s="29"/>
      <c r="P543" s="32"/>
      <c r="Q543" s="32"/>
      <c r="R543" s="4"/>
      <c r="S543" s="4"/>
      <c r="T543" s="4"/>
      <c r="U543" s="4"/>
    </row>
    <row x14ac:dyDescent="0.25" r="544" customHeight="1" ht="12.75">
      <c r="A544" s="4"/>
      <c r="B544" s="29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29"/>
      <c r="N544" s="29"/>
      <c r="O544" s="29"/>
      <c r="P544" s="32"/>
      <c r="Q544" s="32"/>
      <c r="R544" s="4"/>
      <c r="S544" s="4"/>
      <c r="T544" s="4"/>
      <c r="U544" s="4"/>
    </row>
    <row x14ac:dyDescent="0.25" r="545" customHeight="1" ht="12.75">
      <c r="A545" s="4"/>
      <c r="B545" s="29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29"/>
      <c r="N545" s="29"/>
      <c r="O545" s="29"/>
      <c r="P545" s="32"/>
      <c r="Q545" s="32"/>
      <c r="R545" s="4"/>
      <c r="S545" s="4"/>
      <c r="T545" s="4"/>
      <c r="U545" s="4"/>
    </row>
    <row x14ac:dyDescent="0.25" r="546" customHeight="1" ht="12.75">
      <c r="A546" s="4"/>
      <c r="B546" s="29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29"/>
      <c r="N546" s="29"/>
      <c r="O546" s="29"/>
      <c r="P546" s="32"/>
      <c r="Q546" s="32"/>
      <c r="R546" s="4"/>
      <c r="S546" s="4"/>
      <c r="T546" s="4"/>
      <c r="U546" s="4"/>
    </row>
    <row x14ac:dyDescent="0.25" r="547" customHeight="1" ht="12.75">
      <c r="A547" s="4"/>
      <c r="B547" s="29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29"/>
      <c r="N547" s="29"/>
      <c r="O547" s="29"/>
      <c r="P547" s="32"/>
      <c r="Q547" s="32"/>
      <c r="R547" s="4"/>
      <c r="S547" s="4"/>
      <c r="T547" s="4"/>
      <c r="U547" s="4"/>
    </row>
    <row x14ac:dyDescent="0.25" r="548" customHeight="1" ht="12.75">
      <c r="A548" s="4"/>
      <c r="B548" s="29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29"/>
      <c r="N548" s="29"/>
      <c r="O548" s="29"/>
      <c r="P548" s="32"/>
      <c r="Q548" s="32"/>
      <c r="R548" s="4"/>
      <c r="S548" s="4"/>
      <c r="T548" s="4"/>
      <c r="U548" s="4"/>
    </row>
    <row x14ac:dyDescent="0.25" r="549" customHeight="1" ht="12.75">
      <c r="A549" s="4"/>
      <c r="B549" s="29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29"/>
      <c r="N549" s="29"/>
      <c r="O549" s="29"/>
      <c r="P549" s="32"/>
      <c r="Q549" s="32"/>
      <c r="R549" s="4"/>
      <c r="S549" s="4"/>
      <c r="T549" s="4"/>
      <c r="U549" s="4"/>
    </row>
    <row x14ac:dyDescent="0.25" r="550" customHeight="1" ht="12.75">
      <c r="A550" s="4"/>
      <c r="B550" s="29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29"/>
      <c r="N550" s="29"/>
      <c r="O550" s="29"/>
      <c r="P550" s="32"/>
      <c r="Q550" s="32"/>
      <c r="R550" s="4"/>
      <c r="S550" s="4"/>
      <c r="T550" s="4"/>
      <c r="U550" s="4"/>
    </row>
    <row x14ac:dyDescent="0.25" r="551" customHeight="1" ht="12.75">
      <c r="A551" s="4"/>
      <c r="B551" s="29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29"/>
      <c r="N551" s="29"/>
      <c r="O551" s="29"/>
      <c r="P551" s="32"/>
      <c r="Q551" s="32"/>
      <c r="R551" s="4"/>
      <c r="S551" s="4"/>
      <c r="T551" s="4"/>
      <c r="U551" s="4"/>
    </row>
    <row x14ac:dyDescent="0.25" r="552" customHeight="1" ht="12.75">
      <c r="A552" s="4"/>
      <c r="B552" s="29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29"/>
      <c r="N552" s="29"/>
      <c r="O552" s="29"/>
      <c r="P552" s="32"/>
      <c r="Q552" s="32"/>
      <c r="R552" s="4"/>
      <c r="S552" s="4"/>
      <c r="T552" s="4"/>
      <c r="U552" s="4"/>
    </row>
    <row x14ac:dyDescent="0.25" r="553" customHeight="1" ht="12.75">
      <c r="A553" s="4"/>
      <c r="B553" s="29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29"/>
      <c r="N553" s="29"/>
      <c r="O553" s="29"/>
      <c r="P553" s="32"/>
      <c r="Q553" s="32"/>
      <c r="R553" s="4"/>
      <c r="S553" s="4"/>
      <c r="T553" s="4"/>
      <c r="U553" s="4"/>
    </row>
    <row x14ac:dyDescent="0.25" r="554" customHeight="1" ht="12.75">
      <c r="A554" s="4"/>
      <c r="B554" s="29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29"/>
      <c r="N554" s="29"/>
      <c r="O554" s="29"/>
      <c r="P554" s="32"/>
      <c r="Q554" s="32"/>
      <c r="R554" s="4"/>
      <c r="S554" s="4"/>
      <c r="T554" s="4"/>
      <c r="U554" s="4"/>
    </row>
    <row x14ac:dyDescent="0.25" r="555" customHeight="1" ht="12.75">
      <c r="A555" s="4"/>
      <c r="B555" s="29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29"/>
      <c r="N555" s="29"/>
      <c r="O555" s="29"/>
      <c r="P555" s="32"/>
      <c r="Q555" s="32"/>
      <c r="R555" s="4"/>
      <c r="S555" s="4"/>
      <c r="T555" s="4"/>
      <c r="U555" s="4"/>
    </row>
    <row x14ac:dyDescent="0.25" r="556" customHeight="1" ht="12.75">
      <c r="A556" s="4"/>
      <c r="B556" s="29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29"/>
      <c r="N556" s="29"/>
      <c r="O556" s="29"/>
      <c r="P556" s="32"/>
      <c r="Q556" s="32"/>
      <c r="R556" s="4"/>
      <c r="S556" s="4"/>
      <c r="T556" s="4"/>
      <c r="U556" s="4"/>
    </row>
    <row x14ac:dyDescent="0.25" r="557" customHeight="1" ht="12.75">
      <c r="A557" s="4"/>
      <c r="B557" s="29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29"/>
      <c r="N557" s="29"/>
      <c r="O557" s="29"/>
      <c r="P557" s="32"/>
      <c r="Q557" s="32"/>
      <c r="R557" s="4"/>
      <c r="S557" s="4"/>
      <c r="T557" s="4"/>
      <c r="U557" s="4"/>
    </row>
    <row x14ac:dyDescent="0.25" r="558" customHeight="1" ht="12.75">
      <c r="A558" s="4"/>
      <c r="B558" s="29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29"/>
      <c r="N558" s="29"/>
      <c r="O558" s="29"/>
      <c r="P558" s="32"/>
      <c r="Q558" s="32"/>
      <c r="R558" s="4"/>
      <c r="S558" s="4"/>
      <c r="T558" s="4"/>
      <c r="U558" s="4"/>
    </row>
    <row x14ac:dyDescent="0.25" r="559" customHeight="1" ht="12.75">
      <c r="A559" s="4"/>
      <c r="B559" s="29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29"/>
      <c r="N559" s="29"/>
      <c r="O559" s="29"/>
      <c r="P559" s="32"/>
      <c r="Q559" s="32"/>
      <c r="R559" s="4"/>
      <c r="S559" s="4"/>
      <c r="T559" s="4"/>
      <c r="U559" s="4"/>
    </row>
    <row x14ac:dyDescent="0.25" r="560" customHeight="1" ht="12.75">
      <c r="A560" s="4"/>
      <c r="B560" s="29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29"/>
      <c r="N560" s="29"/>
      <c r="O560" s="29"/>
      <c r="P560" s="32"/>
      <c r="Q560" s="32"/>
      <c r="R560" s="4"/>
      <c r="S560" s="4"/>
      <c r="T560" s="4"/>
      <c r="U560" s="4"/>
    </row>
    <row x14ac:dyDescent="0.25" r="561" customHeight="1" ht="12.75">
      <c r="A561" s="4"/>
      <c r="B561" s="29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29"/>
      <c r="N561" s="29"/>
      <c r="O561" s="29"/>
      <c r="P561" s="32"/>
      <c r="Q561" s="32"/>
      <c r="R561" s="4"/>
      <c r="S561" s="4"/>
      <c r="T561" s="4"/>
      <c r="U561" s="4"/>
    </row>
    <row x14ac:dyDescent="0.25" r="562" customHeight="1" ht="12.75">
      <c r="A562" s="4"/>
      <c r="B562" s="29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29"/>
      <c r="N562" s="29"/>
      <c r="O562" s="29"/>
      <c r="P562" s="32"/>
      <c r="Q562" s="32"/>
      <c r="R562" s="4"/>
      <c r="S562" s="4"/>
      <c r="T562" s="4"/>
      <c r="U562" s="4"/>
    </row>
    <row x14ac:dyDescent="0.25" r="563" customHeight="1" ht="12.75">
      <c r="A563" s="4"/>
      <c r="B563" s="29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29"/>
      <c r="N563" s="29"/>
      <c r="O563" s="29"/>
      <c r="P563" s="32"/>
      <c r="Q563" s="32"/>
      <c r="R563" s="4"/>
      <c r="S563" s="4"/>
      <c r="T563" s="4"/>
      <c r="U563" s="4"/>
    </row>
    <row x14ac:dyDescent="0.25" r="564" customHeight="1" ht="12.75">
      <c r="A564" s="4"/>
      <c r="B564" s="29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29"/>
      <c r="N564" s="29"/>
      <c r="O564" s="29"/>
      <c r="P564" s="32"/>
      <c r="Q564" s="32"/>
      <c r="R564" s="4"/>
      <c r="S564" s="4"/>
      <c r="T564" s="4"/>
      <c r="U564" s="4"/>
    </row>
    <row x14ac:dyDescent="0.25" r="565" customHeight="1" ht="12.75">
      <c r="A565" s="4"/>
      <c r="B565" s="29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29"/>
      <c r="N565" s="29"/>
      <c r="O565" s="29"/>
      <c r="P565" s="32"/>
      <c r="Q565" s="32"/>
      <c r="R565" s="4"/>
      <c r="S565" s="4"/>
      <c r="T565" s="4"/>
      <c r="U565" s="4"/>
    </row>
    <row x14ac:dyDescent="0.25" r="566" customHeight="1" ht="12.75">
      <c r="A566" s="4"/>
      <c r="B566" s="29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29"/>
      <c r="N566" s="29"/>
      <c r="O566" s="29"/>
      <c r="P566" s="32"/>
      <c r="Q566" s="32"/>
      <c r="R566" s="4"/>
      <c r="S566" s="4"/>
      <c r="T566" s="4"/>
      <c r="U566" s="4"/>
    </row>
    <row x14ac:dyDescent="0.25" r="567" customHeight="1" ht="12.75">
      <c r="A567" s="4"/>
      <c r="B567" s="29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29"/>
      <c r="N567" s="29"/>
      <c r="O567" s="29"/>
      <c r="P567" s="32"/>
      <c r="Q567" s="32"/>
      <c r="R567" s="4"/>
      <c r="S567" s="4"/>
      <c r="T567" s="4"/>
      <c r="U567" s="4"/>
    </row>
    <row x14ac:dyDescent="0.25" r="568" customHeight="1" ht="12.75">
      <c r="A568" s="4"/>
      <c r="B568" s="29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29"/>
      <c r="N568" s="29"/>
      <c r="O568" s="29"/>
      <c r="P568" s="32"/>
      <c r="Q568" s="32"/>
      <c r="R568" s="4"/>
      <c r="S568" s="4"/>
      <c r="T568" s="4"/>
      <c r="U568" s="4"/>
    </row>
    <row x14ac:dyDescent="0.25" r="569" customHeight="1" ht="12.75">
      <c r="A569" s="4"/>
      <c r="B569" s="29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29"/>
      <c r="N569" s="29"/>
      <c r="O569" s="29"/>
      <c r="P569" s="32"/>
      <c r="Q569" s="32"/>
      <c r="R569" s="4"/>
      <c r="S569" s="4"/>
      <c r="T569" s="4"/>
      <c r="U569" s="4"/>
    </row>
    <row x14ac:dyDescent="0.25" r="570" customHeight="1" ht="12.75">
      <c r="A570" s="4"/>
      <c r="B570" s="29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29"/>
      <c r="N570" s="29"/>
      <c r="O570" s="29"/>
      <c r="P570" s="32"/>
      <c r="Q570" s="32"/>
      <c r="R570" s="4"/>
      <c r="S570" s="4"/>
      <c r="T570" s="4"/>
      <c r="U570" s="4"/>
    </row>
    <row x14ac:dyDescent="0.25" r="571" customHeight="1" ht="12.75">
      <c r="A571" s="4"/>
      <c r="B571" s="29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29"/>
      <c r="N571" s="29"/>
      <c r="O571" s="29"/>
      <c r="P571" s="32"/>
      <c r="Q571" s="32"/>
      <c r="R571" s="4"/>
      <c r="S571" s="4"/>
      <c r="T571" s="4"/>
      <c r="U571" s="4"/>
    </row>
    <row x14ac:dyDescent="0.25" r="572" customHeight="1" ht="12.75">
      <c r="A572" s="4"/>
      <c r="B572" s="29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29"/>
      <c r="N572" s="29"/>
      <c r="O572" s="29"/>
      <c r="P572" s="32"/>
      <c r="Q572" s="32"/>
      <c r="R572" s="4"/>
      <c r="S572" s="4"/>
      <c r="T572" s="4"/>
      <c r="U572" s="4"/>
    </row>
    <row x14ac:dyDescent="0.25" r="573" customHeight="1" ht="12.75">
      <c r="A573" s="4"/>
      <c r="B573" s="29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29"/>
      <c r="N573" s="29"/>
      <c r="O573" s="29"/>
      <c r="P573" s="32"/>
      <c r="Q573" s="32"/>
      <c r="R573" s="4"/>
      <c r="S573" s="4"/>
      <c r="T573" s="4"/>
      <c r="U573" s="4"/>
    </row>
    <row x14ac:dyDescent="0.25" r="574" customHeight="1" ht="12.75">
      <c r="A574" s="4"/>
      <c r="B574" s="29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29"/>
      <c r="N574" s="29"/>
      <c r="O574" s="29"/>
      <c r="P574" s="32"/>
      <c r="Q574" s="32"/>
      <c r="R574" s="4"/>
      <c r="S574" s="4"/>
      <c r="T574" s="4"/>
      <c r="U574" s="4"/>
    </row>
    <row x14ac:dyDescent="0.25" r="575" customHeight="1" ht="12.75">
      <c r="A575" s="4"/>
      <c r="B575" s="29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29"/>
      <c r="N575" s="29"/>
      <c r="O575" s="29"/>
      <c r="P575" s="32"/>
      <c r="Q575" s="32"/>
      <c r="R575" s="4"/>
      <c r="S575" s="4"/>
      <c r="T575" s="4"/>
      <c r="U575" s="4"/>
    </row>
    <row x14ac:dyDescent="0.25" r="576" customHeight="1" ht="12.75">
      <c r="A576" s="4"/>
      <c r="B576" s="29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29"/>
      <c r="N576" s="29"/>
      <c r="O576" s="29"/>
      <c r="P576" s="32"/>
      <c r="Q576" s="32"/>
      <c r="R576" s="4"/>
      <c r="S576" s="4"/>
      <c r="T576" s="4"/>
      <c r="U576" s="4"/>
    </row>
    <row x14ac:dyDescent="0.25" r="577" customHeight="1" ht="12.75">
      <c r="A577" s="4"/>
      <c r="B577" s="29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29"/>
      <c r="N577" s="29"/>
      <c r="O577" s="29"/>
      <c r="P577" s="32"/>
      <c r="Q577" s="32"/>
      <c r="R577" s="4"/>
      <c r="S577" s="4"/>
      <c r="T577" s="4"/>
      <c r="U577" s="4"/>
    </row>
    <row x14ac:dyDescent="0.25" r="578" customHeight="1" ht="12.75">
      <c r="A578" s="4"/>
      <c r="B578" s="29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29"/>
      <c r="N578" s="29"/>
      <c r="O578" s="29"/>
      <c r="P578" s="32"/>
      <c r="Q578" s="32"/>
      <c r="R578" s="4"/>
      <c r="S578" s="4"/>
      <c r="T578" s="4"/>
      <c r="U578" s="4"/>
    </row>
    <row x14ac:dyDescent="0.25" r="579" customHeight="1" ht="12.75">
      <c r="A579" s="4"/>
      <c r="B579" s="29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29"/>
      <c r="N579" s="29"/>
      <c r="O579" s="29"/>
      <c r="P579" s="32"/>
      <c r="Q579" s="32"/>
      <c r="R579" s="4"/>
      <c r="S579" s="4"/>
      <c r="T579" s="4"/>
      <c r="U579" s="4"/>
    </row>
    <row x14ac:dyDescent="0.25" r="580" customHeight="1" ht="12.75">
      <c r="A580" s="4"/>
      <c r="B580" s="29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29"/>
      <c r="N580" s="29"/>
      <c r="O580" s="29"/>
      <c r="P580" s="32"/>
      <c r="Q580" s="32"/>
      <c r="R580" s="4"/>
      <c r="S580" s="4"/>
      <c r="T580" s="4"/>
      <c r="U580" s="4"/>
    </row>
    <row x14ac:dyDescent="0.25" r="581" customHeight="1" ht="12.75">
      <c r="A581" s="4"/>
      <c r="B581" s="29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29"/>
      <c r="N581" s="29"/>
      <c r="O581" s="29"/>
      <c r="P581" s="32"/>
      <c r="Q581" s="32"/>
      <c r="R581" s="4"/>
      <c r="S581" s="4"/>
      <c r="T581" s="4"/>
      <c r="U581" s="4"/>
    </row>
    <row x14ac:dyDescent="0.25" r="582" customHeight="1" ht="12.75">
      <c r="A582" s="4"/>
      <c r="B582" s="29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29"/>
      <c r="N582" s="29"/>
      <c r="O582" s="29"/>
      <c r="P582" s="32"/>
      <c r="Q582" s="32"/>
      <c r="R582" s="4"/>
      <c r="S582" s="4"/>
      <c r="T582" s="4"/>
      <c r="U582" s="4"/>
    </row>
    <row x14ac:dyDescent="0.25" r="583" customHeight="1" ht="12.75">
      <c r="A583" s="4"/>
      <c r="B583" s="29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29"/>
      <c r="N583" s="29"/>
      <c r="O583" s="29"/>
      <c r="P583" s="32"/>
      <c r="Q583" s="32"/>
      <c r="R583" s="4"/>
      <c r="S583" s="4"/>
      <c r="T583" s="4"/>
      <c r="U583" s="4"/>
    </row>
    <row x14ac:dyDescent="0.25" r="584" customHeight="1" ht="12.75">
      <c r="A584" s="4"/>
      <c r="B584" s="29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29"/>
      <c r="N584" s="29"/>
      <c r="O584" s="29"/>
      <c r="P584" s="32"/>
      <c r="Q584" s="32"/>
      <c r="R584" s="4"/>
      <c r="S584" s="4"/>
      <c r="T584" s="4"/>
      <c r="U584" s="4"/>
    </row>
    <row x14ac:dyDescent="0.25" r="585" customHeight="1" ht="12.75">
      <c r="A585" s="4"/>
      <c r="B585" s="29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29"/>
      <c r="N585" s="29"/>
      <c r="O585" s="29"/>
      <c r="P585" s="32"/>
      <c r="Q585" s="32"/>
      <c r="R585" s="4"/>
      <c r="S585" s="4"/>
      <c r="T585" s="4"/>
      <c r="U585" s="4"/>
    </row>
    <row x14ac:dyDescent="0.25" r="586" customHeight="1" ht="12.75">
      <c r="A586" s="4"/>
      <c r="B586" s="29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29"/>
      <c r="N586" s="29"/>
      <c r="O586" s="29"/>
      <c r="P586" s="32"/>
      <c r="Q586" s="32"/>
      <c r="R586" s="4"/>
      <c r="S586" s="4"/>
      <c r="T586" s="4"/>
      <c r="U586" s="4"/>
    </row>
    <row x14ac:dyDescent="0.25" r="587" customHeight="1" ht="12.75">
      <c r="A587" s="4"/>
      <c r="B587" s="29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29"/>
      <c r="N587" s="29"/>
      <c r="O587" s="29"/>
      <c r="P587" s="32"/>
      <c r="Q587" s="32"/>
      <c r="R587" s="4"/>
      <c r="S587" s="4"/>
      <c r="T587" s="4"/>
      <c r="U587" s="4"/>
    </row>
    <row x14ac:dyDescent="0.25" r="588" customHeight="1" ht="12.75">
      <c r="A588" s="4"/>
      <c r="B588" s="29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29"/>
      <c r="N588" s="29"/>
      <c r="O588" s="29"/>
      <c r="P588" s="32"/>
      <c r="Q588" s="32"/>
      <c r="R588" s="4"/>
      <c r="S588" s="4"/>
      <c r="T588" s="4"/>
      <c r="U588" s="4"/>
    </row>
    <row x14ac:dyDescent="0.25" r="589" customHeight="1" ht="12.75">
      <c r="A589" s="4"/>
      <c r="B589" s="29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29"/>
      <c r="N589" s="29"/>
      <c r="O589" s="29"/>
      <c r="P589" s="32"/>
      <c r="Q589" s="32"/>
      <c r="R589" s="4"/>
      <c r="S589" s="4"/>
      <c r="T589" s="4"/>
      <c r="U589" s="4"/>
    </row>
    <row x14ac:dyDescent="0.25" r="590" customHeight="1" ht="12.75">
      <c r="A590" s="4"/>
      <c r="B590" s="29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29"/>
      <c r="N590" s="29"/>
      <c r="O590" s="29"/>
      <c r="P590" s="32"/>
      <c r="Q590" s="32"/>
      <c r="R590" s="4"/>
      <c r="S590" s="4"/>
      <c r="T590" s="4"/>
      <c r="U590" s="4"/>
    </row>
    <row x14ac:dyDescent="0.25" r="591" customHeight="1" ht="12.75">
      <c r="A591" s="4"/>
      <c r="B591" s="29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29"/>
      <c r="N591" s="29"/>
      <c r="O591" s="29"/>
      <c r="P591" s="32"/>
      <c r="Q591" s="32"/>
      <c r="R591" s="4"/>
      <c r="S591" s="4"/>
      <c r="T591" s="4"/>
      <c r="U591" s="4"/>
    </row>
    <row x14ac:dyDescent="0.25" r="592" customHeight="1" ht="12.75">
      <c r="A592" s="4"/>
      <c r="B592" s="29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29"/>
      <c r="N592" s="29"/>
      <c r="O592" s="29"/>
      <c r="P592" s="32"/>
      <c r="Q592" s="32"/>
      <c r="R592" s="4"/>
      <c r="S592" s="4"/>
      <c r="T592" s="4"/>
      <c r="U592" s="4"/>
    </row>
    <row x14ac:dyDescent="0.25" r="593" customHeight="1" ht="12.75">
      <c r="A593" s="4"/>
      <c r="B593" s="29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29"/>
      <c r="N593" s="29"/>
      <c r="O593" s="29"/>
      <c r="P593" s="32"/>
      <c r="Q593" s="32"/>
      <c r="R593" s="4"/>
      <c r="S593" s="4"/>
      <c r="T593" s="4"/>
      <c r="U593" s="4"/>
    </row>
    <row x14ac:dyDescent="0.25" r="594" customHeight="1" ht="12.75">
      <c r="A594" s="4"/>
      <c r="B594" s="29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29"/>
      <c r="N594" s="29"/>
      <c r="O594" s="29"/>
      <c r="P594" s="32"/>
      <c r="Q594" s="32"/>
      <c r="R594" s="4"/>
      <c r="S594" s="4"/>
      <c r="T594" s="4"/>
      <c r="U594" s="4"/>
    </row>
    <row x14ac:dyDescent="0.25" r="595" customHeight="1" ht="12.75">
      <c r="A595" s="4"/>
      <c r="B595" s="29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29"/>
      <c r="N595" s="29"/>
      <c r="O595" s="29"/>
      <c r="P595" s="32"/>
      <c r="Q595" s="32"/>
      <c r="R595" s="4"/>
      <c r="S595" s="4"/>
      <c r="T595" s="4"/>
      <c r="U595" s="4"/>
    </row>
    <row x14ac:dyDescent="0.25" r="596" customHeight="1" ht="12.75">
      <c r="A596" s="4"/>
      <c r="B596" s="29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29"/>
      <c r="N596" s="29"/>
      <c r="O596" s="29"/>
      <c r="P596" s="32"/>
      <c r="Q596" s="32"/>
      <c r="R596" s="4"/>
      <c r="S596" s="4"/>
      <c r="T596" s="4"/>
      <c r="U596" s="4"/>
    </row>
    <row x14ac:dyDescent="0.25" r="597" customHeight="1" ht="12.75">
      <c r="A597" s="4"/>
      <c r="B597" s="29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29"/>
      <c r="N597" s="29"/>
      <c r="O597" s="29"/>
      <c r="P597" s="32"/>
      <c r="Q597" s="32"/>
      <c r="R597" s="4"/>
      <c r="S597" s="4"/>
      <c r="T597" s="4"/>
      <c r="U597" s="4"/>
    </row>
    <row x14ac:dyDescent="0.25" r="598" customHeight="1" ht="12.75">
      <c r="A598" s="4"/>
      <c r="B598" s="29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29"/>
      <c r="N598" s="29"/>
      <c r="O598" s="29"/>
      <c r="P598" s="32"/>
      <c r="Q598" s="32"/>
      <c r="R598" s="4"/>
      <c r="S598" s="4"/>
      <c r="T598" s="4"/>
      <c r="U598" s="4"/>
    </row>
    <row x14ac:dyDescent="0.25" r="599" customHeight="1" ht="12.75">
      <c r="A599" s="4"/>
      <c r="B599" s="29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29"/>
      <c r="N599" s="29"/>
      <c r="O599" s="29"/>
      <c r="P599" s="32"/>
      <c r="Q599" s="32"/>
      <c r="R599" s="4"/>
      <c r="S599" s="4"/>
      <c r="T599" s="4"/>
      <c r="U599" s="4"/>
    </row>
    <row x14ac:dyDescent="0.25" r="600" customHeight="1" ht="12.75">
      <c r="A600" s="4"/>
      <c r="B600" s="29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29"/>
      <c r="N600" s="29"/>
      <c r="O600" s="29"/>
      <c r="P600" s="32"/>
      <c r="Q600" s="32"/>
      <c r="R600" s="4"/>
      <c r="S600" s="4"/>
      <c r="T600" s="4"/>
      <c r="U600" s="4"/>
    </row>
    <row x14ac:dyDescent="0.25" r="601" customHeight="1" ht="12.75">
      <c r="A601" s="4"/>
      <c r="B601" s="29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29"/>
      <c r="N601" s="29"/>
      <c r="O601" s="29"/>
      <c r="P601" s="32"/>
      <c r="Q601" s="32"/>
      <c r="R601" s="4"/>
      <c r="S601" s="4"/>
      <c r="T601" s="4"/>
      <c r="U601" s="4"/>
    </row>
    <row x14ac:dyDescent="0.25" r="602" customHeight="1" ht="12.75">
      <c r="A602" s="4"/>
      <c r="B602" s="29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29"/>
      <c r="N602" s="29"/>
      <c r="O602" s="29"/>
      <c r="P602" s="32"/>
      <c r="Q602" s="32"/>
      <c r="R602" s="4"/>
      <c r="S602" s="4"/>
      <c r="T602" s="4"/>
      <c r="U602" s="4"/>
    </row>
    <row x14ac:dyDescent="0.25" r="603" customHeight="1" ht="12.75">
      <c r="A603" s="4"/>
      <c r="B603" s="29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29"/>
      <c r="N603" s="29"/>
      <c r="O603" s="29"/>
      <c r="P603" s="32"/>
      <c r="Q603" s="32"/>
      <c r="R603" s="4"/>
      <c r="S603" s="4"/>
      <c r="T603" s="4"/>
      <c r="U603" s="4"/>
    </row>
    <row x14ac:dyDescent="0.25" r="604" customHeight="1" ht="12.75">
      <c r="A604" s="4"/>
      <c r="B604" s="29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29"/>
      <c r="N604" s="29"/>
      <c r="O604" s="29"/>
      <c r="P604" s="32"/>
      <c r="Q604" s="32"/>
      <c r="R604" s="4"/>
      <c r="S604" s="4"/>
      <c r="T604" s="4"/>
      <c r="U604" s="4"/>
    </row>
    <row x14ac:dyDescent="0.25" r="605" customHeight="1" ht="12.75">
      <c r="A605" s="4"/>
      <c r="B605" s="29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29"/>
      <c r="N605" s="29"/>
      <c r="O605" s="29"/>
      <c r="P605" s="32"/>
      <c r="Q605" s="32"/>
      <c r="R605" s="4"/>
      <c r="S605" s="4"/>
      <c r="T605" s="4"/>
      <c r="U605" s="4"/>
    </row>
    <row x14ac:dyDescent="0.25" r="606" customHeight="1" ht="12.75">
      <c r="A606" s="4"/>
      <c r="B606" s="29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29"/>
      <c r="N606" s="29"/>
      <c r="O606" s="29"/>
      <c r="P606" s="32"/>
      <c r="Q606" s="32"/>
      <c r="R606" s="4"/>
      <c r="S606" s="4"/>
      <c r="T606" s="4"/>
      <c r="U606" s="4"/>
    </row>
    <row x14ac:dyDescent="0.25" r="607" customHeight="1" ht="12.75">
      <c r="A607" s="4"/>
      <c r="B607" s="29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29"/>
      <c r="N607" s="29"/>
      <c r="O607" s="29"/>
      <c r="P607" s="32"/>
      <c r="Q607" s="32"/>
      <c r="R607" s="4"/>
      <c r="S607" s="4"/>
      <c r="T607" s="4"/>
      <c r="U607" s="4"/>
    </row>
    <row x14ac:dyDescent="0.25" r="608" customHeight="1" ht="12.75">
      <c r="A608" s="4"/>
      <c r="B608" s="29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29"/>
      <c r="N608" s="29"/>
      <c r="O608" s="29"/>
      <c r="P608" s="32"/>
      <c r="Q608" s="32"/>
      <c r="R608" s="4"/>
      <c r="S608" s="4"/>
      <c r="T608" s="4"/>
      <c r="U608" s="4"/>
    </row>
    <row x14ac:dyDescent="0.25" r="609" customHeight="1" ht="12.75">
      <c r="A609" s="4"/>
      <c r="B609" s="29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29"/>
      <c r="N609" s="29"/>
      <c r="O609" s="29"/>
      <c r="P609" s="32"/>
      <c r="Q609" s="32"/>
      <c r="R609" s="4"/>
      <c r="S609" s="4"/>
      <c r="T609" s="4"/>
      <c r="U609" s="4"/>
    </row>
    <row x14ac:dyDescent="0.25" r="610" customHeight="1" ht="12.75">
      <c r="A610" s="4"/>
      <c r="B610" s="29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29"/>
      <c r="N610" s="29"/>
      <c r="O610" s="29"/>
      <c r="P610" s="32"/>
      <c r="Q610" s="32"/>
      <c r="R610" s="4"/>
      <c r="S610" s="4"/>
      <c r="T610" s="4"/>
      <c r="U610" s="4"/>
    </row>
    <row x14ac:dyDescent="0.25" r="611" customHeight="1" ht="12.75">
      <c r="A611" s="4"/>
      <c r="B611" s="29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29"/>
      <c r="N611" s="29"/>
      <c r="O611" s="29"/>
      <c r="P611" s="32"/>
      <c r="Q611" s="32"/>
      <c r="R611" s="4"/>
      <c r="S611" s="4"/>
      <c r="T611" s="4"/>
      <c r="U611" s="4"/>
    </row>
    <row x14ac:dyDescent="0.25" r="612" customHeight="1" ht="12.75">
      <c r="A612" s="4"/>
      <c r="B612" s="29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29"/>
      <c r="N612" s="29"/>
      <c r="O612" s="29"/>
      <c r="P612" s="32"/>
      <c r="Q612" s="32"/>
      <c r="R612" s="4"/>
      <c r="S612" s="4"/>
      <c r="T612" s="4"/>
      <c r="U612" s="4"/>
    </row>
    <row x14ac:dyDescent="0.25" r="613" customHeight="1" ht="12.75">
      <c r="A613" s="4"/>
      <c r="B613" s="29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29"/>
      <c r="N613" s="29"/>
      <c r="O613" s="29"/>
      <c r="P613" s="32"/>
      <c r="Q613" s="32"/>
      <c r="R613" s="4"/>
      <c r="S613" s="4"/>
      <c r="T613" s="4"/>
      <c r="U613" s="4"/>
    </row>
    <row x14ac:dyDescent="0.25" r="614" customHeight="1" ht="12.75">
      <c r="A614" s="4"/>
      <c r="B614" s="29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29"/>
      <c r="N614" s="29"/>
      <c r="O614" s="29"/>
      <c r="P614" s="32"/>
      <c r="Q614" s="32"/>
      <c r="R614" s="4"/>
      <c r="S614" s="4"/>
      <c r="T614" s="4"/>
      <c r="U614" s="4"/>
    </row>
    <row x14ac:dyDescent="0.25" r="615" customHeight="1" ht="12.75">
      <c r="A615" s="4"/>
      <c r="B615" s="29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29"/>
      <c r="N615" s="29"/>
      <c r="O615" s="29"/>
      <c r="P615" s="32"/>
      <c r="Q615" s="32"/>
      <c r="R615" s="4"/>
      <c r="S615" s="4"/>
      <c r="T615" s="4"/>
      <c r="U615" s="4"/>
    </row>
    <row x14ac:dyDescent="0.25" r="616" customHeight="1" ht="12.75">
      <c r="A616" s="4"/>
      <c r="B616" s="29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29"/>
      <c r="N616" s="29"/>
      <c r="O616" s="29"/>
      <c r="P616" s="32"/>
      <c r="Q616" s="32"/>
      <c r="R616" s="4"/>
      <c r="S616" s="4"/>
      <c r="T616" s="4"/>
      <c r="U616" s="4"/>
    </row>
    <row x14ac:dyDescent="0.25" r="617" customHeight="1" ht="12.75">
      <c r="A617" s="4"/>
      <c r="B617" s="29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29"/>
      <c r="N617" s="29"/>
      <c r="O617" s="29"/>
      <c r="P617" s="32"/>
      <c r="Q617" s="32"/>
      <c r="R617" s="4"/>
      <c r="S617" s="4"/>
      <c r="T617" s="4"/>
      <c r="U617" s="4"/>
    </row>
    <row x14ac:dyDescent="0.25" r="618" customHeight="1" ht="12.75">
      <c r="A618" s="4"/>
      <c r="B618" s="29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29"/>
      <c r="N618" s="29"/>
      <c r="O618" s="29"/>
      <c r="P618" s="32"/>
      <c r="Q618" s="32"/>
      <c r="R618" s="4"/>
      <c r="S618" s="4"/>
      <c r="T618" s="4"/>
      <c r="U618" s="4"/>
    </row>
    <row x14ac:dyDescent="0.25" r="619" customHeight="1" ht="12.75">
      <c r="A619" s="4"/>
      <c r="B619" s="29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29"/>
      <c r="N619" s="29"/>
      <c r="O619" s="29"/>
      <c r="P619" s="32"/>
      <c r="Q619" s="32"/>
      <c r="R619" s="4"/>
      <c r="S619" s="4"/>
      <c r="T619" s="4"/>
      <c r="U619" s="4"/>
    </row>
    <row x14ac:dyDescent="0.25" r="620" customHeight="1" ht="12.75">
      <c r="A620" s="4"/>
      <c r="B620" s="29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29"/>
      <c r="N620" s="29"/>
      <c r="O620" s="29"/>
      <c r="P620" s="32"/>
      <c r="Q620" s="32"/>
      <c r="R620" s="4"/>
      <c r="S620" s="4"/>
      <c r="T620" s="4"/>
      <c r="U620" s="4"/>
    </row>
    <row x14ac:dyDescent="0.25" r="621" customHeight="1" ht="12.75">
      <c r="A621" s="4"/>
      <c r="B621" s="29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29"/>
      <c r="N621" s="29"/>
      <c r="O621" s="29"/>
      <c r="P621" s="32"/>
      <c r="Q621" s="32"/>
      <c r="R621" s="4"/>
      <c r="S621" s="4"/>
      <c r="T621" s="4"/>
      <c r="U621" s="4"/>
    </row>
    <row x14ac:dyDescent="0.25" r="622" customHeight="1" ht="12.75">
      <c r="A622" s="4"/>
      <c r="B622" s="29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29"/>
      <c r="N622" s="29"/>
      <c r="O622" s="29"/>
      <c r="P622" s="32"/>
      <c r="Q622" s="32"/>
      <c r="R622" s="4"/>
      <c r="S622" s="4"/>
      <c r="T622" s="4"/>
      <c r="U622" s="4"/>
    </row>
    <row x14ac:dyDescent="0.25" r="623" customHeight="1" ht="12.75">
      <c r="A623" s="4"/>
      <c r="B623" s="29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29"/>
      <c r="N623" s="29"/>
      <c r="O623" s="29"/>
      <c r="P623" s="32"/>
      <c r="Q623" s="32"/>
      <c r="R623" s="4"/>
      <c r="S623" s="4"/>
      <c r="T623" s="4"/>
      <c r="U623" s="4"/>
    </row>
    <row x14ac:dyDescent="0.25" r="624" customHeight="1" ht="12.75">
      <c r="A624" s="4"/>
      <c r="B624" s="29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29"/>
      <c r="N624" s="29"/>
      <c r="O624" s="29"/>
      <c r="P624" s="32"/>
      <c r="Q624" s="32"/>
      <c r="R624" s="4"/>
      <c r="S624" s="4"/>
      <c r="T624" s="4"/>
      <c r="U624" s="4"/>
    </row>
    <row x14ac:dyDescent="0.25" r="625" customHeight="1" ht="12.75">
      <c r="A625" s="4"/>
      <c r="B625" s="29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29"/>
      <c r="N625" s="29"/>
      <c r="O625" s="29"/>
      <c r="P625" s="32"/>
      <c r="Q625" s="32"/>
      <c r="R625" s="4"/>
      <c r="S625" s="4"/>
      <c r="T625" s="4"/>
      <c r="U625" s="4"/>
    </row>
    <row x14ac:dyDescent="0.25" r="626" customHeight="1" ht="12.75">
      <c r="A626" s="4"/>
      <c r="B626" s="29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29"/>
      <c r="N626" s="29"/>
      <c r="O626" s="29"/>
      <c r="P626" s="32"/>
      <c r="Q626" s="32"/>
      <c r="R626" s="4"/>
      <c r="S626" s="4"/>
      <c r="T626" s="4"/>
      <c r="U626" s="4"/>
    </row>
    <row x14ac:dyDescent="0.25" r="627" customHeight="1" ht="12.75">
      <c r="A627" s="4"/>
      <c r="B627" s="29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29"/>
      <c r="N627" s="29"/>
      <c r="O627" s="29"/>
      <c r="P627" s="32"/>
      <c r="Q627" s="32"/>
      <c r="R627" s="4"/>
      <c r="S627" s="4"/>
      <c r="T627" s="4"/>
      <c r="U627" s="4"/>
    </row>
    <row x14ac:dyDescent="0.25" r="628" customHeight="1" ht="12.75">
      <c r="A628" s="4"/>
      <c r="B628" s="29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29"/>
      <c r="N628" s="29"/>
      <c r="O628" s="29"/>
      <c r="P628" s="32"/>
      <c r="Q628" s="32"/>
      <c r="R628" s="4"/>
      <c r="S628" s="4"/>
      <c r="T628" s="4"/>
      <c r="U628" s="4"/>
    </row>
    <row x14ac:dyDescent="0.25" r="629" customHeight="1" ht="12.75">
      <c r="A629" s="4"/>
      <c r="B629" s="29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29"/>
      <c r="N629" s="29"/>
      <c r="O629" s="29"/>
      <c r="P629" s="32"/>
      <c r="Q629" s="32"/>
      <c r="R629" s="4"/>
      <c r="S629" s="4"/>
      <c r="T629" s="4"/>
      <c r="U629" s="4"/>
    </row>
    <row x14ac:dyDescent="0.25" r="630" customHeight="1" ht="12.75">
      <c r="A630" s="4"/>
      <c r="B630" s="29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29"/>
      <c r="N630" s="29"/>
      <c r="O630" s="29"/>
      <c r="P630" s="32"/>
      <c r="Q630" s="32"/>
      <c r="R630" s="4"/>
      <c r="S630" s="4"/>
      <c r="T630" s="4"/>
      <c r="U630" s="4"/>
    </row>
    <row x14ac:dyDescent="0.25" r="631" customHeight="1" ht="12.75">
      <c r="A631" s="4"/>
      <c r="B631" s="29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29"/>
      <c r="N631" s="29"/>
      <c r="O631" s="29"/>
      <c r="P631" s="32"/>
      <c r="Q631" s="32"/>
      <c r="R631" s="4"/>
      <c r="S631" s="4"/>
      <c r="T631" s="4"/>
      <c r="U631" s="4"/>
    </row>
    <row x14ac:dyDescent="0.25" r="632" customHeight="1" ht="12.75">
      <c r="A632" s="4"/>
      <c r="B632" s="29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29"/>
      <c r="N632" s="29"/>
      <c r="O632" s="29"/>
      <c r="P632" s="32"/>
      <c r="Q632" s="32"/>
      <c r="R632" s="4"/>
      <c r="S632" s="4"/>
      <c r="T632" s="4"/>
      <c r="U632" s="4"/>
    </row>
    <row x14ac:dyDescent="0.25" r="633" customHeight="1" ht="12.75">
      <c r="A633" s="4"/>
      <c r="B633" s="29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29"/>
      <c r="N633" s="29"/>
      <c r="O633" s="29"/>
      <c r="P633" s="32"/>
      <c r="Q633" s="32"/>
      <c r="R633" s="4"/>
      <c r="S633" s="4"/>
      <c r="T633" s="4"/>
      <c r="U633" s="4"/>
    </row>
    <row x14ac:dyDescent="0.25" r="634" customHeight="1" ht="12.75">
      <c r="A634" s="4"/>
      <c r="B634" s="29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29"/>
      <c r="N634" s="29"/>
      <c r="O634" s="29"/>
      <c r="P634" s="32"/>
      <c r="Q634" s="32"/>
      <c r="R634" s="4"/>
      <c r="S634" s="4"/>
      <c r="T634" s="4"/>
      <c r="U634" s="4"/>
    </row>
    <row x14ac:dyDescent="0.25" r="635" customHeight="1" ht="12.75">
      <c r="A635" s="4"/>
      <c r="B635" s="29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29"/>
      <c r="N635" s="29"/>
      <c r="O635" s="29"/>
      <c r="P635" s="32"/>
      <c r="Q635" s="32"/>
      <c r="R635" s="4"/>
      <c r="S635" s="4"/>
      <c r="T635" s="4"/>
      <c r="U635" s="4"/>
    </row>
    <row x14ac:dyDescent="0.25" r="636" customHeight="1" ht="12.75">
      <c r="A636" s="4"/>
      <c r="B636" s="29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29"/>
      <c r="N636" s="29"/>
      <c r="O636" s="29"/>
      <c r="P636" s="32"/>
      <c r="Q636" s="32"/>
      <c r="R636" s="4"/>
      <c r="S636" s="4"/>
      <c r="T636" s="4"/>
      <c r="U636" s="4"/>
    </row>
    <row x14ac:dyDescent="0.25" r="637" customHeight="1" ht="12.75">
      <c r="A637" s="4"/>
      <c r="B637" s="29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29"/>
      <c r="N637" s="29"/>
      <c r="O637" s="29"/>
      <c r="P637" s="32"/>
      <c r="Q637" s="32"/>
      <c r="R637" s="4"/>
      <c r="S637" s="4"/>
      <c r="T637" s="4"/>
      <c r="U637" s="4"/>
    </row>
    <row x14ac:dyDescent="0.25" r="638" customHeight="1" ht="12.75">
      <c r="A638" s="4"/>
      <c r="B638" s="29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29"/>
      <c r="N638" s="29"/>
      <c r="O638" s="29"/>
      <c r="P638" s="32"/>
      <c r="Q638" s="32"/>
      <c r="R638" s="4"/>
      <c r="S638" s="4"/>
      <c r="T638" s="4"/>
      <c r="U638" s="4"/>
    </row>
    <row x14ac:dyDescent="0.25" r="639" customHeight="1" ht="12.75">
      <c r="A639" s="4"/>
      <c r="B639" s="29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29"/>
      <c r="N639" s="29"/>
      <c r="O639" s="29"/>
      <c r="P639" s="32"/>
      <c r="Q639" s="32"/>
      <c r="R639" s="4"/>
      <c r="S639" s="4"/>
      <c r="T639" s="4"/>
      <c r="U639" s="4"/>
    </row>
    <row x14ac:dyDescent="0.25" r="640" customHeight="1" ht="12.75">
      <c r="A640" s="4"/>
      <c r="B640" s="29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29"/>
      <c r="N640" s="29"/>
      <c r="O640" s="29"/>
      <c r="P640" s="32"/>
      <c r="Q640" s="32"/>
      <c r="R640" s="4"/>
      <c r="S640" s="4"/>
      <c r="T640" s="4"/>
      <c r="U640" s="4"/>
    </row>
    <row x14ac:dyDescent="0.25" r="641" customHeight="1" ht="12.75">
      <c r="A641" s="4"/>
      <c r="B641" s="29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29"/>
      <c r="N641" s="29"/>
      <c r="O641" s="29"/>
      <c r="P641" s="32"/>
      <c r="Q641" s="32"/>
      <c r="R641" s="4"/>
      <c r="S641" s="4"/>
      <c r="T641" s="4"/>
      <c r="U641" s="4"/>
    </row>
    <row x14ac:dyDescent="0.25" r="642" customHeight="1" ht="12.75">
      <c r="A642" s="4"/>
      <c r="B642" s="29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29"/>
      <c r="N642" s="29"/>
      <c r="O642" s="29"/>
      <c r="P642" s="32"/>
      <c r="Q642" s="32"/>
      <c r="R642" s="4"/>
      <c r="S642" s="4"/>
      <c r="T642" s="4"/>
      <c r="U642" s="4"/>
    </row>
    <row x14ac:dyDescent="0.25" r="643" customHeight="1" ht="12.75">
      <c r="A643" s="4"/>
      <c r="B643" s="29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29"/>
      <c r="N643" s="29"/>
      <c r="O643" s="29"/>
      <c r="P643" s="32"/>
      <c r="Q643" s="32"/>
      <c r="R643" s="4"/>
      <c r="S643" s="4"/>
      <c r="T643" s="4"/>
      <c r="U643" s="4"/>
    </row>
    <row x14ac:dyDescent="0.25" r="644" customHeight="1" ht="12.75">
      <c r="A644" s="4"/>
      <c r="B644" s="29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29"/>
      <c r="N644" s="29"/>
      <c r="O644" s="29"/>
      <c r="P644" s="32"/>
      <c r="Q644" s="32"/>
      <c r="R644" s="4"/>
      <c r="S644" s="4"/>
      <c r="T644" s="4"/>
      <c r="U644" s="4"/>
    </row>
    <row x14ac:dyDescent="0.25" r="645" customHeight="1" ht="12.75">
      <c r="A645" s="4"/>
      <c r="B645" s="29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29"/>
      <c r="N645" s="29"/>
      <c r="O645" s="29"/>
      <c r="P645" s="32"/>
      <c r="Q645" s="32"/>
      <c r="R645" s="4"/>
      <c r="S645" s="4"/>
      <c r="T645" s="4"/>
      <c r="U645" s="4"/>
    </row>
    <row x14ac:dyDescent="0.25" r="646" customHeight="1" ht="12.75">
      <c r="A646" s="4"/>
      <c r="B646" s="29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29"/>
      <c r="N646" s="29"/>
      <c r="O646" s="29"/>
      <c r="P646" s="32"/>
      <c r="Q646" s="32"/>
      <c r="R646" s="4"/>
      <c r="S646" s="4"/>
      <c r="T646" s="4"/>
      <c r="U646" s="4"/>
    </row>
    <row x14ac:dyDescent="0.25" r="647" customHeight="1" ht="12.75">
      <c r="A647" s="4"/>
      <c r="B647" s="29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29"/>
      <c r="N647" s="29"/>
      <c r="O647" s="29"/>
      <c r="P647" s="32"/>
      <c r="Q647" s="32"/>
      <c r="R647" s="4"/>
      <c r="S647" s="4"/>
      <c r="T647" s="4"/>
      <c r="U647" s="4"/>
    </row>
    <row x14ac:dyDescent="0.25" r="648" customHeight="1" ht="12.75">
      <c r="A648" s="4"/>
      <c r="B648" s="29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29"/>
      <c r="N648" s="29"/>
      <c r="O648" s="29"/>
      <c r="P648" s="32"/>
      <c r="Q648" s="32"/>
      <c r="R648" s="4"/>
      <c r="S648" s="4"/>
      <c r="T648" s="4"/>
      <c r="U648" s="4"/>
    </row>
    <row x14ac:dyDescent="0.25" r="649" customHeight="1" ht="12.75">
      <c r="A649" s="4"/>
      <c r="B649" s="29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29"/>
      <c r="N649" s="29"/>
      <c r="O649" s="29"/>
      <c r="P649" s="32"/>
      <c r="Q649" s="32"/>
      <c r="R649" s="4"/>
      <c r="S649" s="4"/>
      <c r="T649" s="4"/>
      <c r="U649" s="4"/>
    </row>
    <row x14ac:dyDescent="0.25" r="650" customHeight="1" ht="12.75">
      <c r="A650" s="4"/>
      <c r="B650" s="29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29"/>
      <c r="N650" s="29"/>
      <c r="O650" s="29"/>
      <c r="P650" s="32"/>
      <c r="Q650" s="32"/>
      <c r="R650" s="4"/>
      <c r="S650" s="4"/>
      <c r="T650" s="4"/>
      <c r="U650" s="4"/>
    </row>
    <row x14ac:dyDescent="0.25" r="651" customHeight="1" ht="12.75">
      <c r="A651" s="4"/>
      <c r="B651" s="29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29"/>
      <c r="N651" s="29"/>
      <c r="O651" s="29"/>
      <c r="P651" s="32"/>
      <c r="Q651" s="32"/>
      <c r="R651" s="4"/>
      <c r="S651" s="4"/>
      <c r="T651" s="4"/>
      <c r="U651" s="4"/>
    </row>
    <row x14ac:dyDescent="0.25" r="652" customHeight="1" ht="12.75">
      <c r="A652" s="4"/>
      <c r="B652" s="29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29"/>
      <c r="N652" s="29"/>
      <c r="O652" s="29"/>
      <c r="P652" s="32"/>
      <c r="Q652" s="32"/>
      <c r="R652" s="4"/>
      <c r="S652" s="4"/>
      <c r="T652" s="4"/>
      <c r="U652" s="4"/>
    </row>
    <row x14ac:dyDescent="0.25" r="653" customHeight="1" ht="12.75">
      <c r="A653" s="4"/>
      <c r="B653" s="29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29"/>
      <c r="N653" s="29"/>
      <c r="O653" s="29"/>
      <c r="P653" s="32"/>
      <c r="Q653" s="32"/>
      <c r="R653" s="4"/>
      <c r="S653" s="4"/>
      <c r="T653" s="4"/>
      <c r="U653" s="4"/>
    </row>
    <row x14ac:dyDescent="0.25" r="654" customHeight="1" ht="12.75">
      <c r="A654" s="4"/>
      <c r="B654" s="29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29"/>
      <c r="N654" s="29"/>
      <c r="O654" s="29"/>
      <c r="P654" s="32"/>
      <c r="Q654" s="32"/>
      <c r="R654" s="4"/>
      <c r="S654" s="4"/>
      <c r="T654" s="4"/>
      <c r="U654" s="4"/>
    </row>
    <row x14ac:dyDescent="0.25" r="655" customHeight="1" ht="12.75">
      <c r="A655" s="4"/>
      <c r="B655" s="29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29"/>
      <c r="N655" s="29"/>
      <c r="O655" s="29"/>
      <c r="P655" s="32"/>
      <c r="Q655" s="32"/>
      <c r="R655" s="4"/>
      <c r="S655" s="4"/>
      <c r="T655" s="4"/>
      <c r="U655" s="4"/>
    </row>
    <row x14ac:dyDescent="0.25" r="656" customHeight="1" ht="12.75">
      <c r="A656" s="4"/>
      <c r="B656" s="29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29"/>
      <c r="N656" s="29"/>
      <c r="O656" s="29"/>
      <c r="P656" s="32"/>
      <c r="Q656" s="32"/>
      <c r="R656" s="4"/>
      <c r="S656" s="4"/>
      <c r="T656" s="4"/>
      <c r="U656" s="4"/>
    </row>
    <row x14ac:dyDescent="0.25" r="657" customHeight="1" ht="12.75">
      <c r="A657" s="4"/>
      <c r="B657" s="29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29"/>
      <c r="N657" s="29"/>
      <c r="O657" s="29"/>
      <c r="P657" s="32"/>
      <c r="Q657" s="32"/>
      <c r="R657" s="4"/>
      <c r="S657" s="4"/>
      <c r="T657" s="4"/>
      <c r="U657" s="4"/>
    </row>
    <row x14ac:dyDescent="0.25" r="658" customHeight="1" ht="12.75">
      <c r="A658" s="4"/>
      <c r="B658" s="29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29"/>
      <c r="N658" s="29"/>
      <c r="O658" s="29"/>
      <c r="P658" s="32"/>
      <c r="Q658" s="32"/>
      <c r="R658" s="4"/>
      <c r="S658" s="4"/>
      <c r="T658" s="4"/>
      <c r="U658" s="4"/>
    </row>
    <row x14ac:dyDescent="0.25" r="659" customHeight="1" ht="12.75">
      <c r="A659" s="4"/>
      <c r="B659" s="29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29"/>
      <c r="N659" s="29"/>
      <c r="O659" s="29"/>
      <c r="P659" s="32"/>
      <c r="Q659" s="32"/>
      <c r="R659" s="4"/>
      <c r="S659" s="4"/>
      <c r="T659" s="4"/>
      <c r="U659" s="4"/>
    </row>
    <row x14ac:dyDescent="0.25" r="660" customHeight="1" ht="12.75">
      <c r="A660" s="4"/>
      <c r="B660" s="29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29"/>
      <c r="N660" s="29"/>
      <c r="O660" s="29"/>
      <c r="P660" s="32"/>
      <c r="Q660" s="32"/>
      <c r="R660" s="4"/>
      <c r="S660" s="4"/>
      <c r="T660" s="4"/>
      <c r="U660" s="4"/>
    </row>
    <row x14ac:dyDescent="0.25" r="661" customHeight="1" ht="12.75">
      <c r="A661" s="4"/>
      <c r="B661" s="29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29"/>
      <c r="N661" s="29"/>
      <c r="O661" s="29"/>
      <c r="P661" s="32"/>
      <c r="Q661" s="32"/>
      <c r="R661" s="4"/>
      <c r="S661" s="4"/>
      <c r="T661" s="4"/>
      <c r="U661" s="4"/>
    </row>
    <row x14ac:dyDescent="0.25" r="662" customHeight="1" ht="12.75">
      <c r="A662" s="4"/>
      <c r="B662" s="29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29"/>
      <c r="N662" s="29"/>
      <c r="O662" s="29"/>
      <c r="P662" s="32"/>
      <c r="Q662" s="32"/>
      <c r="R662" s="4"/>
      <c r="S662" s="4"/>
      <c r="T662" s="4"/>
      <c r="U662" s="4"/>
    </row>
    <row x14ac:dyDescent="0.25" r="663" customHeight="1" ht="12.75">
      <c r="A663" s="4"/>
      <c r="B663" s="29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29"/>
      <c r="N663" s="29"/>
      <c r="O663" s="29"/>
      <c r="P663" s="32"/>
      <c r="Q663" s="32"/>
      <c r="R663" s="4"/>
      <c r="S663" s="4"/>
      <c r="T663" s="4"/>
      <c r="U663" s="4"/>
    </row>
    <row x14ac:dyDescent="0.25" r="664" customHeight="1" ht="12.75">
      <c r="A664" s="4"/>
      <c r="B664" s="29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29"/>
      <c r="N664" s="29"/>
      <c r="O664" s="29"/>
      <c r="P664" s="32"/>
      <c r="Q664" s="32"/>
      <c r="R664" s="4"/>
      <c r="S664" s="4"/>
      <c r="T664" s="4"/>
      <c r="U664" s="4"/>
    </row>
    <row x14ac:dyDescent="0.25" r="665" customHeight="1" ht="12.75">
      <c r="A665" s="4"/>
      <c r="B665" s="29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29"/>
      <c r="N665" s="29"/>
      <c r="O665" s="29"/>
      <c r="P665" s="32"/>
      <c r="Q665" s="32"/>
      <c r="R665" s="4"/>
      <c r="S665" s="4"/>
      <c r="T665" s="4"/>
      <c r="U665" s="4"/>
    </row>
    <row x14ac:dyDescent="0.25" r="666" customHeight="1" ht="12.75">
      <c r="A666" s="4"/>
      <c r="B666" s="29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29"/>
      <c r="N666" s="29"/>
      <c r="O666" s="29"/>
      <c r="P666" s="32"/>
      <c r="Q666" s="32"/>
      <c r="R666" s="4"/>
      <c r="S666" s="4"/>
      <c r="T666" s="4"/>
      <c r="U666" s="4"/>
    </row>
    <row x14ac:dyDescent="0.25" r="667" customHeight="1" ht="12.75">
      <c r="A667" s="4"/>
      <c r="B667" s="29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29"/>
      <c r="N667" s="29"/>
      <c r="O667" s="29"/>
      <c r="P667" s="32"/>
      <c r="Q667" s="32"/>
      <c r="R667" s="4"/>
      <c r="S667" s="4"/>
      <c r="T667" s="4"/>
      <c r="U667" s="4"/>
    </row>
    <row x14ac:dyDescent="0.25" r="668" customHeight="1" ht="12.75">
      <c r="A668" s="4"/>
      <c r="B668" s="29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29"/>
      <c r="N668" s="29"/>
      <c r="O668" s="29"/>
      <c r="P668" s="32"/>
      <c r="Q668" s="32"/>
      <c r="R668" s="4"/>
      <c r="S668" s="4"/>
      <c r="T668" s="4"/>
      <c r="U668" s="4"/>
    </row>
    <row x14ac:dyDescent="0.25" r="669" customHeight="1" ht="12.75">
      <c r="A669" s="4"/>
      <c r="B669" s="29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29"/>
      <c r="N669" s="29"/>
      <c r="O669" s="29"/>
      <c r="P669" s="32"/>
      <c r="Q669" s="32"/>
      <c r="R669" s="4"/>
      <c r="S669" s="4"/>
      <c r="T669" s="4"/>
      <c r="U669" s="4"/>
    </row>
    <row x14ac:dyDescent="0.25" r="670" customHeight="1" ht="12.75">
      <c r="A670" s="4"/>
      <c r="B670" s="29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29"/>
      <c r="N670" s="29"/>
      <c r="O670" s="29"/>
      <c r="P670" s="32"/>
      <c r="Q670" s="32"/>
      <c r="R670" s="4"/>
      <c r="S670" s="4"/>
      <c r="T670" s="4"/>
      <c r="U670" s="4"/>
    </row>
    <row x14ac:dyDescent="0.25" r="671" customHeight="1" ht="12.75">
      <c r="A671" s="4"/>
      <c r="B671" s="29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29"/>
      <c r="N671" s="29"/>
      <c r="O671" s="29"/>
      <c r="P671" s="32"/>
      <c r="Q671" s="32"/>
      <c r="R671" s="4"/>
      <c r="S671" s="4"/>
      <c r="T671" s="4"/>
      <c r="U671" s="4"/>
    </row>
    <row x14ac:dyDescent="0.25" r="672" customHeight="1" ht="12.75">
      <c r="A672" s="4"/>
      <c r="B672" s="29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29"/>
      <c r="N672" s="29"/>
      <c r="O672" s="29"/>
      <c r="P672" s="32"/>
      <c r="Q672" s="32"/>
      <c r="R672" s="4"/>
      <c r="S672" s="4"/>
      <c r="T672" s="4"/>
      <c r="U672" s="4"/>
    </row>
    <row x14ac:dyDescent="0.25" r="673" customHeight="1" ht="12.75">
      <c r="A673" s="4"/>
      <c r="B673" s="29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29"/>
      <c r="N673" s="29"/>
      <c r="O673" s="29"/>
      <c r="P673" s="32"/>
      <c r="Q673" s="32"/>
      <c r="R673" s="4"/>
      <c r="S673" s="4"/>
      <c r="T673" s="4"/>
      <c r="U673" s="4"/>
    </row>
    <row x14ac:dyDescent="0.25" r="674" customHeight="1" ht="12.75">
      <c r="A674" s="4"/>
      <c r="B674" s="29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29"/>
      <c r="N674" s="29"/>
      <c r="O674" s="29"/>
      <c r="P674" s="32"/>
      <c r="Q674" s="32"/>
      <c r="R674" s="4"/>
      <c r="S674" s="4"/>
      <c r="T674" s="4"/>
      <c r="U674" s="4"/>
    </row>
    <row x14ac:dyDescent="0.25" r="675" customHeight="1" ht="12.75">
      <c r="A675" s="4"/>
      <c r="B675" s="29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29"/>
      <c r="N675" s="29"/>
      <c r="O675" s="29"/>
      <c r="P675" s="32"/>
      <c r="Q675" s="32"/>
      <c r="R675" s="4"/>
      <c r="S675" s="4"/>
      <c r="T675" s="4"/>
      <c r="U675" s="4"/>
    </row>
    <row x14ac:dyDescent="0.25" r="676" customHeight="1" ht="12.75">
      <c r="A676" s="4"/>
      <c r="B676" s="29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29"/>
      <c r="N676" s="29"/>
      <c r="O676" s="29"/>
      <c r="P676" s="32"/>
      <c r="Q676" s="32"/>
      <c r="R676" s="4"/>
      <c r="S676" s="4"/>
      <c r="T676" s="4"/>
      <c r="U676" s="4"/>
    </row>
    <row x14ac:dyDescent="0.25" r="677" customHeight="1" ht="12.75">
      <c r="A677" s="4"/>
      <c r="B677" s="29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29"/>
      <c r="N677" s="29"/>
      <c r="O677" s="29"/>
      <c r="P677" s="32"/>
      <c r="Q677" s="32"/>
      <c r="R677" s="4"/>
      <c r="S677" s="4"/>
      <c r="T677" s="4"/>
      <c r="U677" s="4"/>
    </row>
    <row x14ac:dyDescent="0.25" r="678" customHeight="1" ht="12.75">
      <c r="A678" s="4"/>
      <c r="B678" s="29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29"/>
      <c r="N678" s="29"/>
      <c r="O678" s="29"/>
      <c r="P678" s="32"/>
      <c r="Q678" s="32"/>
      <c r="R678" s="4"/>
      <c r="S678" s="4"/>
      <c r="T678" s="4"/>
      <c r="U678" s="4"/>
    </row>
    <row x14ac:dyDescent="0.25" r="679" customHeight="1" ht="12.75">
      <c r="A679" s="4"/>
      <c r="B679" s="29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29"/>
      <c r="N679" s="29"/>
      <c r="O679" s="29"/>
      <c r="P679" s="32"/>
      <c r="Q679" s="32"/>
      <c r="R679" s="4"/>
      <c r="S679" s="4"/>
      <c r="T679" s="4"/>
      <c r="U679" s="4"/>
    </row>
    <row x14ac:dyDescent="0.25" r="680" customHeight="1" ht="12.75">
      <c r="A680" s="4"/>
      <c r="B680" s="29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29"/>
      <c r="N680" s="29"/>
      <c r="O680" s="29"/>
      <c r="P680" s="32"/>
      <c r="Q680" s="32"/>
      <c r="R680" s="4"/>
      <c r="S680" s="4"/>
      <c r="T680" s="4"/>
      <c r="U680" s="4"/>
    </row>
    <row x14ac:dyDescent="0.25" r="681" customHeight="1" ht="12.75">
      <c r="A681" s="4"/>
      <c r="B681" s="29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29"/>
      <c r="N681" s="29"/>
      <c r="O681" s="29"/>
      <c r="P681" s="32"/>
      <c r="Q681" s="32"/>
      <c r="R681" s="4"/>
      <c r="S681" s="4"/>
      <c r="T681" s="4"/>
      <c r="U681" s="4"/>
    </row>
    <row x14ac:dyDescent="0.25" r="682" customHeight="1" ht="12.75">
      <c r="A682" s="4"/>
      <c r="B682" s="29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29"/>
      <c r="N682" s="29"/>
      <c r="O682" s="29"/>
      <c r="P682" s="32"/>
      <c r="Q682" s="32"/>
      <c r="R682" s="4"/>
      <c r="S682" s="4"/>
      <c r="T682" s="4"/>
      <c r="U682" s="4"/>
    </row>
    <row x14ac:dyDescent="0.25" r="683" customHeight="1" ht="12.75">
      <c r="A683" s="4"/>
      <c r="B683" s="29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29"/>
      <c r="N683" s="29"/>
      <c r="O683" s="29"/>
      <c r="P683" s="32"/>
      <c r="Q683" s="32"/>
      <c r="R683" s="4"/>
      <c r="S683" s="4"/>
      <c r="T683" s="4"/>
      <c r="U683" s="4"/>
    </row>
    <row x14ac:dyDescent="0.25" r="684" customHeight="1" ht="12.75">
      <c r="A684" s="4"/>
      <c r="B684" s="29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29"/>
      <c r="N684" s="29"/>
      <c r="O684" s="29"/>
      <c r="P684" s="32"/>
      <c r="Q684" s="32"/>
      <c r="R684" s="4"/>
      <c r="S684" s="4"/>
      <c r="T684" s="4"/>
      <c r="U684" s="4"/>
    </row>
    <row x14ac:dyDescent="0.25" r="685" customHeight="1" ht="12.75">
      <c r="A685" s="4"/>
      <c r="B685" s="29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29"/>
      <c r="N685" s="29"/>
      <c r="O685" s="29"/>
      <c r="P685" s="32"/>
      <c r="Q685" s="32"/>
      <c r="R685" s="4"/>
      <c r="S685" s="4"/>
      <c r="T685" s="4"/>
      <c r="U685" s="4"/>
    </row>
    <row x14ac:dyDescent="0.25" r="686" customHeight="1" ht="12.75">
      <c r="A686" s="4"/>
      <c r="B686" s="29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29"/>
      <c r="N686" s="29"/>
      <c r="O686" s="29"/>
      <c r="P686" s="32"/>
      <c r="Q686" s="32"/>
      <c r="R686" s="4"/>
      <c r="S686" s="4"/>
      <c r="T686" s="4"/>
      <c r="U686" s="4"/>
    </row>
    <row x14ac:dyDescent="0.25" r="687" customHeight="1" ht="12.75">
      <c r="A687" s="4"/>
      <c r="B687" s="29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29"/>
      <c r="N687" s="29"/>
      <c r="O687" s="29"/>
      <c r="P687" s="32"/>
      <c r="Q687" s="32"/>
      <c r="R687" s="4"/>
      <c r="S687" s="4"/>
      <c r="T687" s="4"/>
      <c r="U687" s="4"/>
    </row>
    <row x14ac:dyDescent="0.25" r="688" customHeight="1" ht="12.75">
      <c r="A688" s="4"/>
      <c r="B688" s="29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29"/>
      <c r="N688" s="29"/>
      <c r="O688" s="29"/>
      <c r="P688" s="32"/>
      <c r="Q688" s="32"/>
      <c r="R688" s="4"/>
      <c r="S688" s="4"/>
      <c r="T688" s="4"/>
      <c r="U688" s="4"/>
    </row>
    <row x14ac:dyDescent="0.25" r="689" customHeight="1" ht="12.75">
      <c r="A689" s="4"/>
      <c r="B689" s="29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29"/>
      <c r="N689" s="29"/>
      <c r="O689" s="29"/>
      <c r="P689" s="32"/>
      <c r="Q689" s="32"/>
      <c r="R689" s="4"/>
      <c r="S689" s="4"/>
      <c r="T689" s="4"/>
      <c r="U689" s="4"/>
    </row>
    <row x14ac:dyDescent="0.25" r="690" customHeight="1" ht="12.75">
      <c r="A690" s="4"/>
      <c r="B690" s="29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29"/>
      <c r="N690" s="29"/>
      <c r="O690" s="29"/>
      <c r="P690" s="32"/>
      <c r="Q690" s="32"/>
      <c r="R690" s="4"/>
      <c r="S690" s="4"/>
      <c r="T690" s="4"/>
      <c r="U690" s="4"/>
    </row>
    <row x14ac:dyDescent="0.25" r="691" customHeight="1" ht="12.75">
      <c r="A691" s="4"/>
      <c r="B691" s="29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29"/>
      <c r="N691" s="29"/>
      <c r="O691" s="29"/>
      <c r="P691" s="32"/>
      <c r="Q691" s="32"/>
      <c r="R691" s="4"/>
      <c r="S691" s="4"/>
      <c r="T691" s="4"/>
      <c r="U691" s="4"/>
    </row>
    <row x14ac:dyDescent="0.25" r="692" customHeight="1" ht="12.75">
      <c r="A692" s="4"/>
      <c r="B692" s="29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29"/>
      <c r="N692" s="29"/>
      <c r="O692" s="29"/>
      <c r="P692" s="32"/>
      <c r="Q692" s="32"/>
      <c r="R692" s="4"/>
      <c r="S692" s="4"/>
      <c r="T692" s="4"/>
      <c r="U692" s="4"/>
    </row>
    <row x14ac:dyDescent="0.25" r="693" customHeight="1" ht="12.75">
      <c r="A693" s="4"/>
      <c r="B693" s="29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29"/>
      <c r="N693" s="29"/>
      <c r="O693" s="29"/>
      <c r="P693" s="32"/>
      <c r="Q693" s="32"/>
      <c r="R693" s="4"/>
      <c r="S693" s="4"/>
      <c r="T693" s="4"/>
      <c r="U693" s="4"/>
    </row>
    <row x14ac:dyDescent="0.25" r="694" customHeight="1" ht="12.75">
      <c r="A694" s="4"/>
      <c r="B694" s="29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29"/>
      <c r="N694" s="29"/>
      <c r="O694" s="29"/>
      <c r="P694" s="32"/>
      <c r="Q694" s="32"/>
      <c r="R694" s="4"/>
      <c r="S694" s="4"/>
      <c r="T694" s="4"/>
      <c r="U694" s="4"/>
    </row>
    <row x14ac:dyDescent="0.25" r="695" customHeight="1" ht="12.75">
      <c r="A695" s="4"/>
      <c r="B695" s="29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29"/>
      <c r="N695" s="29"/>
      <c r="O695" s="29"/>
      <c r="P695" s="32"/>
      <c r="Q695" s="32"/>
      <c r="R695" s="4"/>
      <c r="S695" s="4"/>
      <c r="T695" s="4"/>
      <c r="U695" s="4"/>
    </row>
    <row x14ac:dyDescent="0.25" r="696" customHeight="1" ht="12.75">
      <c r="A696" s="4"/>
      <c r="B696" s="29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29"/>
      <c r="N696" s="29"/>
      <c r="O696" s="29"/>
      <c r="P696" s="32"/>
      <c r="Q696" s="32"/>
      <c r="R696" s="4"/>
      <c r="S696" s="4"/>
      <c r="T696" s="4"/>
      <c r="U696" s="4"/>
    </row>
    <row x14ac:dyDescent="0.25" r="697" customHeight="1" ht="12.75">
      <c r="A697" s="4"/>
      <c r="B697" s="29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29"/>
      <c r="N697" s="29"/>
      <c r="O697" s="29"/>
      <c r="P697" s="32"/>
      <c r="Q697" s="32"/>
      <c r="R697" s="4"/>
      <c r="S697" s="4"/>
      <c r="T697" s="4"/>
      <c r="U697" s="4"/>
    </row>
    <row x14ac:dyDescent="0.25" r="698" customHeight="1" ht="12.75">
      <c r="A698" s="4"/>
      <c r="B698" s="29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29"/>
      <c r="N698" s="29"/>
      <c r="O698" s="29"/>
      <c r="P698" s="32"/>
      <c r="Q698" s="32"/>
      <c r="R698" s="4"/>
      <c r="S698" s="4"/>
      <c r="T698" s="4"/>
      <c r="U698" s="4"/>
    </row>
    <row x14ac:dyDescent="0.25" r="699" customHeight="1" ht="12.75">
      <c r="A699" s="4"/>
      <c r="B699" s="29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29"/>
      <c r="N699" s="29"/>
      <c r="O699" s="29"/>
      <c r="P699" s="32"/>
      <c r="Q699" s="32"/>
      <c r="R699" s="4"/>
      <c r="S699" s="4"/>
      <c r="T699" s="4"/>
      <c r="U699" s="4"/>
    </row>
    <row x14ac:dyDescent="0.25" r="700" customHeight="1" ht="12.75">
      <c r="A700" s="4"/>
      <c r="B700" s="29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29"/>
      <c r="N700" s="29"/>
      <c r="O700" s="29"/>
      <c r="P700" s="32"/>
      <c r="Q700" s="32"/>
      <c r="R700" s="4"/>
      <c r="S700" s="4"/>
      <c r="T700" s="4"/>
      <c r="U700" s="4"/>
    </row>
    <row x14ac:dyDescent="0.25" r="701" customHeight="1" ht="12.75">
      <c r="A701" s="4"/>
      <c r="B701" s="29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29"/>
      <c r="N701" s="29"/>
      <c r="O701" s="29"/>
      <c r="P701" s="32"/>
      <c r="Q701" s="32"/>
      <c r="R701" s="4"/>
      <c r="S701" s="4"/>
      <c r="T701" s="4"/>
      <c r="U701" s="4"/>
    </row>
    <row x14ac:dyDescent="0.25" r="702" customHeight="1" ht="12.75">
      <c r="A702" s="4"/>
      <c r="B702" s="29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29"/>
      <c r="N702" s="29"/>
      <c r="O702" s="29"/>
      <c r="P702" s="32"/>
      <c r="Q702" s="32"/>
      <c r="R702" s="4"/>
      <c r="S702" s="4"/>
      <c r="T702" s="4"/>
      <c r="U702" s="4"/>
    </row>
    <row x14ac:dyDescent="0.25" r="703" customHeight="1" ht="12.75">
      <c r="A703" s="4"/>
      <c r="B703" s="29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29"/>
      <c r="N703" s="29"/>
      <c r="O703" s="29"/>
      <c r="P703" s="32"/>
      <c r="Q703" s="32"/>
      <c r="R703" s="4"/>
      <c r="S703" s="4"/>
      <c r="T703" s="4"/>
      <c r="U703" s="4"/>
    </row>
    <row x14ac:dyDescent="0.25" r="704" customHeight="1" ht="12.75">
      <c r="A704" s="4"/>
      <c r="B704" s="29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29"/>
      <c r="N704" s="29"/>
      <c r="O704" s="29"/>
      <c r="P704" s="32"/>
      <c r="Q704" s="32"/>
      <c r="R704" s="4"/>
      <c r="S704" s="4"/>
      <c r="T704" s="4"/>
      <c r="U704" s="4"/>
    </row>
    <row x14ac:dyDescent="0.25" r="705" customHeight="1" ht="12.75">
      <c r="A705" s="4"/>
      <c r="B705" s="29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29"/>
      <c r="N705" s="29"/>
      <c r="O705" s="29"/>
      <c r="P705" s="32"/>
      <c r="Q705" s="32"/>
      <c r="R705" s="4"/>
      <c r="S705" s="4"/>
      <c r="T705" s="4"/>
      <c r="U705" s="4"/>
    </row>
    <row x14ac:dyDescent="0.25" r="706" customHeight="1" ht="12.75">
      <c r="A706" s="4"/>
      <c r="B706" s="29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29"/>
      <c r="N706" s="29"/>
      <c r="O706" s="29"/>
      <c r="P706" s="32"/>
      <c r="Q706" s="32"/>
      <c r="R706" s="4"/>
      <c r="S706" s="4"/>
      <c r="T706" s="4"/>
      <c r="U706" s="4"/>
    </row>
    <row x14ac:dyDescent="0.25" r="707" customHeight="1" ht="12.75">
      <c r="A707" s="4"/>
      <c r="B707" s="29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29"/>
      <c r="N707" s="29"/>
      <c r="O707" s="29"/>
      <c r="P707" s="32"/>
      <c r="Q707" s="32"/>
      <c r="R707" s="4"/>
      <c r="S707" s="4"/>
      <c r="T707" s="4"/>
      <c r="U707" s="4"/>
    </row>
    <row x14ac:dyDescent="0.25" r="708" customHeight="1" ht="12.75">
      <c r="A708" s="4"/>
      <c r="B708" s="29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29"/>
      <c r="N708" s="29"/>
      <c r="O708" s="29"/>
      <c r="P708" s="32"/>
      <c r="Q708" s="32"/>
      <c r="R708" s="4"/>
      <c r="S708" s="4"/>
      <c r="T708" s="4"/>
      <c r="U708" s="4"/>
    </row>
    <row x14ac:dyDescent="0.25" r="709" customHeight="1" ht="12.75">
      <c r="A709" s="4"/>
      <c r="B709" s="29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29"/>
      <c r="N709" s="29"/>
      <c r="O709" s="29"/>
      <c r="P709" s="32"/>
      <c r="Q709" s="32"/>
      <c r="R709" s="4"/>
      <c r="S709" s="4"/>
      <c r="T709" s="4"/>
      <c r="U709" s="4"/>
    </row>
    <row x14ac:dyDescent="0.25" r="710" customHeight="1" ht="12.75">
      <c r="A710" s="4"/>
      <c r="B710" s="29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29"/>
      <c r="N710" s="29"/>
      <c r="O710" s="29"/>
      <c r="P710" s="32"/>
      <c r="Q710" s="32"/>
      <c r="R710" s="4"/>
      <c r="S710" s="4"/>
      <c r="T710" s="4"/>
      <c r="U710" s="4"/>
    </row>
    <row x14ac:dyDescent="0.25" r="711" customHeight="1" ht="12.75">
      <c r="A711" s="4"/>
      <c r="B711" s="29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29"/>
      <c r="N711" s="29"/>
      <c r="O711" s="29"/>
      <c r="P711" s="32"/>
      <c r="Q711" s="32"/>
      <c r="R711" s="4"/>
      <c r="S711" s="4"/>
      <c r="T711" s="4"/>
      <c r="U711" s="4"/>
    </row>
    <row x14ac:dyDescent="0.25" r="712" customHeight="1" ht="12.75">
      <c r="A712" s="4"/>
      <c r="B712" s="29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29"/>
      <c r="N712" s="29"/>
      <c r="O712" s="29"/>
      <c r="P712" s="32"/>
      <c r="Q712" s="32"/>
      <c r="R712" s="4"/>
      <c r="S712" s="4"/>
      <c r="T712" s="4"/>
      <c r="U712" s="4"/>
    </row>
    <row x14ac:dyDescent="0.25" r="713" customHeight="1" ht="12.75">
      <c r="A713" s="4"/>
      <c r="B713" s="29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29"/>
      <c r="N713" s="29"/>
      <c r="O713" s="29"/>
      <c r="P713" s="32"/>
      <c r="Q713" s="32"/>
      <c r="R713" s="4"/>
      <c r="S713" s="4"/>
      <c r="T713" s="4"/>
      <c r="U713" s="4"/>
    </row>
    <row x14ac:dyDescent="0.25" r="714" customHeight="1" ht="12.75">
      <c r="A714" s="4"/>
      <c r="B714" s="29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29"/>
      <c r="N714" s="29"/>
      <c r="O714" s="29"/>
      <c r="P714" s="32"/>
      <c r="Q714" s="32"/>
      <c r="R714" s="4"/>
      <c r="S714" s="4"/>
      <c r="T714" s="4"/>
      <c r="U714" s="4"/>
    </row>
    <row x14ac:dyDescent="0.25" r="715" customHeight="1" ht="12.75">
      <c r="A715" s="4"/>
      <c r="B715" s="29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29"/>
      <c r="N715" s="29"/>
      <c r="O715" s="29"/>
      <c r="P715" s="32"/>
      <c r="Q715" s="32"/>
      <c r="R715" s="4"/>
      <c r="S715" s="4"/>
      <c r="T715" s="4"/>
      <c r="U715" s="4"/>
    </row>
    <row x14ac:dyDescent="0.25" r="716" customHeight="1" ht="12.75">
      <c r="A716" s="4"/>
      <c r="B716" s="29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29"/>
      <c r="N716" s="29"/>
      <c r="O716" s="29"/>
      <c r="P716" s="32"/>
      <c r="Q716" s="32"/>
      <c r="R716" s="4"/>
      <c r="S716" s="4"/>
      <c r="T716" s="4"/>
      <c r="U716" s="4"/>
    </row>
    <row x14ac:dyDescent="0.25" r="717" customHeight="1" ht="12.75">
      <c r="A717" s="4"/>
      <c r="B717" s="29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29"/>
      <c r="N717" s="29"/>
      <c r="O717" s="29"/>
      <c r="P717" s="32"/>
      <c r="Q717" s="32"/>
      <c r="R717" s="4"/>
      <c r="S717" s="4"/>
      <c r="T717" s="4"/>
      <c r="U717" s="4"/>
    </row>
    <row x14ac:dyDescent="0.25" r="718" customHeight="1" ht="12.75">
      <c r="A718" s="4"/>
      <c r="B718" s="29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29"/>
      <c r="N718" s="29"/>
      <c r="O718" s="29"/>
      <c r="P718" s="32"/>
      <c r="Q718" s="32"/>
      <c r="R718" s="4"/>
      <c r="S718" s="4"/>
      <c r="T718" s="4"/>
      <c r="U718" s="4"/>
    </row>
    <row x14ac:dyDescent="0.25" r="719" customHeight="1" ht="12.75">
      <c r="A719" s="4"/>
      <c r="B719" s="29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29"/>
      <c r="N719" s="29"/>
      <c r="O719" s="29"/>
      <c r="P719" s="32"/>
      <c r="Q719" s="32"/>
      <c r="R719" s="4"/>
      <c r="S719" s="4"/>
      <c r="T719" s="4"/>
      <c r="U719" s="4"/>
    </row>
    <row x14ac:dyDescent="0.25" r="720" customHeight="1" ht="12.75">
      <c r="A720" s="4"/>
      <c r="B720" s="29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29"/>
      <c r="N720" s="29"/>
      <c r="O720" s="29"/>
      <c r="P720" s="32"/>
      <c r="Q720" s="32"/>
      <c r="R720" s="4"/>
      <c r="S720" s="4"/>
      <c r="T720" s="4"/>
      <c r="U720" s="4"/>
    </row>
    <row x14ac:dyDescent="0.25" r="721" customHeight="1" ht="12.75">
      <c r="A721" s="4"/>
      <c r="B721" s="29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29"/>
      <c r="N721" s="29"/>
      <c r="O721" s="29"/>
      <c r="P721" s="32"/>
      <c r="Q721" s="32"/>
      <c r="R721" s="4"/>
      <c r="S721" s="4"/>
      <c r="T721" s="4"/>
      <c r="U721" s="4"/>
    </row>
    <row x14ac:dyDescent="0.25" r="722" customHeight="1" ht="12.75">
      <c r="A722" s="4"/>
      <c r="B722" s="29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29"/>
      <c r="N722" s="29"/>
      <c r="O722" s="29"/>
      <c r="P722" s="32"/>
      <c r="Q722" s="32"/>
      <c r="R722" s="4"/>
      <c r="S722" s="4"/>
      <c r="T722" s="4"/>
      <c r="U722" s="4"/>
    </row>
    <row x14ac:dyDescent="0.25" r="723" customHeight="1" ht="12.75">
      <c r="A723" s="4"/>
      <c r="B723" s="29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29"/>
      <c r="N723" s="29"/>
      <c r="O723" s="29"/>
      <c r="P723" s="32"/>
      <c r="Q723" s="32"/>
      <c r="R723" s="4"/>
      <c r="S723" s="4"/>
      <c r="T723" s="4"/>
      <c r="U723" s="4"/>
    </row>
    <row x14ac:dyDescent="0.25" r="724" customHeight="1" ht="12.75">
      <c r="A724" s="4"/>
      <c r="B724" s="29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29"/>
      <c r="N724" s="29"/>
      <c r="O724" s="29"/>
      <c r="P724" s="32"/>
      <c r="Q724" s="32"/>
      <c r="R724" s="4"/>
      <c r="S724" s="4"/>
      <c r="T724" s="4"/>
      <c r="U724" s="4"/>
    </row>
    <row x14ac:dyDescent="0.25" r="725" customHeight="1" ht="12.75">
      <c r="A725" s="4"/>
      <c r="B725" s="29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29"/>
      <c r="N725" s="29"/>
      <c r="O725" s="29"/>
      <c r="P725" s="32"/>
      <c r="Q725" s="32"/>
      <c r="R725" s="4"/>
      <c r="S725" s="4"/>
      <c r="T725" s="4"/>
      <c r="U725" s="4"/>
    </row>
    <row x14ac:dyDescent="0.25" r="726" customHeight="1" ht="12.75">
      <c r="A726" s="4"/>
      <c r="B726" s="29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29"/>
      <c r="N726" s="29"/>
      <c r="O726" s="29"/>
      <c r="P726" s="32"/>
      <c r="Q726" s="32"/>
      <c r="R726" s="4"/>
      <c r="S726" s="4"/>
      <c r="T726" s="4"/>
      <c r="U726" s="4"/>
    </row>
    <row x14ac:dyDescent="0.25" r="727" customHeight="1" ht="12.75">
      <c r="A727" s="4"/>
      <c r="B727" s="29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29"/>
      <c r="N727" s="29"/>
      <c r="O727" s="29"/>
      <c r="P727" s="32"/>
      <c r="Q727" s="32"/>
      <c r="R727" s="4"/>
      <c r="S727" s="4"/>
      <c r="T727" s="4"/>
      <c r="U727" s="4"/>
    </row>
    <row x14ac:dyDescent="0.25" r="728" customHeight="1" ht="12.75">
      <c r="A728" s="4"/>
      <c r="B728" s="29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29"/>
      <c r="N728" s="29"/>
      <c r="O728" s="29"/>
      <c r="P728" s="32"/>
      <c r="Q728" s="32"/>
      <c r="R728" s="4"/>
      <c r="S728" s="4"/>
      <c r="T728" s="4"/>
      <c r="U728" s="4"/>
    </row>
    <row x14ac:dyDescent="0.25" r="729" customHeight="1" ht="12.75">
      <c r="A729" s="4"/>
      <c r="B729" s="29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29"/>
      <c r="N729" s="29"/>
      <c r="O729" s="29"/>
      <c r="P729" s="32"/>
      <c r="Q729" s="32"/>
      <c r="R729" s="4"/>
      <c r="S729" s="4"/>
      <c r="T729" s="4"/>
      <c r="U729" s="4"/>
    </row>
    <row x14ac:dyDescent="0.25" r="730" customHeight="1" ht="12.75">
      <c r="A730" s="4"/>
      <c r="B730" s="29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29"/>
      <c r="N730" s="29"/>
      <c r="O730" s="29"/>
      <c r="P730" s="32"/>
      <c r="Q730" s="32"/>
      <c r="R730" s="4"/>
      <c r="S730" s="4"/>
      <c r="T730" s="4"/>
      <c r="U730" s="4"/>
    </row>
    <row x14ac:dyDescent="0.25" r="731" customHeight="1" ht="12.75">
      <c r="A731" s="4"/>
      <c r="B731" s="29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29"/>
      <c r="N731" s="29"/>
      <c r="O731" s="29"/>
      <c r="P731" s="32"/>
      <c r="Q731" s="32"/>
      <c r="R731" s="4"/>
      <c r="S731" s="4"/>
      <c r="T731" s="4"/>
      <c r="U731" s="4"/>
    </row>
    <row x14ac:dyDescent="0.25" r="732" customHeight="1" ht="12.75">
      <c r="A732" s="4"/>
      <c r="B732" s="29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29"/>
      <c r="N732" s="29"/>
      <c r="O732" s="29"/>
      <c r="P732" s="32"/>
      <c r="Q732" s="32"/>
      <c r="R732" s="4"/>
      <c r="S732" s="4"/>
      <c r="T732" s="4"/>
      <c r="U732" s="4"/>
    </row>
    <row x14ac:dyDescent="0.25" r="733" customHeight="1" ht="12.75">
      <c r="A733" s="4"/>
      <c r="B733" s="29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29"/>
      <c r="N733" s="29"/>
      <c r="O733" s="29"/>
      <c r="P733" s="32"/>
      <c r="Q733" s="32"/>
      <c r="R733" s="4"/>
      <c r="S733" s="4"/>
      <c r="T733" s="4"/>
      <c r="U733" s="4"/>
    </row>
    <row x14ac:dyDescent="0.25" r="734" customHeight="1" ht="12.75">
      <c r="A734" s="4"/>
      <c r="B734" s="29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29"/>
      <c r="N734" s="29"/>
      <c r="O734" s="29"/>
      <c r="P734" s="32"/>
      <c r="Q734" s="32"/>
      <c r="R734" s="4"/>
      <c r="S734" s="4"/>
      <c r="T734" s="4"/>
      <c r="U734" s="4"/>
    </row>
    <row x14ac:dyDescent="0.25" r="735" customHeight="1" ht="12.75">
      <c r="A735" s="4"/>
      <c r="B735" s="29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29"/>
      <c r="N735" s="29"/>
      <c r="O735" s="29"/>
      <c r="P735" s="32"/>
      <c r="Q735" s="32"/>
      <c r="R735" s="4"/>
      <c r="S735" s="4"/>
      <c r="T735" s="4"/>
      <c r="U735" s="4"/>
    </row>
    <row x14ac:dyDescent="0.25" r="736" customHeight="1" ht="12.75">
      <c r="A736" s="4"/>
      <c r="B736" s="29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29"/>
      <c r="N736" s="29"/>
      <c r="O736" s="29"/>
      <c r="P736" s="32"/>
      <c r="Q736" s="32"/>
      <c r="R736" s="4"/>
      <c r="S736" s="4"/>
      <c r="T736" s="4"/>
      <c r="U736" s="4"/>
    </row>
    <row x14ac:dyDescent="0.25" r="737" customHeight="1" ht="12.75">
      <c r="A737" s="4"/>
      <c r="B737" s="29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29"/>
      <c r="N737" s="29"/>
      <c r="O737" s="29"/>
      <c r="P737" s="32"/>
      <c r="Q737" s="32"/>
      <c r="R737" s="4"/>
      <c r="S737" s="4"/>
      <c r="T737" s="4"/>
      <c r="U737" s="4"/>
    </row>
    <row x14ac:dyDescent="0.25" r="738" customHeight="1" ht="12.75">
      <c r="A738" s="4"/>
      <c r="B738" s="29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29"/>
      <c r="N738" s="29"/>
      <c r="O738" s="29"/>
      <c r="P738" s="32"/>
      <c r="Q738" s="32"/>
      <c r="R738" s="4"/>
      <c r="S738" s="4"/>
      <c r="T738" s="4"/>
      <c r="U738" s="4"/>
    </row>
    <row x14ac:dyDescent="0.25" r="739" customHeight="1" ht="12.75">
      <c r="A739" s="4"/>
      <c r="B739" s="29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29"/>
      <c r="N739" s="29"/>
      <c r="O739" s="29"/>
      <c r="P739" s="32"/>
      <c r="Q739" s="32"/>
      <c r="R739" s="4"/>
      <c r="S739" s="4"/>
      <c r="T739" s="4"/>
      <c r="U739" s="4"/>
    </row>
    <row x14ac:dyDescent="0.25" r="740" customHeight="1" ht="12.75">
      <c r="A740" s="4"/>
      <c r="B740" s="29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29"/>
      <c r="N740" s="29"/>
      <c r="O740" s="29"/>
      <c r="P740" s="32"/>
      <c r="Q740" s="32"/>
      <c r="R740" s="4"/>
      <c r="S740" s="4"/>
      <c r="T740" s="4"/>
      <c r="U740" s="4"/>
    </row>
    <row x14ac:dyDescent="0.25" r="741" customHeight="1" ht="12.75">
      <c r="A741" s="4"/>
      <c r="B741" s="29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29"/>
      <c r="N741" s="29"/>
      <c r="O741" s="29"/>
      <c r="P741" s="32"/>
      <c r="Q741" s="32"/>
      <c r="R741" s="4"/>
      <c r="S741" s="4"/>
      <c r="T741" s="4"/>
      <c r="U741" s="4"/>
    </row>
    <row x14ac:dyDescent="0.25" r="742" customHeight="1" ht="12.75">
      <c r="A742" s="4"/>
      <c r="B742" s="29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29"/>
      <c r="N742" s="29"/>
      <c r="O742" s="29"/>
      <c r="P742" s="32"/>
      <c r="Q742" s="32"/>
      <c r="R742" s="4"/>
      <c r="S742" s="4"/>
      <c r="T742" s="4"/>
      <c r="U742" s="4"/>
    </row>
    <row x14ac:dyDescent="0.25" r="743" customHeight="1" ht="12.75">
      <c r="A743" s="4"/>
      <c r="B743" s="29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29"/>
      <c r="N743" s="29"/>
      <c r="O743" s="29"/>
      <c r="P743" s="32"/>
      <c r="Q743" s="32"/>
      <c r="R743" s="4"/>
      <c r="S743" s="4"/>
      <c r="T743" s="4"/>
      <c r="U743" s="4"/>
    </row>
    <row x14ac:dyDescent="0.25" r="744" customHeight="1" ht="12.75">
      <c r="A744" s="4"/>
      <c r="B744" s="29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29"/>
      <c r="N744" s="29"/>
      <c r="O744" s="29"/>
      <c r="P744" s="32"/>
      <c r="Q744" s="32"/>
      <c r="R744" s="4"/>
      <c r="S744" s="4"/>
      <c r="T744" s="4"/>
      <c r="U744" s="4"/>
    </row>
    <row x14ac:dyDescent="0.25" r="745" customHeight="1" ht="12.75">
      <c r="A745" s="4"/>
      <c r="B745" s="29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29"/>
      <c r="N745" s="29"/>
      <c r="O745" s="29"/>
      <c r="P745" s="32"/>
      <c r="Q745" s="32"/>
      <c r="R745" s="4"/>
      <c r="S745" s="4"/>
      <c r="T745" s="4"/>
      <c r="U745" s="4"/>
    </row>
    <row x14ac:dyDescent="0.25" r="746" customHeight="1" ht="12.75">
      <c r="A746" s="4"/>
      <c r="B746" s="29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29"/>
      <c r="N746" s="29"/>
      <c r="O746" s="29"/>
      <c r="P746" s="32"/>
      <c r="Q746" s="32"/>
      <c r="R746" s="4"/>
      <c r="S746" s="4"/>
      <c r="T746" s="4"/>
      <c r="U746" s="4"/>
    </row>
    <row x14ac:dyDescent="0.25" r="747" customHeight="1" ht="12.75">
      <c r="A747" s="4"/>
      <c r="B747" s="29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29"/>
      <c r="N747" s="29"/>
      <c r="O747" s="29"/>
      <c r="P747" s="32"/>
      <c r="Q747" s="32"/>
      <c r="R747" s="4"/>
      <c r="S747" s="4"/>
      <c r="T747" s="4"/>
      <c r="U747" s="4"/>
    </row>
    <row x14ac:dyDescent="0.25" r="748" customHeight="1" ht="12.75">
      <c r="A748" s="4"/>
      <c r="B748" s="29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29"/>
      <c r="N748" s="29"/>
      <c r="O748" s="29"/>
      <c r="P748" s="32"/>
      <c r="Q748" s="32"/>
      <c r="R748" s="4"/>
      <c r="S748" s="4"/>
      <c r="T748" s="4"/>
      <c r="U748" s="4"/>
    </row>
    <row x14ac:dyDescent="0.25" r="749" customHeight="1" ht="12.75">
      <c r="A749" s="4"/>
      <c r="B749" s="29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29"/>
      <c r="N749" s="29"/>
      <c r="O749" s="29"/>
      <c r="P749" s="32"/>
      <c r="Q749" s="32"/>
      <c r="R749" s="4"/>
      <c r="S749" s="4"/>
      <c r="T749" s="4"/>
      <c r="U749" s="4"/>
    </row>
    <row x14ac:dyDescent="0.25" r="750" customHeight="1" ht="12.75">
      <c r="A750" s="4"/>
      <c r="B750" s="29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29"/>
      <c r="N750" s="29"/>
      <c r="O750" s="29"/>
      <c r="P750" s="32"/>
      <c r="Q750" s="32"/>
      <c r="R750" s="4"/>
      <c r="S750" s="4"/>
      <c r="T750" s="4"/>
      <c r="U750" s="4"/>
    </row>
    <row x14ac:dyDescent="0.25" r="751" customHeight="1" ht="12.75">
      <c r="A751" s="4"/>
      <c r="B751" s="29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29"/>
      <c r="N751" s="29"/>
      <c r="O751" s="29"/>
      <c r="P751" s="32"/>
      <c r="Q751" s="32"/>
      <c r="R751" s="4"/>
      <c r="S751" s="4"/>
      <c r="T751" s="4"/>
      <c r="U751" s="4"/>
    </row>
    <row x14ac:dyDescent="0.25" r="752" customHeight="1" ht="12.75">
      <c r="A752" s="4"/>
      <c r="B752" s="29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29"/>
      <c r="N752" s="29"/>
      <c r="O752" s="29"/>
      <c r="P752" s="32"/>
      <c r="Q752" s="32"/>
      <c r="R752" s="4"/>
      <c r="S752" s="4"/>
      <c r="T752" s="4"/>
      <c r="U752" s="4"/>
    </row>
    <row x14ac:dyDescent="0.25" r="753" customHeight="1" ht="12.75">
      <c r="A753" s="4"/>
      <c r="B753" s="29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29"/>
      <c r="N753" s="29"/>
      <c r="O753" s="29"/>
      <c r="P753" s="32"/>
      <c r="Q753" s="32"/>
      <c r="R753" s="4"/>
      <c r="S753" s="4"/>
      <c r="T753" s="4"/>
      <c r="U753" s="4"/>
    </row>
    <row x14ac:dyDescent="0.25" r="754" customHeight="1" ht="12.75">
      <c r="A754" s="4"/>
      <c r="B754" s="29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29"/>
      <c r="N754" s="29"/>
      <c r="O754" s="29"/>
      <c r="P754" s="32"/>
      <c r="Q754" s="32"/>
      <c r="R754" s="4"/>
      <c r="S754" s="4"/>
      <c r="T754" s="4"/>
      <c r="U754" s="4"/>
    </row>
    <row x14ac:dyDescent="0.25" r="755" customHeight="1" ht="12.75">
      <c r="A755" s="4"/>
      <c r="B755" s="29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29"/>
      <c r="N755" s="29"/>
      <c r="O755" s="29"/>
      <c r="P755" s="32"/>
      <c r="Q755" s="32"/>
      <c r="R755" s="4"/>
      <c r="S755" s="4"/>
      <c r="T755" s="4"/>
      <c r="U755" s="4"/>
    </row>
    <row x14ac:dyDescent="0.25" r="756" customHeight="1" ht="12.75">
      <c r="A756" s="4"/>
      <c r="B756" s="29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29"/>
      <c r="N756" s="29"/>
      <c r="O756" s="29"/>
      <c r="P756" s="32"/>
      <c r="Q756" s="32"/>
      <c r="R756" s="4"/>
      <c r="S756" s="4"/>
      <c r="T756" s="4"/>
      <c r="U756" s="4"/>
    </row>
    <row x14ac:dyDescent="0.25" r="757" customHeight="1" ht="12.75">
      <c r="A757" s="4"/>
      <c r="B757" s="29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29"/>
      <c r="N757" s="29"/>
      <c r="O757" s="29"/>
      <c r="P757" s="32"/>
      <c r="Q757" s="32"/>
      <c r="R757" s="4"/>
      <c r="S757" s="4"/>
      <c r="T757" s="4"/>
      <c r="U757" s="4"/>
    </row>
    <row x14ac:dyDescent="0.25" r="758" customHeight="1" ht="12.75">
      <c r="A758" s="4"/>
      <c r="B758" s="29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29"/>
      <c r="N758" s="29"/>
      <c r="O758" s="29"/>
      <c r="P758" s="32"/>
      <c r="Q758" s="32"/>
      <c r="R758" s="4"/>
      <c r="S758" s="4"/>
      <c r="T758" s="4"/>
      <c r="U758" s="4"/>
    </row>
    <row x14ac:dyDescent="0.25" r="759" customHeight="1" ht="12.75">
      <c r="A759" s="4"/>
      <c r="B759" s="29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29"/>
      <c r="N759" s="29"/>
      <c r="O759" s="29"/>
      <c r="P759" s="32"/>
      <c r="Q759" s="32"/>
      <c r="R759" s="4"/>
      <c r="S759" s="4"/>
      <c r="T759" s="4"/>
      <c r="U759" s="4"/>
    </row>
    <row x14ac:dyDescent="0.25" r="760" customHeight="1" ht="12.75">
      <c r="A760" s="4"/>
      <c r="B760" s="29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29"/>
      <c r="N760" s="29"/>
      <c r="O760" s="29"/>
      <c r="P760" s="32"/>
      <c r="Q760" s="32"/>
      <c r="R760" s="4"/>
      <c r="S760" s="4"/>
      <c r="T760" s="4"/>
      <c r="U760" s="4"/>
    </row>
    <row x14ac:dyDescent="0.25" r="761" customHeight="1" ht="12.75">
      <c r="A761" s="4"/>
      <c r="B761" s="29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29"/>
      <c r="N761" s="29"/>
      <c r="O761" s="29"/>
      <c r="P761" s="32"/>
      <c r="Q761" s="32"/>
      <c r="R761" s="4"/>
      <c r="S761" s="4"/>
      <c r="T761" s="4"/>
      <c r="U761" s="4"/>
    </row>
    <row x14ac:dyDescent="0.25" r="762" customHeight="1" ht="12.75">
      <c r="A762" s="4"/>
      <c r="B762" s="29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29"/>
      <c r="N762" s="29"/>
      <c r="O762" s="29"/>
      <c r="P762" s="32"/>
      <c r="Q762" s="32"/>
      <c r="R762" s="4"/>
      <c r="S762" s="4"/>
      <c r="T762" s="4"/>
      <c r="U762" s="4"/>
    </row>
    <row x14ac:dyDescent="0.25" r="763" customHeight="1" ht="12.75">
      <c r="A763" s="4"/>
      <c r="B763" s="29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29"/>
      <c r="N763" s="29"/>
      <c r="O763" s="29"/>
      <c r="P763" s="32"/>
      <c r="Q763" s="32"/>
      <c r="R763" s="4"/>
      <c r="S763" s="4"/>
      <c r="T763" s="4"/>
      <c r="U763" s="4"/>
    </row>
    <row x14ac:dyDescent="0.25" r="764" customHeight="1" ht="12.75">
      <c r="A764" s="4"/>
      <c r="B764" s="29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29"/>
      <c r="N764" s="29"/>
      <c r="O764" s="29"/>
      <c r="P764" s="32"/>
      <c r="Q764" s="32"/>
      <c r="R764" s="4"/>
      <c r="S764" s="4"/>
      <c r="T764" s="4"/>
      <c r="U764" s="4"/>
    </row>
    <row x14ac:dyDescent="0.25" r="765" customHeight="1" ht="12.75">
      <c r="A765" s="4"/>
      <c r="B765" s="29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29"/>
      <c r="N765" s="29"/>
      <c r="O765" s="29"/>
      <c r="P765" s="32"/>
      <c r="Q765" s="32"/>
      <c r="R765" s="4"/>
      <c r="S765" s="4"/>
      <c r="T765" s="4"/>
      <c r="U765" s="4"/>
    </row>
    <row x14ac:dyDescent="0.25" r="766" customHeight="1" ht="12.75">
      <c r="A766" s="4"/>
      <c r="B766" s="29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29"/>
      <c r="N766" s="29"/>
      <c r="O766" s="29"/>
      <c r="P766" s="32"/>
      <c r="Q766" s="32"/>
      <c r="R766" s="4"/>
      <c r="S766" s="4"/>
      <c r="T766" s="4"/>
      <c r="U766" s="4"/>
    </row>
    <row x14ac:dyDescent="0.25" r="767" customHeight="1" ht="12.75">
      <c r="A767" s="4"/>
      <c r="B767" s="29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29"/>
      <c r="N767" s="29"/>
      <c r="O767" s="29"/>
      <c r="P767" s="32"/>
      <c r="Q767" s="32"/>
      <c r="R767" s="4"/>
      <c r="S767" s="4"/>
      <c r="T767" s="4"/>
      <c r="U767" s="4"/>
    </row>
    <row x14ac:dyDescent="0.25" r="768" customHeight="1" ht="12.75">
      <c r="A768" s="4"/>
      <c r="B768" s="29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29"/>
      <c r="N768" s="29"/>
      <c r="O768" s="29"/>
      <c r="P768" s="32"/>
      <c r="Q768" s="32"/>
      <c r="R768" s="4"/>
      <c r="S768" s="4"/>
      <c r="T768" s="4"/>
      <c r="U768" s="4"/>
    </row>
    <row x14ac:dyDescent="0.25" r="769" customHeight="1" ht="12.75">
      <c r="A769" s="4"/>
      <c r="B769" s="29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29"/>
      <c r="N769" s="29"/>
      <c r="O769" s="29"/>
      <c r="P769" s="32"/>
      <c r="Q769" s="32"/>
      <c r="R769" s="4"/>
      <c r="S769" s="4"/>
      <c r="T769" s="4"/>
      <c r="U769" s="4"/>
    </row>
    <row x14ac:dyDescent="0.25" r="770" customHeight="1" ht="12.75">
      <c r="A770" s="4"/>
      <c r="B770" s="29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29"/>
      <c r="N770" s="29"/>
      <c r="O770" s="29"/>
      <c r="P770" s="32"/>
      <c r="Q770" s="32"/>
      <c r="R770" s="4"/>
      <c r="S770" s="4"/>
      <c r="T770" s="4"/>
      <c r="U770" s="4"/>
    </row>
    <row x14ac:dyDescent="0.25" r="771" customHeight="1" ht="12.75">
      <c r="A771" s="4"/>
      <c r="B771" s="29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29"/>
      <c r="N771" s="29"/>
      <c r="O771" s="29"/>
      <c r="P771" s="32"/>
      <c r="Q771" s="32"/>
      <c r="R771" s="4"/>
      <c r="S771" s="4"/>
      <c r="T771" s="4"/>
      <c r="U771" s="4"/>
    </row>
    <row x14ac:dyDescent="0.25" r="772" customHeight="1" ht="12.75">
      <c r="A772" s="4"/>
      <c r="B772" s="29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29"/>
      <c r="N772" s="29"/>
      <c r="O772" s="29"/>
      <c r="P772" s="32"/>
      <c r="Q772" s="32"/>
      <c r="R772" s="4"/>
      <c r="S772" s="4"/>
      <c r="T772" s="4"/>
      <c r="U772" s="4"/>
    </row>
    <row x14ac:dyDescent="0.25" r="773" customHeight="1" ht="12.75">
      <c r="A773" s="4"/>
      <c r="B773" s="29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29"/>
      <c r="N773" s="29"/>
      <c r="O773" s="29"/>
      <c r="P773" s="32"/>
      <c r="Q773" s="32"/>
      <c r="R773" s="4"/>
      <c r="S773" s="4"/>
      <c r="T773" s="4"/>
      <c r="U773" s="4"/>
    </row>
    <row x14ac:dyDescent="0.25" r="774" customHeight="1" ht="12.75">
      <c r="A774" s="4"/>
      <c r="B774" s="29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29"/>
      <c r="N774" s="29"/>
      <c r="O774" s="29"/>
      <c r="P774" s="32"/>
      <c r="Q774" s="32"/>
      <c r="R774" s="4"/>
      <c r="S774" s="4"/>
      <c r="T774" s="4"/>
      <c r="U774" s="4"/>
    </row>
    <row x14ac:dyDescent="0.25" r="775" customHeight="1" ht="12.75">
      <c r="A775" s="4"/>
      <c r="B775" s="29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29"/>
      <c r="N775" s="29"/>
      <c r="O775" s="29"/>
      <c r="P775" s="32"/>
      <c r="Q775" s="32"/>
      <c r="R775" s="4"/>
      <c r="S775" s="4"/>
      <c r="T775" s="4"/>
      <c r="U775" s="4"/>
    </row>
    <row x14ac:dyDescent="0.25" r="776" customHeight="1" ht="12.75">
      <c r="A776" s="4"/>
      <c r="B776" s="29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29"/>
      <c r="N776" s="29"/>
      <c r="O776" s="29"/>
      <c r="P776" s="32"/>
      <c r="Q776" s="32"/>
      <c r="R776" s="4"/>
      <c r="S776" s="4"/>
      <c r="T776" s="4"/>
      <c r="U776" s="4"/>
    </row>
    <row x14ac:dyDescent="0.25" r="777" customHeight="1" ht="12.75">
      <c r="A777" s="4"/>
      <c r="B777" s="29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29"/>
      <c r="N777" s="29"/>
      <c r="O777" s="29"/>
      <c r="P777" s="32"/>
      <c r="Q777" s="32"/>
      <c r="R777" s="4"/>
      <c r="S777" s="4"/>
      <c r="T777" s="4"/>
      <c r="U777" s="4"/>
    </row>
    <row x14ac:dyDescent="0.25" r="778" customHeight="1" ht="12.75">
      <c r="A778" s="4"/>
      <c r="B778" s="29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29"/>
      <c r="N778" s="29"/>
      <c r="O778" s="29"/>
      <c r="P778" s="32"/>
      <c r="Q778" s="32"/>
      <c r="R778" s="4"/>
      <c r="S778" s="4"/>
      <c r="T778" s="4"/>
      <c r="U778" s="4"/>
    </row>
    <row x14ac:dyDescent="0.25" r="779" customHeight="1" ht="12.75">
      <c r="A779" s="4"/>
      <c r="B779" s="29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29"/>
      <c r="N779" s="29"/>
      <c r="O779" s="29"/>
      <c r="P779" s="32"/>
      <c r="Q779" s="32"/>
      <c r="R779" s="4"/>
      <c r="S779" s="4"/>
      <c r="T779" s="4"/>
      <c r="U779" s="4"/>
    </row>
    <row x14ac:dyDescent="0.25" r="780" customHeight="1" ht="12.75">
      <c r="A780" s="4"/>
      <c r="B780" s="29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29"/>
      <c r="N780" s="29"/>
      <c r="O780" s="29"/>
      <c r="P780" s="32"/>
      <c r="Q780" s="32"/>
      <c r="R780" s="4"/>
      <c r="S780" s="4"/>
      <c r="T780" s="4"/>
      <c r="U780" s="4"/>
    </row>
    <row x14ac:dyDescent="0.25" r="781" customHeight="1" ht="12.75">
      <c r="A781" s="4"/>
      <c r="B781" s="29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29"/>
      <c r="N781" s="29"/>
      <c r="O781" s="29"/>
      <c r="P781" s="32"/>
      <c r="Q781" s="32"/>
      <c r="R781" s="4"/>
      <c r="S781" s="4"/>
      <c r="T781" s="4"/>
      <c r="U781" s="4"/>
    </row>
    <row x14ac:dyDescent="0.25" r="782" customHeight="1" ht="12.75">
      <c r="A782" s="4"/>
      <c r="B782" s="29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29"/>
      <c r="N782" s="29"/>
      <c r="O782" s="29"/>
      <c r="P782" s="32"/>
      <c r="Q782" s="32"/>
      <c r="R782" s="4"/>
      <c r="S782" s="4"/>
      <c r="T782" s="4"/>
      <c r="U782" s="4"/>
    </row>
    <row x14ac:dyDescent="0.25" r="783" customHeight="1" ht="12.75">
      <c r="A783" s="4"/>
      <c r="B783" s="29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29"/>
      <c r="N783" s="29"/>
      <c r="O783" s="29"/>
      <c r="P783" s="32"/>
      <c r="Q783" s="32"/>
      <c r="R783" s="4"/>
      <c r="S783" s="4"/>
      <c r="T783" s="4"/>
      <c r="U783" s="4"/>
    </row>
    <row x14ac:dyDescent="0.25" r="784" customHeight="1" ht="12.75">
      <c r="A784" s="4"/>
      <c r="B784" s="29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29"/>
      <c r="N784" s="29"/>
      <c r="O784" s="29"/>
      <c r="P784" s="32"/>
      <c r="Q784" s="32"/>
      <c r="R784" s="4"/>
      <c r="S784" s="4"/>
      <c r="T784" s="4"/>
      <c r="U784" s="4"/>
    </row>
    <row x14ac:dyDescent="0.25" r="785" customHeight="1" ht="12.75">
      <c r="A785" s="4"/>
      <c r="B785" s="29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29"/>
      <c r="N785" s="29"/>
      <c r="O785" s="29"/>
      <c r="P785" s="32"/>
      <c r="Q785" s="32"/>
      <c r="R785" s="4"/>
      <c r="S785" s="4"/>
      <c r="T785" s="4"/>
      <c r="U785" s="4"/>
    </row>
    <row x14ac:dyDescent="0.25" r="786" customHeight="1" ht="12.75">
      <c r="A786" s="4"/>
      <c r="B786" s="29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29"/>
      <c r="N786" s="29"/>
      <c r="O786" s="29"/>
      <c r="P786" s="32"/>
      <c r="Q786" s="32"/>
      <c r="R786" s="4"/>
      <c r="S786" s="4"/>
      <c r="T786" s="4"/>
      <c r="U786" s="4"/>
    </row>
    <row x14ac:dyDescent="0.25" r="787" customHeight="1" ht="12.75">
      <c r="A787" s="4"/>
      <c r="B787" s="29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29"/>
      <c r="N787" s="29"/>
      <c r="O787" s="29"/>
      <c r="P787" s="32"/>
      <c r="Q787" s="32"/>
      <c r="R787" s="4"/>
      <c r="S787" s="4"/>
      <c r="T787" s="4"/>
      <c r="U787" s="4"/>
    </row>
    <row x14ac:dyDescent="0.25" r="788" customHeight="1" ht="12.75">
      <c r="A788" s="4"/>
      <c r="B788" s="29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29"/>
      <c r="N788" s="29"/>
      <c r="O788" s="29"/>
      <c r="P788" s="32"/>
      <c r="Q788" s="32"/>
      <c r="R788" s="4"/>
      <c r="S788" s="4"/>
      <c r="T788" s="4"/>
      <c r="U788" s="4"/>
    </row>
    <row x14ac:dyDescent="0.25" r="789" customHeight="1" ht="12.75">
      <c r="A789" s="4"/>
      <c r="B789" s="29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29"/>
      <c r="N789" s="29"/>
      <c r="O789" s="29"/>
      <c r="P789" s="32"/>
      <c r="Q789" s="32"/>
      <c r="R789" s="4"/>
      <c r="S789" s="4"/>
      <c r="T789" s="4"/>
      <c r="U789" s="4"/>
    </row>
    <row x14ac:dyDescent="0.25" r="790" customHeight="1" ht="12.75">
      <c r="A790" s="4"/>
      <c r="B790" s="29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29"/>
      <c r="N790" s="29"/>
      <c r="O790" s="29"/>
      <c r="P790" s="32"/>
      <c r="Q790" s="32"/>
      <c r="R790" s="4"/>
      <c r="S790" s="4"/>
      <c r="T790" s="4"/>
      <c r="U790" s="4"/>
    </row>
    <row x14ac:dyDescent="0.25" r="791" customHeight="1" ht="12.75">
      <c r="A791" s="4"/>
      <c r="B791" s="29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29"/>
      <c r="N791" s="29"/>
      <c r="O791" s="29"/>
      <c r="P791" s="32"/>
      <c r="Q791" s="32"/>
      <c r="R791" s="4"/>
      <c r="S791" s="4"/>
      <c r="T791" s="4"/>
      <c r="U791" s="4"/>
    </row>
    <row x14ac:dyDescent="0.25" r="792" customHeight="1" ht="12.75">
      <c r="A792" s="4"/>
      <c r="B792" s="29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29"/>
      <c r="N792" s="29"/>
      <c r="O792" s="29"/>
      <c r="P792" s="32"/>
      <c r="Q792" s="32"/>
      <c r="R792" s="4"/>
      <c r="S792" s="4"/>
      <c r="T792" s="4"/>
      <c r="U792" s="4"/>
    </row>
    <row x14ac:dyDescent="0.25" r="793" customHeight="1" ht="12.75">
      <c r="A793" s="4"/>
      <c r="B793" s="29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29"/>
      <c r="N793" s="29"/>
      <c r="O793" s="29"/>
      <c r="P793" s="32"/>
      <c r="Q793" s="32"/>
      <c r="R793" s="4"/>
      <c r="S793" s="4"/>
      <c r="T793" s="4"/>
      <c r="U793" s="4"/>
    </row>
    <row x14ac:dyDescent="0.25" r="794" customHeight="1" ht="12.75">
      <c r="A794" s="4"/>
      <c r="B794" s="29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29"/>
      <c r="N794" s="29"/>
      <c r="O794" s="29"/>
      <c r="P794" s="32"/>
      <c r="Q794" s="32"/>
      <c r="R794" s="4"/>
      <c r="S794" s="4"/>
      <c r="T794" s="4"/>
      <c r="U794" s="4"/>
    </row>
    <row x14ac:dyDescent="0.25" r="795" customHeight="1" ht="12.75">
      <c r="A795" s="4"/>
      <c r="B795" s="29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29"/>
      <c r="N795" s="29"/>
      <c r="O795" s="29"/>
      <c r="P795" s="32"/>
      <c r="Q795" s="32"/>
      <c r="R795" s="4"/>
      <c r="S795" s="4"/>
      <c r="T795" s="4"/>
      <c r="U795" s="4"/>
    </row>
    <row x14ac:dyDescent="0.25" r="796" customHeight="1" ht="12.75">
      <c r="A796" s="4"/>
      <c r="B796" s="29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29"/>
      <c r="N796" s="29"/>
      <c r="O796" s="29"/>
      <c r="P796" s="32"/>
      <c r="Q796" s="32"/>
      <c r="R796" s="4"/>
      <c r="S796" s="4"/>
      <c r="T796" s="4"/>
      <c r="U796" s="4"/>
    </row>
    <row x14ac:dyDescent="0.25" r="797" customHeight="1" ht="12.75">
      <c r="A797" s="4"/>
      <c r="B797" s="29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29"/>
      <c r="N797" s="29"/>
      <c r="O797" s="29"/>
      <c r="P797" s="32"/>
      <c r="Q797" s="32"/>
      <c r="R797" s="4"/>
      <c r="S797" s="4"/>
      <c r="T797" s="4"/>
      <c r="U797" s="4"/>
    </row>
    <row x14ac:dyDescent="0.25" r="798" customHeight="1" ht="12.75">
      <c r="A798" s="4"/>
      <c r="B798" s="29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29"/>
      <c r="N798" s="29"/>
      <c r="O798" s="29"/>
      <c r="P798" s="32"/>
      <c r="Q798" s="32"/>
      <c r="R798" s="4"/>
      <c r="S798" s="4"/>
      <c r="T798" s="4"/>
      <c r="U798" s="4"/>
    </row>
    <row x14ac:dyDescent="0.25" r="799" customHeight="1" ht="12.75">
      <c r="A799" s="4"/>
      <c r="B799" s="29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29"/>
      <c r="N799" s="29"/>
      <c r="O799" s="29"/>
      <c r="P799" s="32"/>
      <c r="Q799" s="32"/>
      <c r="R799" s="4"/>
      <c r="S799" s="4"/>
      <c r="T799" s="4"/>
      <c r="U799" s="4"/>
    </row>
    <row x14ac:dyDescent="0.25" r="800" customHeight="1" ht="12.75">
      <c r="A800" s="4"/>
      <c r="B800" s="29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29"/>
      <c r="N800" s="29"/>
      <c r="O800" s="29"/>
      <c r="P800" s="32"/>
      <c r="Q800" s="32"/>
      <c r="R800" s="4"/>
      <c r="S800" s="4"/>
      <c r="T800" s="4"/>
      <c r="U800" s="4"/>
    </row>
    <row x14ac:dyDescent="0.25" r="801" customHeight="1" ht="12.75">
      <c r="A801" s="4"/>
      <c r="B801" s="29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29"/>
      <c r="N801" s="29"/>
      <c r="O801" s="29"/>
      <c r="P801" s="32"/>
      <c r="Q801" s="32"/>
      <c r="R801" s="4"/>
      <c r="S801" s="4"/>
      <c r="T801" s="4"/>
      <c r="U801" s="4"/>
    </row>
    <row x14ac:dyDescent="0.25" r="802" customHeight="1" ht="12.75">
      <c r="A802" s="4"/>
      <c r="B802" s="29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29"/>
      <c r="N802" s="29"/>
      <c r="O802" s="29"/>
      <c r="P802" s="32"/>
      <c r="Q802" s="32"/>
      <c r="R802" s="4"/>
      <c r="S802" s="4"/>
      <c r="T802" s="4"/>
      <c r="U802" s="4"/>
    </row>
    <row x14ac:dyDescent="0.25" r="803" customHeight="1" ht="12.75">
      <c r="A803" s="4"/>
      <c r="B803" s="29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29"/>
      <c r="N803" s="29"/>
      <c r="O803" s="29"/>
      <c r="P803" s="32"/>
      <c r="Q803" s="32"/>
      <c r="R803" s="4"/>
      <c r="S803" s="4"/>
      <c r="T803" s="4"/>
      <c r="U803" s="4"/>
    </row>
    <row x14ac:dyDescent="0.25" r="804" customHeight="1" ht="12.75">
      <c r="A804" s="4"/>
      <c r="B804" s="29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29"/>
      <c r="N804" s="29"/>
      <c r="O804" s="29"/>
      <c r="P804" s="32"/>
      <c r="Q804" s="32"/>
      <c r="R804" s="4"/>
      <c r="S804" s="4"/>
      <c r="T804" s="4"/>
      <c r="U804" s="4"/>
    </row>
    <row x14ac:dyDescent="0.25" r="805" customHeight="1" ht="12.75">
      <c r="A805" s="4"/>
      <c r="B805" s="29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29"/>
      <c r="N805" s="29"/>
      <c r="O805" s="29"/>
      <c r="P805" s="32"/>
      <c r="Q805" s="32"/>
      <c r="R805" s="4"/>
      <c r="S805" s="4"/>
      <c r="T805" s="4"/>
      <c r="U805" s="4"/>
    </row>
    <row x14ac:dyDescent="0.25" r="806" customHeight="1" ht="12.75">
      <c r="A806" s="4"/>
      <c r="B806" s="29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29"/>
      <c r="N806" s="29"/>
      <c r="O806" s="29"/>
      <c r="P806" s="32"/>
      <c r="Q806" s="32"/>
      <c r="R806" s="4"/>
      <c r="S806" s="4"/>
      <c r="T806" s="4"/>
      <c r="U806" s="4"/>
    </row>
    <row x14ac:dyDescent="0.25" r="807" customHeight="1" ht="12.75">
      <c r="A807" s="4"/>
      <c r="B807" s="29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29"/>
      <c r="N807" s="29"/>
      <c r="O807" s="29"/>
      <c r="P807" s="32"/>
      <c r="Q807" s="32"/>
      <c r="R807" s="4"/>
      <c r="S807" s="4"/>
      <c r="T807" s="4"/>
      <c r="U807" s="4"/>
    </row>
    <row x14ac:dyDescent="0.25" r="808" customHeight="1" ht="12.75">
      <c r="A808" s="4"/>
      <c r="B808" s="29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29"/>
      <c r="N808" s="29"/>
      <c r="O808" s="29"/>
      <c r="P808" s="32"/>
      <c r="Q808" s="32"/>
      <c r="R808" s="4"/>
      <c r="S808" s="4"/>
      <c r="T808" s="4"/>
      <c r="U808" s="4"/>
    </row>
    <row x14ac:dyDescent="0.25" r="809" customHeight="1" ht="12.75">
      <c r="A809" s="4"/>
      <c r="B809" s="29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29"/>
      <c r="N809" s="29"/>
      <c r="O809" s="29"/>
      <c r="P809" s="32"/>
      <c r="Q809" s="32"/>
      <c r="R809" s="4"/>
      <c r="S809" s="4"/>
      <c r="T809" s="4"/>
      <c r="U809" s="4"/>
    </row>
    <row x14ac:dyDescent="0.25" r="810" customHeight="1" ht="12.75">
      <c r="A810" s="4"/>
      <c r="B810" s="29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29"/>
      <c r="N810" s="29"/>
      <c r="O810" s="29"/>
      <c r="P810" s="32"/>
      <c r="Q810" s="32"/>
      <c r="R810" s="4"/>
      <c r="S810" s="4"/>
      <c r="T810" s="4"/>
      <c r="U810" s="4"/>
    </row>
    <row x14ac:dyDescent="0.25" r="811" customHeight="1" ht="12.75">
      <c r="A811" s="4"/>
      <c r="B811" s="29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29"/>
      <c r="N811" s="29"/>
      <c r="O811" s="29"/>
      <c r="P811" s="32"/>
      <c r="Q811" s="32"/>
      <c r="R811" s="4"/>
      <c r="S811" s="4"/>
      <c r="T811" s="4"/>
      <c r="U811" s="4"/>
    </row>
    <row x14ac:dyDescent="0.25" r="812" customHeight="1" ht="12.75">
      <c r="A812" s="4"/>
      <c r="B812" s="29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29"/>
      <c r="N812" s="29"/>
      <c r="O812" s="29"/>
      <c r="P812" s="32"/>
      <c r="Q812" s="32"/>
      <c r="R812" s="4"/>
      <c r="S812" s="4"/>
      <c r="T812" s="4"/>
      <c r="U812" s="4"/>
    </row>
    <row x14ac:dyDescent="0.25" r="813" customHeight="1" ht="12.75">
      <c r="A813" s="4"/>
      <c r="B813" s="29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29"/>
      <c r="N813" s="29"/>
      <c r="O813" s="29"/>
      <c r="P813" s="32"/>
      <c r="Q813" s="32"/>
      <c r="R813" s="4"/>
      <c r="S813" s="4"/>
      <c r="T813" s="4"/>
      <c r="U813" s="4"/>
    </row>
    <row x14ac:dyDescent="0.25" r="814" customHeight="1" ht="12.75">
      <c r="A814" s="4"/>
      <c r="B814" s="29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29"/>
      <c r="N814" s="29"/>
      <c r="O814" s="29"/>
      <c r="P814" s="32"/>
      <c r="Q814" s="32"/>
      <c r="R814" s="4"/>
      <c r="S814" s="4"/>
      <c r="T814" s="4"/>
      <c r="U814" s="4"/>
    </row>
    <row x14ac:dyDescent="0.25" r="815" customHeight="1" ht="12.75">
      <c r="A815" s="4"/>
      <c r="B815" s="29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29"/>
      <c r="N815" s="29"/>
      <c r="O815" s="29"/>
      <c r="P815" s="32"/>
      <c r="Q815" s="32"/>
      <c r="R815" s="4"/>
      <c r="S815" s="4"/>
      <c r="T815" s="4"/>
      <c r="U815" s="4"/>
    </row>
    <row x14ac:dyDescent="0.25" r="816" customHeight="1" ht="12.75">
      <c r="A816" s="4"/>
      <c r="B816" s="29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29"/>
      <c r="N816" s="29"/>
      <c r="O816" s="29"/>
      <c r="P816" s="32"/>
      <c r="Q816" s="32"/>
      <c r="R816" s="4"/>
      <c r="S816" s="4"/>
      <c r="T816" s="4"/>
      <c r="U816" s="4"/>
    </row>
    <row x14ac:dyDescent="0.25" r="817" customHeight="1" ht="12.75">
      <c r="A817" s="4"/>
      <c r="B817" s="29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29"/>
      <c r="N817" s="29"/>
      <c r="O817" s="29"/>
      <c r="P817" s="32"/>
      <c r="Q817" s="32"/>
      <c r="R817" s="4"/>
      <c r="S817" s="4"/>
      <c r="T817" s="4"/>
      <c r="U817" s="4"/>
    </row>
    <row x14ac:dyDescent="0.25" r="818" customHeight="1" ht="12.75">
      <c r="A818" s="4"/>
      <c r="B818" s="29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29"/>
      <c r="N818" s="29"/>
      <c r="O818" s="29"/>
      <c r="P818" s="32"/>
      <c r="Q818" s="32"/>
      <c r="R818" s="4"/>
      <c r="S818" s="4"/>
      <c r="T818" s="4"/>
      <c r="U818" s="4"/>
    </row>
    <row x14ac:dyDescent="0.25" r="819" customHeight="1" ht="12.75">
      <c r="A819" s="4"/>
      <c r="B819" s="29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29"/>
      <c r="N819" s="29"/>
      <c r="O819" s="29"/>
      <c r="P819" s="32"/>
      <c r="Q819" s="32"/>
      <c r="R819" s="4"/>
      <c r="S819" s="4"/>
      <c r="T819" s="4"/>
      <c r="U819" s="4"/>
    </row>
    <row x14ac:dyDescent="0.25" r="820" customHeight="1" ht="12.75">
      <c r="A820" s="4"/>
      <c r="B820" s="29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29"/>
      <c r="N820" s="29"/>
      <c r="O820" s="29"/>
      <c r="P820" s="32"/>
      <c r="Q820" s="32"/>
      <c r="R820" s="4"/>
      <c r="S820" s="4"/>
      <c r="T820" s="4"/>
      <c r="U820" s="4"/>
    </row>
    <row x14ac:dyDescent="0.25" r="821" customHeight="1" ht="12.75">
      <c r="A821" s="4"/>
      <c r="B821" s="29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29"/>
      <c r="N821" s="29"/>
      <c r="O821" s="29"/>
      <c r="P821" s="32"/>
      <c r="Q821" s="32"/>
      <c r="R821" s="4"/>
      <c r="S821" s="4"/>
      <c r="T821" s="4"/>
      <c r="U821" s="4"/>
    </row>
    <row x14ac:dyDescent="0.25" r="822" customHeight="1" ht="12.75">
      <c r="A822" s="4"/>
      <c r="B822" s="29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29"/>
      <c r="N822" s="29"/>
      <c r="O822" s="29"/>
      <c r="P822" s="32"/>
      <c r="Q822" s="32"/>
      <c r="R822" s="4"/>
      <c r="S822" s="4"/>
      <c r="T822" s="4"/>
      <c r="U822" s="4"/>
    </row>
    <row x14ac:dyDescent="0.25" r="823" customHeight="1" ht="12.75">
      <c r="A823" s="4"/>
      <c r="B823" s="29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29"/>
      <c r="N823" s="29"/>
      <c r="O823" s="29"/>
      <c r="P823" s="32"/>
      <c r="Q823" s="32"/>
      <c r="R823" s="4"/>
      <c r="S823" s="4"/>
      <c r="T823" s="4"/>
      <c r="U823" s="4"/>
    </row>
    <row x14ac:dyDescent="0.25" r="824" customHeight="1" ht="12.75">
      <c r="A824" s="4"/>
      <c r="B824" s="29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29"/>
      <c r="N824" s="29"/>
      <c r="O824" s="29"/>
      <c r="P824" s="32"/>
      <c r="Q824" s="32"/>
      <c r="R824" s="4"/>
      <c r="S824" s="4"/>
      <c r="T824" s="4"/>
      <c r="U824" s="4"/>
    </row>
    <row x14ac:dyDescent="0.25" r="825" customHeight="1" ht="12.75">
      <c r="A825" s="4"/>
      <c r="B825" s="29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29"/>
      <c r="N825" s="29"/>
      <c r="O825" s="29"/>
      <c r="P825" s="32"/>
      <c r="Q825" s="32"/>
      <c r="R825" s="4"/>
      <c r="S825" s="4"/>
      <c r="T825" s="4"/>
      <c r="U825" s="4"/>
    </row>
    <row x14ac:dyDescent="0.25" r="826" customHeight="1" ht="12.75">
      <c r="A826" s="4"/>
      <c r="B826" s="29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29"/>
      <c r="N826" s="29"/>
      <c r="O826" s="29"/>
      <c r="P826" s="32"/>
      <c r="Q826" s="32"/>
      <c r="R826" s="4"/>
      <c r="S826" s="4"/>
      <c r="T826" s="4"/>
      <c r="U826" s="4"/>
    </row>
    <row x14ac:dyDescent="0.25" r="827" customHeight="1" ht="12.75">
      <c r="A827" s="4"/>
      <c r="B827" s="29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29"/>
      <c r="N827" s="29"/>
      <c r="O827" s="29"/>
      <c r="P827" s="32"/>
      <c r="Q827" s="32"/>
      <c r="R827" s="4"/>
      <c r="S827" s="4"/>
      <c r="T827" s="4"/>
      <c r="U827" s="4"/>
    </row>
    <row x14ac:dyDescent="0.25" r="828" customHeight="1" ht="12.75">
      <c r="A828" s="4"/>
      <c r="B828" s="29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29"/>
      <c r="N828" s="29"/>
      <c r="O828" s="29"/>
      <c r="P828" s="32"/>
      <c r="Q828" s="32"/>
      <c r="R828" s="4"/>
      <c r="S828" s="4"/>
      <c r="T828" s="4"/>
      <c r="U828" s="4"/>
    </row>
    <row x14ac:dyDescent="0.25" r="829" customHeight="1" ht="12.75">
      <c r="A829" s="4"/>
      <c r="B829" s="29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29"/>
      <c r="N829" s="29"/>
      <c r="O829" s="29"/>
      <c r="P829" s="32"/>
      <c r="Q829" s="32"/>
      <c r="R829" s="4"/>
      <c r="S829" s="4"/>
      <c r="T829" s="4"/>
      <c r="U829" s="4"/>
    </row>
    <row x14ac:dyDescent="0.25" r="830" customHeight="1" ht="12.75">
      <c r="A830" s="4"/>
      <c r="B830" s="29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29"/>
      <c r="N830" s="29"/>
      <c r="O830" s="29"/>
      <c r="P830" s="32"/>
      <c r="Q830" s="32"/>
      <c r="R830" s="4"/>
      <c r="S830" s="4"/>
      <c r="T830" s="4"/>
      <c r="U830" s="4"/>
    </row>
    <row x14ac:dyDescent="0.25" r="831" customHeight="1" ht="12.75">
      <c r="A831" s="4"/>
      <c r="B831" s="29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29"/>
      <c r="N831" s="29"/>
      <c r="O831" s="29"/>
      <c r="P831" s="32"/>
      <c r="Q831" s="32"/>
      <c r="R831" s="4"/>
      <c r="S831" s="4"/>
      <c r="T831" s="4"/>
      <c r="U831" s="4"/>
    </row>
    <row x14ac:dyDescent="0.25" r="832" customHeight="1" ht="12.75">
      <c r="A832" s="4"/>
      <c r="B832" s="29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29"/>
      <c r="N832" s="29"/>
      <c r="O832" s="29"/>
      <c r="P832" s="32"/>
      <c r="Q832" s="32"/>
      <c r="R832" s="4"/>
      <c r="S832" s="4"/>
      <c r="T832" s="4"/>
      <c r="U832" s="4"/>
    </row>
    <row x14ac:dyDescent="0.25" r="833" customHeight="1" ht="12.75">
      <c r="A833" s="4"/>
      <c r="B833" s="29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29"/>
      <c r="N833" s="29"/>
      <c r="O833" s="29"/>
      <c r="P833" s="32"/>
      <c r="Q833" s="32"/>
      <c r="R833" s="4"/>
      <c r="S833" s="4"/>
      <c r="T833" s="4"/>
      <c r="U833" s="4"/>
    </row>
    <row x14ac:dyDescent="0.25" r="834" customHeight="1" ht="12.75">
      <c r="A834" s="4"/>
      <c r="B834" s="29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29"/>
      <c r="N834" s="29"/>
      <c r="O834" s="29"/>
      <c r="P834" s="32"/>
      <c r="Q834" s="32"/>
      <c r="R834" s="4"/>
      <c r="S834" s="4"/>
      <c r="T834" s="4"/>
      <c r="U834" s="4"/>
    </row>
    <row x14ac:dyDescent="0.25" r="835" customHeight="1" ht="12.75">
      <c r="A835" s="4"/>
      <c r="B835" s="29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29"/>
      <c r="N835" s="29"/>
      <c r="O835" s="29"/>
      <c r="P835" s="32"/>
      <c r="Q835" s="32"/>
      <c r="R835" s="4"/>
      <c r="S835" s="4"/>
      <c r="T835" s="4"/>
      <c r="U835" s="4"/>
    </row>
    <row x14ac:dyDescent="0.25" r="836" customHeight="1" ht="12.75">
      <c r="A836" s="4"/>
      <c r="B836" s="29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29"/>
      <c r="N836" s="29"/>
      <c r="O836" s="29"/>
      <c r="P836" s="32"/>
      <c r="Q836" s="32"/>
      <c r="R836" s="4"/>
      <c r="S836" s="4"/>
      <c r="T836" s="4"/>
      <c r="U836" s="4"/>
    </row>
    <row x14ac:dyDescent="0.25" r="837" customHeight="1" ht="12.75">
      <c r="A837" s="4"/>
      <c r="B837" s="29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29"/>
      <c r="N837" s="29"/>
      <c r="O837" s="29"/>
      <c r="P837" s="32"/>
      <c r="Q837" s="32"/>
      <c r="R837" s="4"/>
      <c r="S837" s="4"/>
      <c r="T837" s="4"/>
      <c r="U837" s="4"/>
    </row>
    <row x14ac:dyDescent="0.25" r="838" customHeight="1" ht="12.75">
      <c r="A838" s="4"/>
      <c r="B838" s="29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29"/>
      <c r="N838" s="29"/>
      <c r="O838" s="29"/>
      <c r="P838" s="32"/>
      <c r="Q838" s="32"/>
      <c r="R838" s="4"/>
      <c r="S838" s="4"/>
      <c r="T838" s="4"/>
      <c r="U838" s="4"/>
    </row>
    <row x14ac:dyDescent="0.25" r="839" customHeight="1" ht="12.75">
      <c r="A839" s="4"/>
      <c r="B839" s="29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29"/>
      <c r="N839" s="29"/>
      <c r="O839" s="29"/>
      <c r="P839" s="32"/>
      <c r="Q839" s="32"/>
      <c r="R839" s="4"/>
      <c r="S839" s="4"/>
      <c r="T839" s="4"/>
      <c r="U839" s="4"/>
    </row>
    <row x14ac:dyDescent="0.25" r="840" customHeight="1" ht="12.75">
      <c r="A840" s="4"/>
      <c r="B840" s="29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29"/>
      <c r="N840" s="29"/>
      <c r="O840" s="29"/>
      <c r="P840" s="32"/>
      <c r="Q840" s="32"/>
      <c r="R840" s="4"/>
      <c r="S840" s="4"/>
      <c r="T840" s="4"/>
      <c r="U840" s="4"/>
    </row>
    <row x14ac:dyDescent="0.25" r="841" customHeight="1" ht="12.75">
      <c r="A841" s="4"/>
      <c r="B841" s="29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29"/>
      <c r="N841" s="29"/>
      <c r="O841" s="29"/>
      <c r="P841" s="32"/>
      <c r="Q841" s="32"/>
      <c r="R841" s="4"/>
      <c r="S841" s="4"/>
      <c r="T841" s="4"/>
      <c r="U841" s="4"/>
    </row>
    <row x14ac:dyDescent="0.25" r="842" customHeight="1" ht="12.75">
      <c r="A842" s="4"/>
      <c r="B842" s="29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29"/>
      <c r="N842" s="29"/>
      <c r="O842" s="29"/>
      <c r="P842" s="32"/>
      <c r="Q842" s="32"/>
      <c r="R842" s="4"/>
      <c r="S842" s="4"/>
      <c r="T842" s="4"/>
      <c r="U842" s="4"/>
    </row>
    <row x14ac:dyDescent="0.25" r="843" customHeight="1" ht="12.75">
      <c r="A843" s="4"/>
      <c r="B843" s="29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29"/>
      <c r="N843" s="29"/>
      <c r="O843" s="29"/>
      <c r="P843" s="32"/>
      <c r="Q843" s="32"/>
      <c r="R843" s="4"/>
      <c r="S843" s="4"/>
      <c r="T843" s="4"/>
      <c r="U843" s="4"/>
    </row>
    <row x14ac:dyDescent="0.25" r="844" customHeight="1" ht="12.75">
      <c r="A844" s="4"/>
      <c r="B844" s="29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29"/>
      <c r="N844" s="29"/>
      <c r="O844" s="29"/>
      <c r="P844" s="32"/>
      <c r="Q844" s="32"/>
      <c r="R844" s="4"/>
      <c r="S844" s="4"/>
      <c r="T844" s="4"/>
      <c r="U844" s="4"/>
    </row>
    <row x14ac:dyDescent="0.25" r="845" customHeight="1" ht="12.75">
      <c r="A845" s="4"/>
      <c r="B845" s="29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29"/>
      <c r="N845" s="29"/>
      <c r="O845" s="29"/>
      <c r="P845" s="32"/>
      <c r="Q845" s="32"/>
      <c r="R845" s="4"/>
      <c r="S845" s="4"/>
      <c r="T845" s="4"/>
      <c r="U845" s="4"/>
    </row>
    <row x14ac:dyDescent="0.25" r="846" customHeight="1" ht="12.75">
      <c r="A846" s="4"/>
      <c r="B846" s="29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29"/>
      <c r="N846" s="29"/>
      <c r="O846" s="29"/>
      <c r="P846" s="32"/>
      <c r="Q846" s="32"/>
      <c r="R846" s="4"/>
      <c r="S846" s="4"/>
      <c r="T846" s="4"/>
      <c r="U846" s="4"/>
    </row>
    <row x14ac:dyDescent="0.25" r="847" customHeight="1" ht="12.75">
      <c r="A847" s="4"/>
      <c r="B847" s="29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29"/>
      <c r="N847" s="29"/>
      <c r="O847" s="29"/>
      <c r="P847" s="32"/>
      <c r="Q847" s="32"/>
      <c r="R847" s="4"/>
      <c r="S847" s="4"/>
      <c r="T847" s="4"/>
      <c r="U847" s="4"/>
    </row>
    <row x14ac:dyDescent="0.25" r="848" customHeight="1" ht="12.75">
      <c r="A848" s="4"/>
      <c r="B848" s="29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29"/>
      <c r="N848" s="29"/>
      <c r="O848" s="29"/>
      <c r="P848" s="32"/>
      <c r="Q848" s="32"/>
      <c r="R848" s="4"/>
      <c r="S848" s="4"/>
      <c r="T848" s="4"/>
      <c r="U848" s="4"/>
    </row>
    <row x14ac:dyDescent="0.25" r="849" customHeight="1" ht="12.75">
      <c r="A849" s="4"/>
      <c r="B849" s="29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29"/>
      <c r="N849" s="29"/>
      <c r="O849" s="29"/>
      <c r="P849" s="32"/>
      <c r="Q849" s="32"/>
      <c r="R849" s="4"/>
      <c r="S849" s="4"/>
      <c r="T849" s="4"/>
      <c r="U849" s="4"/>
    </row>
    <row x14ac:dyDescent="0.25" r="850" customHeight="1" ht="12.75">
      <c r="A850" s="4"/>
      <c r="B850" s="29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29"/>
      <c r="N850" s="29"/>
      <c r="O850" s="29"/>
      <c r="P850" s="32"/>
      <c r="Q850" s="32"/>
      <c r="R850" s="4"/>
      <c r="S850" s="4"/>
      <c r="T850" s="4"/>
      <c r="U850" s="4"/>
    </row>
    <row x14ac:dyDescent="0.25" r="851" customHeight="1" ht="12.75">
      <c r="A851" s="4"/>
      <c r="B851" s="29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29"/>
      <c r="N851" s="29"/>
      <c r="O851" s="29"/>
      <c r="P851" s="32"/>
      <c r="Q851" s="32"/>
      <c r="R851" s="4"/>
      <c r="S851" s="4"/>
      <c r="T851" s="4"/>
      <c r="U851" s="4"/>
    </row>
    <row x14ac:dyDescent="0.25" r="852" customHeight="1" ht="12.75">
      <c r="A852" s="4"/>
      <c r="B852" s="29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29"/>
      <c r="N852" s="29"/>
      <c r="O852" s="29"/>
      <c r="P852" s="32"/>
      <c r="Q852" s="32"/>
      <c r="R852" s="4"/>
      <c r="S852" s="4"/>
      <c r="T852" s="4"/>
      <c r="U852" s="4"/>
    </row>
    <row x14ac:dyDescent="0.25" r="853" customHeight="1" ht="12.75">
      <c r="A853" s="4"/>
      <c r="B853" s="29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29"/>
      <c r="N853" s="29"/>
      <c r="O853" s="29"/>
      <c r="P853" s="32"/>
      <c r="Q853" s="32"/>
      <c r="R853" s="4"/>
      <c r="S853" s="4"/>
      <c r="T853" s="4"/>
      <c r="U853" s="4"/>
    </row>
    <row x14ac:dyDescent="0.25" r="854" customHeight="1" ht="12.75">
      <c r="A854" s="4"/>
      <c r="B854" s="29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29"/>
      <c r="N854" s="29"/>
      <c r="O854" s="29"/>
      <c r="P854" s="32"/>
      <c r="Q854" s="32"/>
      <c r="R854" s="4"/>
      <c r="S854" s="4"/>
      <c r="T854" s="4"/>
      <c r="U854" s="4"/>
    </row>
    <row x14ac:dyDescent="0.25" r="855" customHeight="1" ht="12.75">
      <c r="A855" s="4"/>
      <c r="B855" s="29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29"/>
      <c r="N855" s="29"/>
      <c r="O855" s="29"/>
      <c r="P855" s="32"/>
      <c r="Q855" s="32"/>
      <c r="R855" s="4"/>
      <c r="S855" s="4"/>
      <c r="T855" s="4"/>
      <c r="U855" s="4"/>
    </row>
    <row x14ac:dyDescent="0.25" r="856" customHeight="1" ht="12.75">
      <c r="A856" s="4"/>
      <c r="B856" s="29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29"/>
      <c r="N856" s="29"/>
      <c r="O856" s="29"/>
      <c r="P856" s="32"/>
      <c r="Q856" s="32"/>
      <c r="R856" s="4"/>
      <c r="S856" s="4"/>
      <c r="T856" s="4"/>
      <c r="U856" s="4"/>
    </row>
    <row x14ac:dyDescent="0.25" r="857" customHeight="1" ht="12.75">
      <c r="A857" s="4"/>
      <c r="B857" s="29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29"/>
      <c r="N857" s="29"/>
      <c r="O857" s="29"/>
      <c r="P857" s="32"/>
      <c r="Q857" s="32"/>
      <c r="R857" s="4"/>
      <c r="S857" s="4"/>
      <c r="T857" s="4"/>
      <c r="U857" s="4"/>
    </row>
    <row x14ac:dyDescent="0.25" r="858" customHeight="1" ht="12.75">
      <c r="A858" s="4"/>
      <c r="B858" s="29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29"/>
      <c r="N858" s="29"/>
      <c r="O858" s="29"/>
      <c r="P858" s="32"/>
      <c r="Q858" s="32"/>
      <c r="R858" s="4"/>
      <c r="S858" s="4"/>
      <c r="T858" s="4"/>
      <c r="U858" s="4"/>
    </row>
    <row x14ac:dyDescent="0.25" r="859" customHeight="1" ht="12.75">
      <c r="A859" s="4"/>
      <c r="B859" s="29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29"/>
      <c r="N859" s="29"/>
      <c r="O859" s="29"/>
      <c r="P859" s="32"/>
      <c r="Q859" s="32"/>
      <c r="R859" s="4"/>
      <c r="S859" s="4"/>
      <c r="T859" s="4"/>
      <c r="U859" s="4"/>
    </row>
    <row x14ac:dyDescent="0.25" r="860" customHeight="1" ht="12.75">
      <c r="A860" s="4"/>
      <c r="B860" s="29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29"/>
      <c r="N860" s="29"/>
      <c r="O860" s="29"/>
      <c r="P860" s="32"/>
      <c r="Q860" s="32"/>
      <c r="R860" s="4"/>
      <c r="S860" s="4"/>
      <c r="T860" s="4"/>
      <c r="U860" s="4"/>
    </row>
    <row x14ac:dyDescent="0.25" r="861" customHeight="1" ht="12.75">
      <c r="A861" s="4"/>
      <c r="B861" s="29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29"/>
      <c r="N861" s="29"/>
      <c r="O861" s="29"/>
      <c r="P861" s="32"/>
      <c r="Q861" s="32"/>
      <c r="R861" s="4"/>
      <c r="S861" s="4"/>
      <c r="T861" s="4"/>
      <c r="U861" s="4"/>
    </row>
    <row x14ac:dyDescent="0.25" r="862" customHeight="1" ht="12.75">
      <c r="A862" s="4"/>
      <c r="B862" s="29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29"/>
      <c r="N862" s="29"/>
      <c r="O862" s="29"/>
      <c r="P862" s="32"/>
      <c r="Q862" s="32"/>
      <c r="R862" s="4"/>
      <c r="S862" s="4"/>
      <c r="T862" s="4"/>
      <c r="U862" s="4"/>
    </row>
    <row x14ac:dyDescent="0.25" r="863" customHeight="1" ht="12.75">
      <c r="A863" s="4"/>
      <c r="B863" s="29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29"/>
      <c r="N863" s="29"/>
      <c r="O863" s="29"/>
      <c r="P863" s="32"/>
      <c r="Q863" s="32"/>
      <c r="R863" s="4"/>
      <c r="S863" s="4"/>
      <c r="T863" s="4"/>
      <c r="U863" s="4"/>
    </row>
    <row x14ac:dyDescent="0.25" r="864" customHeight="1" ht="12.75">
      <c r="A864" s="4"/>
      <c r="B864" s="29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29"/>
      <c r="N864" s="29"/>
      <c r="O864" s="29"/>
      <c r="P864" s="32"/>
      <c r="Q864" s="32"/>
      <c r="R864" s="4"/>
      <c r="S864" s="4"/>
      <c r="T864" s="4"/>
      <c r="U864" s="4"/>
    </row>
    <row x14ac:dyDescent="0.25" r="865" customHeight="1" ht="12.75">
      <c r="A865" s="4"/>
      <c r="B865" s="29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29"/>
      <c r="N865" s="29"/>
      <c r="O865" s="29"/>
      <c r="P865" s="32"/>
      <c r="Q865" s="32"/>
      <c r="R865" s="4"/>
      <c r="S865" s="4"/>
      <c r="T865" s="4"/>
      <c r="U865" s="4"/>
    </row>
    <row x14ac:dyDescent="0.25" r="866" customHeight="1" ht="12.75">
      <c r="A866" s="4"/>
      <c r="B866" s="29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29"/>
      <c r="N866" s="29"/>
      <c r="O866" s="29"/>
      <c r="P866" s="32"/>
      <c r="Q866" s="32"/>
      <c r="R866" s="4"/>
      <c r="S866" s="4"/>
      <c r="T866" s="4"/>
      <c r="U866" s="4"/>
    </row>
    <row x14ac:dyDescent="0.25" r="867" customHeight="1" ht="12.75">
      <c r="A867" s="4"/>
      <c r="B867" s="29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29"/>
      <c r="N867" s="29"/>
      <c r="O867" s="29"/>
      <c r="P867" s="32"/>
      <c r="Q867" s="32"/>
      <c r="R867" s="4"/>
      <c r="S867" s="4"/>
      <c r="T867" s="4"/>
      <c r="U867" s="4"/>
    </row>
    <row x14ac:dyDescent="0.25" r="868" customHeight="1" ht="12.75">
      <c r="A868" s="4"/>
      <c r="B868" s="29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29"/>
      <c r="N868" s="29"/>
      <c r="O868" s="29"/>
      <c r="P868" s="32"/>
      <c r="Q868" s="32"/>
      <c r="R868" s="4"/>
      <c r="S868" s="4"/>
      <c r="T868" s="4"/>
      <c r="U868" s="4"/>
    </row>
    <row x14ac:dyDescent="0.25" r="869" customHeight="1" ht="12.75">
      <c r="A869" s="4"/>
      <c r="B869" s="29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29"/>
      <c r="N869" s="29"/>
      <c r="O869" s="29"/>
      <c r="P869" s="32"/>
      <c r="Q869" s="32"/>
      <c r="R869" s="4"/>
      <c r="S869" s="4"/>
      <c r="T869" s="4"/>
      <c r="U869" s="4"/>
    </row>
    <row x14ac:dyDescent="0.25" r="870" customHeight="1" ht="12.75">
      <c r="A870" s="4"/>
      <c r="B870" s="29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29"/>
      <c r="N870" s="29"/>
      <c r="O870" s="29"/>
      <c r="P870" s="32"/>
      <c r="Q870" s="32"/>
      <c r="R870" s="4"/>
      <c r="S870" s="4"/>
      <c r="T870" s="4"/>
      <c r="U870" s="4"/>
    </row>
    <row x14ac:dyDescent="0.25" r="871" customHeight="1" ht="12.75">
      <c r="A871" s="4"/>
      <c r="B871" s="29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29"/>
      <c r="N871" s="29"/>
      <c r="O871" s="29"/>
      <c r="P871" s="32"/>
      <c r="Q871" s="32"/>
      <c r="R871" s="4"/>
      <c r="S871" s="4"/>
      <c r="T871" s="4"/>
      <c r="U871" s="4"/>
    </row>
    <row x14ac:dyDescent="0.25" r="872" customHeight="1" ht="12.75">
      <c r="A872" s="4"/>
      <c r="B872" s="29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29"/>
      <c r="N872" s="29"/>
      <c r="O872" s="29"/>
      <c r="P872" s="32"/>
      <c r="Q872" s="32"/>
      <c r="R872" s="4"/>
      <c r="S872" s="4"/>
      <c r="T872" s="4"/>
      <c r="U872" s="4"/>
    </row>
    <row x14ac:dyDescent="0.25" r="873" customHeight="1" ht="12.75">
      <c r="A873" s="4"/>
      <c r="B873" s="29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29"/>
      <c r="N873" s="29"/>
      <c r="O873" s="29"/>
      <c r="P873" s="32"/>
      <c r="Q873" s="32"/>
      <c r="R873" s="4"/>
      <c r="S873" s="4"/>
      <c r="T873" s="4"/>
      <c r="U873" s="4"/>
    </row>
    <row x14ac:dyDescent="0.25" r="874" customHeight="1" ht="12.75">
      <c r="A874" s="4"/>
      <c r="B874" s="29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29"/>
      <c r="N874" s="29"/>
      <c r="O874" s="29"/>
      <c r="P874" s="32"/>
      <c r="Q874" s="32"/>
      <c r="R874" s="4"/>
      <c r="S874" s="4"/>
      <c r="T874" s="4"/>
      <c r="U874" s="4"/>
    </row>
    <row x14ac:dyDescent="0.25" r="875" customHeight="1" ht="12.75">
      <c r="A875" s="4"/>
      <c r="B875" s="29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29"/>
      <c r="N875" s="29"/>
      <c r="O875" s="29"/>
      <c r="P875" s="32"/>
      <c r="Q875" s="32"/>
      <c r="R875" s="4"/>
      <c r="S875" s="4"/>
      <c r="T875" s="4"/>
      <c r="U875" s="4"/>
    </row>
    <row x14ac:dyDescent="0.25" r="876" customHeight="1" ht="12.75">
      <c r="A876" s="4"/>
      <c r="B876" s="29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29"/>
      <c r="N876" s="29"/>
      <c r="O876" s="29"/>
      <c r="P876" s="32"/>
      <c r="Q876" s="32"/>
      <c r="R876" s="4"/>
      <c r="S876" s="4"/>
      <c r="T876" s="4"/>
      <c r="U876" s="4"/>
    </row>
    <row x14ac:dyDescent="0.25" r="877" customHeight="1" ht="12.75">
      <c r="A877" s="4"/>
      <c r="B877" s="29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29"/>
      <c r="N877" s="29"/>
      <c r="O877" s="29"/>
      <c r="P877" s="32"/>
      <c r="Q877" s="32"/>
      <c r="R877" s="4"/>
      <c r="S877" s="4"/>
      <c r="T877" s="4"/>
      <c r="U877" s="4"/>
    </row>
    <row x14ac:dyDescent="0.25" r="878" customHeight="1" ht="12.75">
      <c r="A878" s="4"/>
      <c r="B878" s="29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29"/>
      <c r="N878" s="29"/>
      <c r="O878" s="29"/>
      <c r="P878" s="32"/>
      <c r="Q878" s="32"/>
      <c r="R878" s="4"/>
      <c r="S878" s="4"/>
      <c r="T878" s="4"/>
      <c r="U878" s="4"/>
    </row>
    <row x14ac:dyDescent="0.25" r="879" customHeight="1" ht="12.75">
      <c r="A879" s="4"/>
      <c r="B879" s="29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29"/>
      <c r="N879" s="29"/>
      <c r="O879" s="29"/>
      <c r="P879" s="32"/>
      <c r="Q879" s="32"/>
      <c r="R879" s="4"/>
      <c r="S879" s="4"/>
      <c r="T879" s="4"/>
      <c r="U879" s="4"/>
    </row>
    <row x14ac:dyDescent="0.25" r="880" customHeight="1" ht="12.75">
      <c r="A880" s="4"/>
      <c r="B880" s="29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29"/>
      <c r="N880" s="29"/>
      <c r="O880" s="29"/>
      <c r="P880" s="32"/>
      <c r="Q880" s="32"/>
      <c r="R880" s="4"/>
      <c r="S880" s="4"/>
      <c r="T880" s="4"/>
      <c r="U880" s="4"/>
    </row>
    <row x14ac:dyDescent="0.25" r="881" customHeight="1" ht="12.75">
      <c r="A881" s="4"/>
      <c r="B881" s="29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29"/>
      <c r="N881" s="29"/>
      <c r="O881" s="29"/>
      <c r="P881" s="32"/>
      <c r="Q881" s="32"/>
      <c r="R881" s="4"/>
      <c r="S881" s="4"/>
      <c r="T881" s="4"/>
      <c r="U881" s="4"/>
    </row>
    <row x14ac:dyDescent="0.25" r="882" customHeight="1" ht="12.75">
      <c r="A882" s="4"/>
      <c r="B882" s="29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29"/>
      <c r="N882" s="29"/>
      <c r="O882" s="29"/>
      <c r="P882" s="32"/>
      <c r="Q882" s="32"/>
      <c r="R882" s="4"/>
      <c r="S882" s="4"/>
      <c r="T882" s="4"/>
      <c r="U882" s="4"/>
    </row>
    <row x14ac:dyDescent="0.25" r="883" customHeight="1" ht="12.75">
      <c r="A883" s="4"/>
      <c r="B883" s="29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29"/>
      <c r="N883" s="29"/>
      <c r="O883" s="29"/>
      <c r="P883" s="32"/>
      <c r="Q883" s="32"/>
      <c r="R883" s="4"/>
      <c r="S883" s="4"/>
      <c r="T883" s="4"/>
      <c r="U883" s="4"/>
    </row>
    <row x14ac:dyDescent="0.25" r="884" customHeight="1" ht="12.75">
      <c r="A884" s="4"/>
      <c r="B884" s="29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29"/>
      <c r="N884" s="29"/>
      <c r="O884" s="29"/>
      <c r="P884" s="32"/>
      <c r="Q884" s="32"/>
      <c r="R884" s="4"/>
      <c r="S884" s="4"/>
      <c r="T884" s="4"/>
      <c r="U884" s="4"/>
    </row>
    <row x14ac:dyDescent="0.25" r="885" customHeight="1" ht="12.75">
      <c r="A885" s="4"/>
      <c r="B885" s="29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29"/>
      <c r="N885" s="29"/>
      <c r="O885" s="29"/>
      <c r="P885" s="32"/>
      <c r="Q885" s="32"/>
      <c r="R885" s="4"/>
      <c r="S885" s="4"/>
      <c r="T885" s="4"/>
      <c r="U885" s="4"/>
    </row>
    <row x14ac:dyDescent="0.25" r="886" customHeight="1" ht="12.75">
      <c r="A886" s="4"/>
      <c r="B886" s="29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29"/>
      <c r="N886" s="29"/>
      <c r="O886" s="29"/>
      <c r="P886" s="32"/>
      <c r="Q886" s="32"/>
      <c r="R886" s="4"/>
      <c r="S886" s="4"/>
      <c r="T886" s="4"/>
      <c r="U886" s="4"/>
    </row>
    <row x14ac:dyDescent="0.25" r="887" customHeight="1" ht="12.75">
      <c r="A887" s="4"/>
      <c r="B887" s="29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29"/>
      <c r="N887" s="29"/>
      <c r="O887" s="29"/>
      <c r="P887" s="32"/>
      <c r="Q887" s="32"/>
      <c r="R887" s="4"/>
      <c r="S887" s="4"/>
      <c r="T887" s="4"/>
      <c r="U887" s="4"/>
    </row>
    <row x14ac:dyDescent="0.25" r="888" customHeight="1" ht="12.75">
      <c r="A888" s="4"/>
      <c r="B888" s="29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29"/>
      <c r="N888" s="29"/>
      <c r="O888" s="29"/>
      <c r="P888" s="32"/>
      <c r="Q888" s="32"/>
      <c r="R888" s="4"/>
      <c r="S888" s="4"/>
      <c r="T888" s="4"/>
      <c r="U888" s="4"/>
    </row>
    <row x14ac:dyDescent="0.25" r="889" customHeight="1" ht="12.75">
      <c r="A889" s="4"/>
      <c r="B889" s="29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29"/>
      <c r="N889" s="29"/>
      <c r="O889" s="29"/>
      <c r="P889" s="32"/>
      <c r="Q889" s="32"/>
      <c r="R889" s="4"/>
      <c r="S889" s="4"/>
      <c r="T889" s="4"/>
      <c r="U889" s="4"/>
    </row>
    <row x14ac:dyDescent="0.25" r="890" customHeight="1" ht="12.75">
      <c r="A890" s="4"/>
      <c r="B890" s="29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29"/>
      <c r="N890" s="29"/>
      <c r="O890" s="29"/>
      <c r="P890" s="32"/>
      <c r="Q890" s="32"/>
      <c r="R890" s="4"/>
      <c r="S890" s="4"/>
      <c r="T890" s="4"/>
      <c r="U890" s="4"/>
    </row>
    <row x14ac:dyDescent="0.25" r="891" customHeight="1" ht="12.75">
      <c r="A891" s="4"/>
      <c r="B891" s="29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29"/>
      <c r="N891" s="29"/>
      <c r="O891" s="29"/>
      <c r="P891" s="32"/>
      <c r="Q891" s="32"/>
      <c r="R891" s="4"/>
      <c r="S891" s="4"/>
      <c r="T891" s="4"/>
      <c r="U891" s="4"/>
    </row>
    <row x14ac:dyDescent="0.25" r="892" customHeight="1" ht="12.75">
      <c r="A892" s="4"/>
      <c r="B892" s="29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29"/>
      <c r="N892" s="29"/>
      <c r="O892" s="29"/>
      <c r="P892" s="32"/>
      <c r="Q892" s="32"/>
      <c r="R892" s="4"/>
      <c r="S892" s="4"/>
      <c r="T892" s="4"/>
      <c r="U892" s="4"/>
    </row>
    <row x14ac:dyDescent="0.25" r="893" customHeight="1" ht="12.75">
      <c r="A893" s="4"/>
      <c r="B893" s="29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29"/>
      <c r="N893" s="29"/>
      <c r="O893" s="29"/>
      <c r="P893" s="32"/>
      <c r="Q893" s="32"/>
      <c r="R893" s="4"/>
      <c r="S893" s="4"/>
      <c r="T893" s="4"/>
      <c r="U893" s="4"/>
    </row>
    <row x14ac:dyDescent="0.25" r="894" customHeight="1" ht="12.75">
      <c r="A894" s="4"/>
      <c r="B894" s="29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29"/>
      <c r="N894" s="29"/>
      <c r="O894" s="29"/>
      <c r="P894" s="32"/>
      <c r="Q894" s="32"/>
      <c r="R894" s="4"/>
      <c r="S894" s="4"/>
      <c r="T894" s="4"/>
      <c r="U894" s="4"/>
    </row>
    <row x14ac:dyDescent="0.25" r="895" customHeight="1" ht="12.75">
      <c r="A895" s="4"/>
      <c r="B895" s="29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29"/>
      <c r="N895" s="29"/>
      <c r="O895" s="29"/>
      <c r="P895" s="32"/>
      <c r="Q895" s="32"/>
      <c r="R895" s="4"/>
      <c r="S895" s="4"/>
      <c r="T895" s="4"/>
      <c r="U895" s="4"/>
    </row>
    <row x14ac:dyDescent="0.25" r="896" customHeight="1" ht="12.75">
      <c r="A896" s="4"/>
      <c r="B896" s="29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29"/>
      <c r="N896" s="29"/>
      <c r="O896" s="29"/>
      <c r="P896" s="32"/>
      <c r="Q896" s="32"/>
      <c r="R896" s="4"/>
      <c r="S896" s="4"/>
      <c r="T896" s="4"/>
      <c r="U896" s="4"/>
    </row>
    <row x14ac:dyDescent="0.25" r="897" customHeight="1" ht="12.75">
      <c r="A897" s="4"/>
      <c r="B897" s="29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29"/>
      <c r="N897" s="29"/>
      <c r="O897" s="29"/>
      <c r="P897" s="32"/>
      <c r="Q897" s="32"/>
      <c r="R897" s="4"/>
      <c r="S897" s="4"/>
      <c r="T897" s="4"/>
      <c r="U897" s="4"/>
    </row>
    <row x14ac:dyDescent="0.25" r="898" customHeight="1" ht="12.75">
      <c r="A898" s="4"/>
      <c r="B898" s="29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29"/>
      <c r="N898" s="29"/>
      <c r="O898" s="29"/>
      <c r="P898" s="32"/>
      <c r="Q898" s="32"/>
      <c r="R898" s="4"/>
      <c r="S898" s="4"/>
      <c r="T898" s="4"/>
      <c r="U898" s="4"/>
    </row>
    <row x14ac:dyDescent="0.25" r="899" customHeight="1" ht="12.75">
      <c r="A899" s="4"/>
      <c r="B899" s="29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29"/>
      <c r="N899" s="29"/>
      <c r="O899" s="29"/>
      <c r="P899" s="32"/>
      <c r="Q899" s="32"/>
      <c r="R899" s="4"/>
      <c r="S899" s="4"/>
      <c r="T899" s="4"/>
      <c r="U899" s="4"/>
    </row>
    <row x14ac:dyDescent="0.25" r="900" customHeight="1" ht="12.75">
      <c r="A900" s="4"/>
      <c r="B900" s="29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29"/>
      <c r="N900" s="29"/>
      <c r="O900" s="29"/>
      <c r="P900" s="32"/>
      <c r="Q900" s="32"/>
      <c r="R900" s="4"/>
      <c r="S900" s="4"/>
      <c r="T900" s="4"/>
      <c r="U900" s="4"/>
    </row>
    <row x14ac:dyDescent="0.25" r="901" customHeight="1" ht="12.75">
      <c r="A901" s="4"/>
      <c r="B901" s="29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29"/>
      <c r="N901" s="29"/>
      <c r="O901" s="29"/>
      <c r="P901" s="32"/>
      <c r="Q901" s="32"/>
      <c r="R901" s="4"/>
      <c r="S901" s="4"/>
      <c r="T901" s="4"/>
      <c r="U901" s="4"/>
    </row>
    <row x14ac:dyDescent="0.25" r="902" customHeight="1" ht="12.75">
      <c r="A902" s="4"/>
      <c r="B902" s="29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29"/>
      <c r="N902" s="29"/>
      <c r="O902" s="29"/>
      <c r="P902" s="32"/>
      <c r="Q902" s="32"/>
      <c r="R902" s="4"/>
      <c r="S902" s="4"/>
      <c r="T902" s="4"/>
      <c r="U902" s="4"/>
    </row>
    <row x14ac:dyDescent="0.25" r="903" customHeight="1" ht="12.75">
      <c r="A903" s="4"/>
      <c r="B903" s="29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29"/>
      <c r="N903" s="29"/>
      <c r="O903" s="29"/>
      <c r="P903" s="32"/>
      <c r="Q903" s="32"/>
      <c r="R903" s="4"/>
      <c r="S903" s="4"/>
      <c r="T903" s="4"/>
      <c r="U903" s="4"/>
    </row>
    <row x14ac:dyDescent="0.25" r="904" customHeight="1" ht="12.75">
      <c r="A904" s="4"/>
      <c r="B904" s="29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29"/>
      <c r="N904" s="29"/>
      <c r="O904" s="29"/>
      <c r="P904" s="32"/>
      <c r="Q904" s="32"/>
      <c r="R904" s="4"/>
      <c r="S904" s="4"/>
      <c r="T904" s="4"/>
      <c r="U904" s="4"/>
    </row>
    <row x14ac:dyDescent="0.25" r="905" customHeight="1" ht="12.75">
      <c r="A905" s="4"/>
      <c r="B905" s="29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29"/>
      <c r="N905" s="29"/>
      <c r="O905" s="29"/>
      <c r="P905" s="32"/>
      <c r="Q905" s="32"/>
      <c r="R905" s="4"/>
      <c r="S905" s="4"/>
      <c r="T905" s="4"/>
      <c r="U905" s="4"/>
    </row>
    <row x14ac:dyDescent="0.25" r="906" customHeight="1" ht="12.75">
      <c r="A906" s="4"/>
      <c r="B906" s="29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29"/>
      <c r="N906" s="29"/>
      <c r="O906" s="29"/>
      <c r="P906" s="32"/>
      <c r="Q906" s="32"/>
      <c r="R906" s="4"/>
      <c r="S906" s="4"/>
      <c r="T906" s="4"/>
      <c r="U906" s="4"/>
    </row>
    <row x14ac:dyDescent="0.25" r="907" customHeight="1" ht="12.75">
      <c r="A907" s="4"/>
      <c r="B907" s="29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29"/>
      <c r="N907" s="29"/>
      <c r="O907" s="29"/>
      <c r="P907" s="32"/>
      <c r="Q907" s="32"/>
      <c r="R907" s="4"/>
      <c r="S907" s="4"/>
      <c r="T907" s="4"/>
      <c r="U907" s="4"/>
    </row>
    <row x14ac:dyDescent="0.25" r="908" customHeight="1" ht="12.75">
      <c r="A908" s="4"/>
      <c r="B908" s="29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29"/>
      <c r="N908" s="29"/>
      <c r="O908" s="29"/>
      <c r="P908" s="32"/>
      <c r="Q908" s="32"/>
      <c r="R908" s="4"/>
      <c r="S908" s="4"/>
      <c r="T908" s="4"/>
      <c r="U908" s="4"/>
    </row>
    <row x14ac:dyDescent="0.25" r="909" customHeight="1" ht="12.75">
      <c r="A909" s="4"/>
      <c r="B909" s="29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29"/>
      <c r="N909" s="29"/>
      <c r="O909" s="29"/>
      <c r="P909" s="32"/>
      <c r="Q909" s="32"/>
      <c r="R909" s="4"/>
      <c r="S909" s="4"/>
      <c r="T909" s="4"/>
      <c r="U909" s="4"/>
    </row>
    <row x14ac:dyDescent="0.25" r="910" customHeight="1" ht="12.75">
      <c r="A910" s="4"/>
      <c r="B910" s="29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29"/>
      <c r="N910" s="29"/>
      <c r="O910" s="29"/>
      <c r="P910" s="32"/>
      <c r="Q910" s="32"/>
      <c r="R910" s="4"/>
      <c r="S910" s="4"/>
      <c r="T910" s="4"/>
      <c r="U910" s="4"/>
    </row>
    <row x14ac:dyDescent="0.25" r="911" customHeight="1" ht="12.75">
      <c r="A911" s="4"/>
      <c r="B911" s="29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29"/>
      <c r="N911" s="29"/>
      <c r="O911" s="29"/>
      <c r="P911" s="32"/>
      <c r="Q911" s="32"/>
      <c r="R911" s="4"/>
      <c r="S911" s="4"/>
      <c r="T911" s="4"/>
      <c r="U911" s="4"/>
    </row>
    <row x14ac:dyDescent="0.25" r="912" customHeight="1" ht="12.75">
      <c r="A912" s="4"/>
      <c r="B912" s="29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29"/>
      <c r="N912" s="29"/>
      <c r="O912" s="29"/>
      <c r="P912" s="32"/>
      <c r="Q912" s="32"/>
      <c r="R912" s="4"/>
      <c r="S912" s="4"/>
      <c r="T912" s="4"/>
      <c r="U912" s="4"/>
    </row>
    <row x14ac:dyDescent="0.25" r="913" customHeight="1" ht="12.75">
      <c r="A913" s="4"/>
      <c r="B913" s="29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29"/>
      <c r="N913" s="29"/>
      <c r="O913" s="29"/>
      <c r="P913" s="32"/>
      <c r="Q913" s="32"/>
      <c r="R913" s="4"/>
      <c r="S913" s="4"/>
      <c r="T913" s="4"/>
      <c r="U913" s="4"/>
    </row>
    <row x14ac:dyDescent="0.25" r="914" customHeight="1" ht="12.75">
      <c r="A914" s="4"/>
      <c r="B914" s="29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29"/>
      <c r="N914" s="29"/>
      <c r="O914" s="29"/>
      <c r="P914" s="32"/>
      <c r="Q914" s="32"/>
      <c r="R914" s="4"/>
      <c r="S914" s="4"/>
      <c r="T914" s="4"/>
      <c r="U914" s="4"/>
    </row>
    <row x14ac:dyDescent="0.25" r="915" customHeight="1" ht="12.75">
      <c r="A915" s="4"/>
      <c r="B915" s="29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29"/>
      <c r="N915" s="29"/>
      <c r="O915" s="29"/>
      <c r="P915" s="32"/>
      <c r="Q915" s="32"/>
      <c r="R915" s="4"/>
      <c r="S915" s="4"/>
      <c r="T915" s="4"/>
      <c r="U915" s="4"/>
    </row>
    <row x14ac:dyDescent="0.25" r="916" customHeight="1" ht="12.75">
      <c r="A916" s="4"/>
      <c r="B916" s="29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29"/>
      <c r="N916" s="29"/>
      <c r="O916" s="29"/>
      <c r="P916" s="32"/>
      <c r="Q916" s="32"/>
      <c r="R916" s="4"/>
      <c r="S916" s="4"/>
      <c r="T916" s="4"/>
      <c r="U916" s="4"/>
    </row>
    <row x14ac:dyDescent="0.25" r="917" customHeight="1" ht="12.75">
      <c r="A917" s="4"/>
      <c r="B917" s="29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29"/>
      <c r="N917" s="29"/>
      <c r="O917" s="29"/>
      <c r="P917" s="32"/>
      <c r="Q917" s="32"/>
      <c r="R917" s="4"/>
      <c r="S917" s="4"/>
      <c r="T917" s="4"/>
      <c r="U917" s="4"/>
    </row>
    <row x14ac:dyDescent="0.25" r="918" customHeight="1" ht="12.75">
      <c r="A918" s="4"/>
      <c r="B918" s="29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29"/>
      <c r="N918" s="29"/>
      <c r="O918" s="29"/>
      <c r="P918" s="32"/>
      <c r="Q918" s="32"/>
      <c r="R918" s="4"/>
      <c r="S918" s="4"/>
      <c r="T918" s="4"/>
      <c r="U918" s="4"/>
    </row>
    <row x14ac:dyDescent="0.25" r="919" customHeight="1" ht="12.75">
      <c r="A919" s="4"/>
      <c r="B919" s="29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29"/>
      <c r="N919" s="29"/>
      <c r="O919" s="29"/>
      <c r="P919" s="32"/>
      <c r="Q919" s="32"/>
      <c r="R919" s="4"/>
      <c r="S919" s="4"/>
      <c r="T919" s="4"/>
      <c r="U919" s="4"/>
    </row>
    <row x14ac:dyDescent="0.25" r="920" customHeight="1" ht="12.75">
      <c r="A920" s="4"/>
      <c r="B920" s="29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29"/>
      <c r="N920" s="29"/>
      <c r="O920" s="29"/>
      <c r="P920" s="32"/>
      <c r="Q920" s="32"/>
      <c r="R920" s="4"/>
      <c r="S920" s="4"/>
      <c r="T920" s="4"/>
      <c r="U920" s="4"/>
    </row>
    <row x14ac:dyDescent="0.25" r="921" customHeight="1" ht="12.75">
      <c r="A921" s="4"/>
      <c r="B921" s="29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29"/>
      <c r="N921" s="29"/>
      <c r="O921" s="29"/>
      <c r="P921" s="32"/>
      <c r="Q921" s="32"/>
      <c r="R921" s="4"/>
      <c r="S921" s="4"/>
      <c r="T921" s="4"/>
      <c r="U921" s="4"/>
    </row>
    <row x14ac:dyDescent="0.25" r="922" customHeight="1" ht="12.75">
      <c r="A922" s="4"/>
      <c r="B922" s="29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29"/>
      <c r="N922" s="29"/>
      <c r="O922" s="29"/>
      <c r="P922" s="32"/>
      <c r="Q922" s="32"/>
      <c r="R922" s="4"/>
      <c r="S922" s="4"/>
      <c r="T922" s="4"/>
      <c r="U922" s="4"/>
    </row>
    <row x14ac:dyDescent="0.25" r="923" customHeight="1" ht="12.75">
      <c r="A923" s="4"/>
      <c r="B923" s="29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29"/>
      <c r="N923" s="29"/>
      <c r="O923" s="29"/>
      <c r="P923" s="32"/>
      <c r="Q923" s="32"/>
      <c r="R923" s="4"/>
      <c r="S923" s="4"/>
      <c r="T923" s="4"/>
      <c r="U923" s="4"/>
    </row>
    <row x14ac:dyDescent="0.25" r="924" customHeight="1" ht="12.75">
      <c r="A924" s="4"/>
      <c r="B924" s="29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29"/>
      <c r="N924" s="29"/>
      <c r="O924" s="29"/>
      <c r="P924" s="32"/>
      <c r="Q924" s="32"/>
      <c r="R924" s="4"/>
      <c r="S924" s="4"/>
      <c r="T924" s="4"/>
      <c r="U924" s="4"/>
    </row>
    <row x14ac:dyDescent="0.25" r="925" customHeight="1" ht="12.75">
      <c r="A925" s="4"/>
      <c r="B925" s="29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29"/>
      <c r="N925" s="29"/>
      <c r="O925" s="29"/>
      <c r="P925" s="32"/>
      <c r="Q925" s="32"/>
      <c r="R925" s="4"/>
      <c r="S925" s="4"/>
      <c r="T925" s="4"/>
      <c r="U925" s="4"/>
    </row>
    <row x14ac:dyDescent="0.25" r="926" customHeight="1" ht="12.75">
      <c r="A926" s="4"/>
      <c r="B926" s="29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29"/>
      <c r="N926" s="29"/>
      <c r="O926" s="29"/>
      <c r="P926" s="32"/>
      <c r="Q926" s="32"/>
      <c r="R926" s="4"/>
      <c r="S926" s="4"/>
      <c r="T926" s="4"/>
      <c r="U926" s="4"/>
    </row>
    <row x14ac:dyDescent="0.25" r="927" customHeight="1" ht="12.75">
      <c r="A927" s="4"/>
      <c r="B927" s="29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29"/>
      <c r="N927" s="29"/>
      <c r="O927" s="29"/>
      <c r="P927" s="32"/>
      <c r="Q927" s="32"/>
      <c r="R927" s="4"/>
      <c r="S927" s="4"/>
      <c r="T927" s="4"/>
      <c r="U927" s="4"/>
    </row>
    <row x14ac:dyDescent="0.25" r="928" customHeight="1" ht="12.75">
      <c r="A928" s="4"/>
      <c r="B928" s="29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29"/>
      <c r="N928" s="29"/>
      <c r="O928" s="29"/>
      <c r="P928" s="32"/>
      <c r="Q928" s="32"/>
      <c r="R928" s="4"/>
      <c r="S928" s="4"/>
      <c r="T928" s="4"/>
      <c r="U928" s="4"/>
    </row>
    <row x14ac:dyDescent="0.25" r="929" customHeight="1" ht="12.75">
      <c r="A929" s="4"/>
      <c r="B929" s="29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29"/>
      <c r="N929" s="29"/>
      <c r="O929" s="29"/>
      <c r="P929" s="32"/>
      <c r="Q929" s="32"/>
      <c r="R929" s="4"/>
      <c r="S929" s="4"/>
      <c r="T929" s="4"/>
      <c r="U929" s="4"/>
    </row>
    <row x14ac:dyDescent="0.25" r="930" customHeight="1" ht="12.75">
      <c r="A930" s="4"/>
      <c r="B930" s="29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29"/>
      <c r="N930" s="29"/>
      <c r="O930" s="29"/>
      <c r="P930" s="32"/>
      <c r="Q930" s="32"/>
      <c r="R930" s="4"/>
      <c r="S930" s="4"/>
      <c r="T930" s="4"/>
      <c r="U930" s="4"/>
    </row>
    <row x14ac:dyDescent="0.25" r="931" customHeight="1" ht="12.75">
      <c r="A931" s="4"/>
      <c r="B931" s="29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29"/>
      <c r="N931" s="29"/>
      <c r="O931" s="29"/>
      <c r="P931" s="32"/>
      <c r="Q931" s="32"/>
      <c r="R931" s="4"/>
      <c r="S931" s="4"/>
      <c r="T931" s="4"/>
      <c r="U931" s="4"/>
    </row>
    <row x14ac:dyDescent="0.25" r="932" customHeight="1" ht="12.75">
      <c r="A932" s="4"/>
      <c r="B932" s="29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29"/>
      <c r="N932" s="29"/>
      <c r="O932" s="29"/>
      <c r="P932" s="32"/>
      <c r="Q932" s="32"/>
      <c r="R932" s="4"/>
      <c r="S932" s="4"/>
      <c r="T932" s="4"/>
      <c r="U932" s="4"/>
    </row>
    <row x14ac:dyDescent="0.25" r="933" customHeight="1" ht="12.75">
      <c r="A933" s="4"/>
      <c r="B933" s="29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29"/>
      <c r="N933" s="29"/>
      <c r="O933" s="29"/>
      <c r="P933" s="32"/>
      <c r="Q933" s="32"/>
      <c r="R933" s="4"/>
      <c r="S933" s="4"/>
      <c r="T933" s="4"/>
      <c r="U933" s="4"/>
    </row>
    <row x14ac:dyDescent="0.25" r="934" customHeight="1" ht="12.75">
      <c r="A934" s="4"/>
      <c r="B934" s="29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29"/>
      <c r="N934" s="29"/>
      <c r="O934" s="29"/>
      <c r="P934" s="32"/>
      <c r="Q934" s="32"/>
      <c r="R934" s="4"/>
      <c r="S934" s="4"/>
      <c r="T934" s="4"/>
      <c r="U934" s="4"/>
    </row>
    <row x14ac:dyDescent="0.25" r="935" customHeight="1" ht="12.75">
      <c r="A935" s="4"/>
      <c r="B935" s="29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29"/>
      <c r="N935" s="29"/>
      <c r="O935" s="29"/>
      <c r="P935" s="32"/>
      <c r="Q935" s="32"/>
      <c r="R935" s="4"/>
      <c r="S935" s="4"/>
      <c r="T935" s="4"/>
      <c r="U935" s="4"/>
    </row>
    <row x14ac:dyDescent="0.25" r="936" customHeight="1" ht="12.75">
      <c r="A936" s="4"/>
      <c r="B936" s="29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29"/>
      <c r="N936" s="29"/>
      <c r="O936" s="29"/>
      <c r="P936" s="32"/>
      <c r="Q936" s="32"/>
      <c r="R936" s="4"/>
      <c r="S936" s="4"/>
      <c r="T936" s="4"/>
      <c r="U936" s="4"/>
    </row>
    <row x14ac:dyDescent="0.25" r="937" customHeight="1" ht="12.75">
      <c r="A937" s="4"/>
      <c r="B937" s="29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29"/>
      <c r="N937" s="29"/>
      <c r="O937" s="29"/>
      <c r="P937" s="32"/>
      <c r="Q937" s="32"/>
      <c r="R937" s="4"/>
      <c r="S937" s="4"/>
      <c r="T937" s="4"/>
      <c r="U937" s="4"/>
    </row>
    <row x14ac:dyDescent="0.25" r="938" customHeight="1" ht="12.75">
      <c r="A938" s="4"/>
      <c r="B938" s="29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29"/>
      <c r="N938" s="29"/>
      <c r="O938" s="29"/>
      <c r="P938" s="32"/>
      <c r="Q938" s="32"/>
      <c r="R938" s="4"/>
      <c r="S938" s="4"/>
      <c r="T938" s="4"/>
      <c r="U938" s="4"/>
    </row>
    <row x14ac:dyDescent="0.25" r="939" customHeight="1" ht="12.75">
      <c r="A939" s="4"/>
      <c r="B939" s="29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29"/>
      <c r="N939" s="29"/>
      <c r="O939" s="29"/>
      <c r="P939" s="32"/>
      <c r="Q939" s="32"/>
      <c r="R939" s="4"/>
      <c r="S939" s="4"/>
      <c r="T939" s="4"/>
      <c r="U939" s="4"/>
    </row>
    <row x14ac:dyDescent="0.25" r="940" customHeight="1" ht="12.75">
      <c r="A940" s="4"/>
      <c r="B940" s="29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29"/>
      <c r="N940" s="29"/>
      <c r="O940" s="29"/>
      <c r="P940" s="32"/>
      <c r="Q940" s="32"/>
      <c r="R940" s="4"/>
      <c r="S940" s="4"/>
      <c r="T940" s="4"/>
      <c r="U940" s="4"/>
    </row>
    <row x14ac:dyDescent="0.25" r="941" customHeight="1" ht="12.75">
      <c r="A941" s="4"/>
      <c r="B941" s="29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29"/>
      <c r="N941" s="29"/>
      <c r="O941" s="29"/>
      <c r="P941" s="32"/>
      <c r="Q941" s="32"/>
      <c r="R941" s="4"/>
      <c r="S941" s="4"/>
      <c r="T941" s="4"/>
      <c r="U941" s="4"/>
    </row>
    <row x14ac:dyDescent="0.25" r="942" customHeight="1" ht="12.75">
      <c r="A942" s="4"/>
      <c r="B942" s="29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29"/>
      <c r="N942" s="29"/>
      <c r="O942" s="29"/>
      <c r="P942" s="32"/>
      <c r="Q942" s="32"/>
      <c r="R942" s="4"/>
      <c r="S942" s="4"/>
      <c r="T942" s="4"/>
      <c r="U942" s="4"/>
    </row>
    <row x14ac:dyDescent="0.25" r="943" customHeight="1" ht="12.75">
      <c r="A943" s="4"/>
      <c r="B943" s="29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29"/>
      <c r="N943" s="29"/>
      <c r="O943" s="29"/>
      <c r="P943" s="32"/>
      <c r="Q943" s="32"/>
      <c r="R943" s="4"/>
      <c r="S943" s="4"/>
      <c r="T943" s="4"/>
      <c r="U943" s="4"/>
    </row>
    <row x14ac:dyDescent="0.25" r="944" customHeight="1" ht="12.75">
      <c r="A944" s="4"/>
      <c r="B944" s="29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29"/>
      <c r="N944" s="29"/>
      <c r="O944" s="29"/>
      <c r="P944" s="32"/>
      <c r="Q944" s="32"/>
      <c r="R944" s="4"/>
      <c r="S944" s="4"/>
      <c r="T944" s="4"/>
      <c r="U944" s="4"/>
    </row>
    <row x14ac:dyDescent="0.25" r="945" customHeight="1" ht="12.75">
      <c r="A945" s="4"/>
      <c r="B945" s="29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29"/>
      <c r="N945" s="29"/>
      <c r="O945" s="29"/>
      <c r="P945" s="32"/>
      <c r="Q945" s="32"/>
      <c r="R945" s="4"/>
      <c r="S945" s="4"/>
      <c r="T945" s="4"/>
      <c r="U945" s="4"/>
    </row>
    <row x14ac:dyDescent="0.25" r="946" customHeight="1" ht="12.75">
      <c r="A946" s="4"/>
      <c r="B946" s="29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29"/>
      <c r="N946" s="29"/>
      <c r="O946" s="29"/>
      <c r="P946" s="32"/>
      <c r="Q946" s="32"/>
      <c r="R946" s="4"/>
      <c r="S946" s="4"/>
      <c r="T946" s="4"/>
      <c r="U946" s="4"/>
    </row>
    <row x14ac:dyDescent="0.25" r="947" customHeight="1" ht="12.75">
      <c r="A947" s="4"/>
      <c r="B947" s="29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29"/>
      <c r="N947" s="29"/>
      <c r="O947" s="29"/>
      <c r="P947" s="32"/>
      <c r="Q947" s="32"/>
      <c r="R947" s="4"/>
      <c r="S947" s="4"/>
      <c r="T947" s="4"/>
      <c r="U947" s="4"/>
    </row>
    <row x14ac:dyDescent="0.25" r="948" customHeight="1" ht="12.75">
      <c r="A948" s="4"/>
      <c r="B948" s="29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29"/>
      <c r="N948" s="29"/>
      <c r="O948" s="29"/>
      <c r="P948" s="32"/>
      <c r="Q948" s="32"/>
      <c r="R948" s="4"/>
      <c r="S948" s="4"/>
      <c r="T948" s="4"/>
      <c r="U948" s="4"/>
    </row>
    <row x14ac:dyDescent="0.25" r="949" customHeight="1" ht="12.75">
      <c r="A949" s="4"/>
      <c r="B949" s="29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29"/>
      <c r="N949" s="29"/>
      <c r="O949" s="29"/>
      <c r="P949" s="32"/>
      <c r="Q949" s="32"/>
      <c r="R949" s="4"/>
      <c r="S949" s="4"/>
      <c r="T949" s="4"/>
      <c r="U949" s="4"/>
    </row>
    <row x14ac:dyDescent="0.25" r="950" customHeight="1" ht="12.75">
      <c r="A950" s="4"/>
      <c r="B950" s="29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29"/>
      <c r="N950" s="29"/>
      <c r="O950" s="29"/>
      <c r="P950" s="32"/>
      <c r="Q950" s="32"/>
      <c r="R950" s="4"/>
      <c r="S950" s="4"/>
      <c r="T950" s="4"/>
      <c r="U950" s="4"/>
    </row>
    <row x14ac:dyDescent="0.25" r="951" customHeight="1" ht="12.75">
      <c r="A951" s="4"/>
      <c r="B951" s="29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29"/>
      <c r="N951" s="29"/>
      <c r="O951" s="29"/>
      <c r="P951" s="32"/>
      <c r="Q951" s="32"/>
      <c r="R951" s="4"/>
      <c r="S951" s="4"/>
      <c r="T951" s="4"/>
      <c r="U951" s="4"/>
    </row>
    <row x14ac:dyDescent="0.25" r="952" customHeight="1" ht="12.75">
      <c r="A952" s="4"/>
      <c r="B952" s="29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29"/>
      <c r="N952" s="29"/>
      <c r="O952" s="29"/>
      <c r="P952" s="32"/>
      <c r="Q952" s="32"/>
      <c r="R952" s="4"/>
      <c r="S952" s="4"/>
      <c r="T952" s="4"/>
      <c r="U952" s="4"/>
    </row>
    <row x14ac:dyDescent="0.25" r="953" customHeight="1" ht="12.75">
      <c r="A953" s="4"/>
      <c r="B953" s="29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29"/>
      <c r="N953" s="29"/>
      <c r="O953" s="29"/>
      <c r="P953" s="32"/>
      <c r="Q953" s="32"/>
      <c r="R953" s="4"/>
      <c r="S953" s="4"/>
      <c r="T953" s="4"/>
      <c r="U953" s="4"/>
    </row>
    <row x14ac:dyDescent="0.25" r="954" customHeight="1" ht="12.75">
      <c r="A954" s="4"/>
      <c r="B954" s="29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29"/>
      <c r="N954" s="29"/>
      <c r="O954" s="29"/>
      <c r="P954" s="32"/>
      <c r="Q954" s="32"/>
      <c r="R954" s="4"/>
      <c r="S954" s="4"/>
      <c r="T954" s="4"/>
      <c r="U954" s="4"/>
    </row>
    <row x14ac:dyDescent="0.25" r="955" customHeight="1" ht="12.75">
      <c r="A955" s="4"/>
      <c r="B955" s="29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29"/>
      <c r="N955" s="29"/>
      <c r="O955" s="29"/>
      <c r="P955" s="32"/>
      <c r="Q955" s="32"/>
      <c r="R955" s="4"/>
      <c r="S955" s="4"/>
      <c r="T955" s="4"/>
      <c r="U955" s="4"/>
    </row>
    <row x14ac:dyDescent="0.25" r="956" customHeight="1" ht="12.75">
      <c r="A956" s="4"/>
      <c r="B956" s="29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29"/>
      <c r="N956" s="29"/>
      <c r="O956" s="29"/>
      <c r="P956" s="32"/>
      <c r="Q956" s="32"/>
      <c r="R956" s="4"/>
      <c r="S956" s="4"/>
      <c r="T956" s="4"/>
      <c r="U956" s="4"/>
    </row>
    <row x14ac:dyDescent="0.25" r="957" customHeight="1" ht="12.75">
      <c r="A957" s="4"/>
      <c r="B957" s="29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29"/>
      <c r="N957" s="29"/>
      <c r="O957" s="29"/>
      <c r="P957" s="32"/>
      <c r="Q957" s="32"/>
      <c r="R957" s="4"/>
      <c r="S957" s="4"/>
      <c r="T957" s="4"/>
      <c r="U957" s="4"/>
    </row>
    <row x14ac:dyDescent="0.25" r="958" customHeight="1" ht="12.75">
      <c r="A958" s="4"/>
      <c r="B958" s="29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29"/>
      <c r="N958" s="29"/>
      <c r="O958" s="29"/>
      <c r="P958" s="32"/>
      <c r="Q958" s="32"/>
      <c r="R958" s="4"/>
      <c r="S958" s="4"/>
      <c r="T958" s="4"/>
      <c r="U958" s="4"/>
    </row>
    <row x14ac:dyDescent="0.25" r="959" customHeight="1" ht="12.75">
      <c r="A959" s="4"/>
      <c r="B959" s="29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29"/>
      <c r="N959" s="29"/>
      <c r="O959" s="29"/>
      <c r="P959" s="32"/>
      <c r="Q959" s="32"/>
      <c r="R959" s="4"/>
      <c r="S959" s="4"/>
      <c r="T959" s="4"/>
      <c r="U959" s="4"/>
    </row>
    <row x14ac:dyDescent="0.25" r="960" customHeight="1" ht="12.75">
      <c r="A960" s="4"/>
      <c r="B960" s="29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29"/>
      <c r="N960" s="29"/>
      <c r="O960" s="29"/>
      <c r="P960" s="32"/>
      <c r="Q960" s="32"/>
      <c r="R960" s="4"/>
      <c r="S960" s="4"/>
      <c r="T960" s="4"/>
      <c r="U960" s="4"/>
    </row>
    <row x14ac:dyDescent="0.25" r="961" customHeight="1" ht="12.75">
      <c r="A961" s="4"/>
      <c r="B961" s="29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29"/>
      <c r="N961" s="29"/>
      <c r="O961" s="29"/>
      <c r="P961" s="32"/>
      <c r="Q961" s="32"/>
      <c r="R961" s="4"/>
      <c r="S961" s="4"/>
      <c r="T961" s="4"/>
      <c r="U961" s="4"/>
    </row>
    <row x14ac:dyDescent="0.25" r="962" customHeight="1" ht="12.75">
      <c r="A962" s="4"/>
      <c r="B962" s="29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29"/>
      <c r="N962" s="29"/>
      <c r="O962" s="29"/>
      <c r="P962" s="32"/>
      <c r="Q962" s="32"/>
      <c r="R962" s="4"/>
      <c r="S962" s="4"/>
      <c r="T962" s="4"/>
      <c r="U962" s="4"/>
    </row>
    <row x14ac:dyDescent="0.25" r="963" customHeight="1" ht="12.75">
      <c r="A963" s="4"/>
      <c r="B963" s="29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29"/>
      <c r="N963" s="29"/>
      <c r="O963" s="29"/>
      <c r="P963" s="32"/>
      <c r="Q963" s="32"/>
      <c r="R963" s="4"/>
      <c r="S963" s="4"/>
      <c r="T963" s="4"/>
      <c r="U963" s="4"/>
    </row>
    <row x14ac:dyDescent="0.25" r="964" customHeight="1" ht="12.75">
      <c r="A964" s="4"/>
      <c r="B964" s="29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29"/>
      <c r="N964" s="29"/>
      <c r="O964" s="29"/>
      <c r="P964" s="32"/>
      <c r="Q964" s="32"/>
      <c r="R964" s="4"/>
      <c r="S964" s="4"/>
      <c r="T964" s="4"/>
      <c r="U964" s="4"/>
    </row>
    <row x14ac:dyDescent="0.25" r="965" customHeight="1" ht="12.75">
      <c r="A965" s="4"/>
      <c r="B965" s="29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29"/>
      <c r="N965" s="29"/>
      <c r="O965" s="29"/>
      <c r="P965" s="32"/>
      <c r="Q965" s="32"/>
      <c r="R965" s="4"/>
      <c r="S965" s="4"/>
      <c r="T965" s="4"/>
      <c r="U965" s="4"/>
    </row>
    <row x14ac:dyDescent="0.25" r="966" customHeight="1" ht="12.75">
      <c r="A966" s="4"/>
      <c r="B966" s="29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29"/>
      <c r="N966" s="29"/>
      <c r="O966" s="29"/>
      <c r="P966" s="32"/>
      <c r="Q966" s="32"/>
      <c r="R966" s="4"/>
      <c r="S966" s="4"/>
      <c r="T966" s="4"/>
      <c r="U966" s="4"/>
    </row>
    <row x14ac:dyDescent="0.25" r="967" customHeight="1" ht="12.75">
      <c r="A967" s="4"/>
      <c r="B967" s="29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29"/>
      <c r="N967" s="29"/>
      <c r="O967" s="29"/>
      <c r="P967" s="32"/>
      <c r="Q967" s="32"/>
      <c r="R967" s="4"/>
      <c r="S967" s="4"/>
      <c r="T967" s="4"/>
      <c r="U967" s="4"/>
    </row>
    <row x14ac:dyDescent="0.25" r="968" customHeight="1" ht="12.75">
      <c r="A968" s="4"/>
      <c r="B968" s="29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29"/>
      <c r="N968" s="29"/>
      <c r="O968" s="29"/>
      <c r="P968" s="32"/>
      <c r="Q968" s="32"/>
      <c r="R968" s="4"/>
      <c r="S968" s="4"/>
      <c r="T968" s="4"/>
      <c r="U968" s="4"/>
    </row>
    <row x14ac:dyDescent="0.25" r="969" customHeight="1" ht="12.75">
      <c r="A969" s="4"/>
      <c r="B969" s="29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29"/>
      <c r="N969" s="29"/>
      <c r="O969" s="29"/>
      <c r="P969" s="32"/>
      <c r="Q969" s="32"/>
      <c r="R969" s="4"/>
      <c r="S969" s="4"/>
      <c r="T969" s="4"/>
      <c r="U969" s="4"/>
    </row>
    <row x14ac:dyDescent="0.25" r="970" customHeight="1" ht="12.75">
      <c r="A970" s="4"/>
      <c r="B970" s="29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29"/>
      <c r="N970" s="29"/>
      <c r="O970" s="29"/>
      <c r="P970" s="32"/>
      <c r="Q970" s="32"/>
      <c r="R970" s="4"/>
      <c r="S970" s="4"/>
      <c r="T970" s="4"/>
      <c r="U970" s="4"/>
    </row>
    <row x14ac:dyDescent="0.25" r="971" customHeight="1" ht="12.75">
      <c r="A971" s="4"/>
      <c r="B971" s="29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29"/>
      <c r="N971" s="29"/>
      <c r="O971" s="29"/>
      <c r="P971" s="32"/>
      <c r="Q971" s="32"/>
      <c r="R971" s="4"/>
      <c r="S971" s="4"/>
      <c r="T971" s="4"/>
      <c r="U971" s="4"/>
    </row>
    <row x14ac:dyDescent="0.25" r="972" customHeight="1" ht="12.75">
      <c r="A972" s="4"/>
      <c r="B972" s="29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29"/>
      <c r="N972" s="29"/>
      <c r="O972" s="29"/>
      <c r="P972" s="32"/>
      <c r="Q972" s="32"/>
      <c r="R972" s="4"/>
      <c r="S972" s="4"/>
      <c r="T972" s="4"/>
      <c r="U972" s="4"/>
    </row>
    <row x14ac:dyDescent="0.25" r="973" customHeight="1" ht="12.75">
      <c r="A973" s="4"/>
      <c r="B973" s="29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29"/>
      <c r="N973" s="29"/>
      <c r="O973" s="29"/>
      <c r="P973" s="32"/>
      <c r="Q973" s="32"/>
      <c r="R973" s="4"/>
      <c r="S973" s="4"/>
      <c r="T973" s="4"/>
      <c r="U973" s="4"/>
    </row>
    <row x14ac:dyDescent="0.25" r="974" customHeight="1" ht="12.75">
      <c r="A974" s="4"/>
      <c r="B974" s="29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29"/>
      <c r="N974" s="29"/>
      <c r="O974" s="29"/>
      <c r="P974" s="32"/>
      <c r="Q974" s="32"/>
      <c r="R974" s="4"/>
      <c r="S974" s="4"/>
      <c r="T974" s="4"/>
      <c r="U974" s="4"/>
    </row>
    <row x14ac:dyDescent="0.25" r="975" customHeight="1" ht="12.75">
      <c r="A975" s="4"/>
      <c r="B975" s="29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29"/>
      <c r="N975" s="29"/>
      <c r="O975" s="29"/>
      <c r="P975" s="32"/>
      <c r="Q975" s="32"/>
      <c r="R975" s="4"/>
      <c r="S975" s="4"/>
      <c r="T975" s="4"/>
      <c r="U975" s="4"/>
    </row>
    <row x14ac:dyDescent="0.25" r="976" customHeight="1" ht="12.75">
      <c r="A976" s="4"/>
      <c r="B976" s="29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29"/>
      <c r="N976" s="29"/>
      <c r="O976" s="29"/>
      <c r="P976" s="32"/>
      <c r="Q976" s="32"/>
      <c r="R976" s="4"/>
      <c r="S976" s="4"/>
      <c r="T976" s="4"/>
      <c r="U976" s="4"/>
    </row>
    <row x14ac:dyDescent="0.25" r="977" customHeight="1" ht="12.75">
      <c r="A977" s="4"/>
      <c r="B977" s="29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29"/>
      <c r="N977" s="29"/>
      <c r="O977" s="29"/>
      <c r="P977" s="32"/>
      <c r="Q977" s="32"/>
      <c r="R977" s="4"/>
      <c r="S977" s="4"/>
      <c r="T977" s="4"/>
      <c r="U977" s="4"/>
    </row>
    <row x14ac:dyDescent="0.25" r="978" customHeight="1" ht="12.75">
      <c r="A978" s="4"/>
      <c r="B978" s="29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29"/>
      <c r="N978" s="29"/>
      <c r="O978" s="29"/>
      <c r="P978" s="32"/>
      <c r="Q978" s="32"/>
      <c r="R978" s="4"/>
      <c r="S978" s="4"/>
      <c r="T978" s="4"/>
      <c r="U978" s="4"/>
    </row>
    <row x14ac:dyDescent="0.25" r="979" customHeight="1" ht="12.75">
      <c r="A979" s="4"/>
      <c r="B979" s="29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29"/>
      <c r="N979" s="29"/>
      <c r="O979" s="29"/>
      <c r="P979" s="32"/>
      <c r="Q979" s="32"/>
      <c r="R979" s="4"/>
      <c r="S979" s="4"/>
      <c r="T979" s="4"/>
      <c r="U979" s="4"/>
    </row>
    <row x14ac:dyDescent="0.25" r="980" customHeight="1" ht="12.75">
      <c r="A980" s="4"/>
      <c r="B980" s="29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29"/>
      <c r="N980" s="29"/>
      <c r="O980" s="29"/>
      <c r="P980" s="32"/>
      <c r="Q980" s="32"/>
      <c r="R980" s="4"/>
      <c r="S980" s="4"/>
      <c r="T980" s="4"/>
      <c r="U980" s="4"/>
    </row>
    <row x14ac:dyDescent="0.25" r="981" customHeight="1" ht="12.75">
      <c r="A981" s="4"/>
      <c r="B981" s="29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29"/>
      <c r="N981" s="29"/>
      <c r="O981" s="29"/>
      <c r="P981" s="32"/>
      <c r="Q981" s="32"/>
      <c r="R981" s="4"/>
      <c r="S981" s="4"/>
      <c r="T981" s="4"/>
      <c r="U981" s="4"/>
    </row>
    <row x14ac:dyDescent="0.25" r="982" customHeight="1" ht="12.75">
      <c r="A982" s="4"/>
      <c r="B982" s="29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29"/>
      <c r="N982" s="29"/>
      <c r="O982" s="29"/>
      <c r="P982" s="32"/>
      <c r="Q982" s="32"/>
      <c r="R982" s="4"/>
      <c r="S982" s="4"/>
      <c r="T982" s="4"/>
      <c r="U982" s="4"/>
    </row>
    <row x14ac:dyDescent="0.25" r="983" customHeight="1" ht="12.75">
      <c r="A983" s="4"/>
      <c r="B983" s="29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29"/>
      <c r="N983" s="29"/>
      <c r="O983" s="29"/>
      <c r="P983" s="32"/>
      <c r="Q983" s="32"/>
      <c r="R983" s="4"/>
      <c r="S983" s="4"/>
      <c r="T983" s="4"/>
      <c r="U983" s="4"/>
    </row>
    <row x14ac:dyDescent="0.25" r="984" customHeight="1" ht="12.75">
      <c r="A984" s="4"/>
      <c r="B984" s="29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29"/>
      <c r="N984" s="29"/>
      <c r="O984" s="29"/>
      <c r="P984" s="32"/>
      <c r="Q984" s="32"/>
      <c r="R984" s="4"/>
      <c r="S984" s="4"/>
      <c r="T984" s="4"/>
      <c r="U984" s="4"/>
    </row>
    <row x14ac:dyDescent="0.25" r="985" customHeight="1" ht="12.75">
      <c r="A985" s="4"/>
      <c r="B985" s="29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29"/>
      <c r="N985" s="29"/>
      <c r="O985" s="29"/>
      <c r="P985" s="32"/>
      <c r="Q985" s="32"/>
      <c r="R985" s="4"/>
      <c r="S985" s="4"/>
      <c r="T985" s="4"/>
      <c r="U985" s="4"/>
    </row>
    <row x14ac:dyDescent="0.25" r="986" customHeight="1" ht="12.75">
      <c r="A986" s="4"/>
      <c r="B986" s="29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29"/>
      <c r="N986" s="29"/>
      <c r="O986" s="29"/>
      <c r="P986" s="32"/>
      <c r="Q986" s="32"/>
      <c r="R986" s="4"/>
      <c r="S986" s="4"/>
      <c r="T986" s="4"/>
      <c r="U986" s="4"/>
    </row>
    <row x14ac:dyDescent="0.25" r="987" customHeight="1" ht="12.75">
      <c r="A987" s="4"/>
      <c r="B987" s="29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29"/>
      <c r="N987" s="29"/>
      <c r="O987" s="29"/>
      <c r="P987" s="32"/>
      <c r="Q987" s="32"/>
      <c r="R987" s="4"/>
      <c r="S987" s="4"/>
      <c r="T987" s="4"/>
      <c r="U987" s="4"/>
    </row>
    <row x14ac:dyDescent="0.25" r="988" customHeight="1" ht="12.75">
      <c r="A988" s="4"/>
      <c r="B988" s="29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29"/>
      <c r="N988" s="29"/>
      <c r="O988" s="29"/>
      <c r="P988" s="32"/>
      <c r="Q988" s="32"/>
      <c r="R988" s="4"/>
      <c r="S988" s="4"/>
      <c r="T988" s="4"/>
      <c r="U988" s="4"/>
    </row>
    <row x14ac:dyDescent="0.25" r="989" customHeight="1" ht="12.75">
      <c r="A989" s="4"/>
      <c r="B989" s="29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29"/>
      <c r="N989" s="29"/>
      <c r="O989" s="29"/>
      <c r="P989" s="32"/>
      <c r="Q989" s="32"/>
      <c r="R989" s="4"/>
      <c r="S989" s="4"/>
      <c r="T989" s="4"/>
      <c r="U989" s="4"/>
    </row>
    <row x14ac:dyDescent="0.25" r="990" customHeight="1" ht="12.75">
      <c r="A990" s="4"/>
      <c r="B990" s="29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29"/>
      <c r="N990" s="29"/>
      <c r="O990" s="29"/>
      <c r="P990" s="32"/>
      <c r="Q990" s="32"/>
      <c r="R990" s="4"/>
      <c r="S990" s="4"/>
      <c r="T990" s="4"/>
      <c r="U990" s="4"/>
    </row>
    <row x14ac:dyDescent="0.25" r="991" customHeight="1" ht="12.75">
      <c r="A991" s="4"/>
      <c r="B991" s="29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29"/>
      <c r="N991" s="29"/>
      <c r="O991" s="29"/>
      <c r="P991" s="32"/>
      <c r="Q991" s="32"/>
      <c r="R991" s="4"/>
      <c r="S991" s="4"/>
      <c r="T991" s="4"/>
      <c r="U991" s="4"/>
    </row>
    <row x14ac:dyDescent="0.25" r="992" customHeight="1" ht="12.75">
      <c r="A992" s="4"/>
      <c r="B992" s="29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29"/>
      <c r="N992" s="29"/>
      <c r="O992" s="29"/>
      <c r="P992" s="32"/>
      <c r="Q992" s="32"/>
      <c r="R992" s="4"/>
      <c r="S992" s="4"/>
      <c r="T992" s="4"/>
      <c r="U992" s="4"/>
    </row>
    <row x14ac:dyDescent="0.25" r="993" customHeight="1" ht="12.75">
      <c r="A993" s="4"/>
      <c r="B993" s="29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29"/>
      <c r="N993" s="29"/>
      <c r="O993" s="29"/>
      <c r="P993" s="32"/>
      <c r="Q993" s="32"/>
      <c r="R993" s="4"/>
      <c r="S993" s="4"/>
      <c r="T993" s="4"/>
      <c r="U993" s="4"/>
    </row>
    <row x14ac:dyDescent="0.25" r="994" customHeight="1" ht="12.75">
      <c r="A994" s="4"/>
      <c r="B994" s="29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29"/>
      <c r="N994" s="29"/>
      <c r="O994" s="29"/>
      <c r="P994" s="32"/>
      <c r="Q994" s="32"/>
      <c r="R994" s="4"/>
      <c r="S994" s="4"/>
      <c r="T994" s="4"/>
      <c r="U994" s="4"/>
    </row>
    <row x14ac:dyDescent="0.25" r="995" customHeight="1" ht="12.75">
      <c r="A995" s="4"/>
      <c r="B995" s="29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29"/>
      <c r="N995" s="29"/>
      <c r="O995" s="29"/>
      <c r="P995" s="32"/>
      <c r="Q995" s="32"/>
      <c r="R995" s="4"/>
      <c r="S995" s="4"/>
      <c r="T995" s="4"/>
      <c r="U995" s="4"/>
    </row>
    <row x14ac:dyDescent="0.25" r="996" customHeight="1" ht="12.75">
      <c r="A996" s="4"/>
      <c r="B996" s="29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29"/>
      <c r="N996" s="29"/>
      <c r="O996" s="29"/>
      <c r="P996" s="32"/>
      <c r="Q996" s="32"/>
      <c r="R996" s="4"/>
      <c r="S996" s="4"/>
      <c r="T996" s="4"/>
      <c r="U996" s="4"/>
    </row>
    <row x14ac:dyDescent="0.25" r="997" customHeight="1" ht="12.75">
      <c r="A997" s="4"/>
      <c r="B997" s="29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29"/>
      <c r="N997" s="29"/>
      <c r="O997" s="29"/>
      <c r="P997" s="32"/>
      <c r="Q997" s="32"/>
      <c r="R997" s="4"/>
      <c r="S997" s="4"/>
      <c r="T997" s="4"/>
      <c r="U997" s="4"/>
    </row>
    <row x14ac:dyDescent="0.25" r="998" customHeight="1" ht="12.75">
      <c r="A998" s="4"/>
      <c r="B998" s="29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29"/>
      <c r="N998" s="29"/>
      <c r="O998" s="29"/>
      <c r="P998" s="32"/>
      <c r="Q998" s="32"/>
      <c r="R998" s="4"/>
      <c r="S998" s="4"/>
      <c r="T998" s="4"/>
      <c r="U998" s="4"/>
    </row>
    <row x14ac:dyDescent="0.25" r="999" customHeight="1" ht="12.75">
      <c r="A999" s="4"/>
      <c r="B999" s="29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29"/>
      <c r="N999" s="29"/>
      <c r="O999" s="29"/>
      <c r="P999" s="32"/>
      <c r="Q999" s="32"/>
      <c r="R999" s="4"/>
      <c r="S999" s="4"/>
      <c r="T999" s="4"/>
      <c r="U999" s="4"/>
    </row>
    <row x14ac:dyDescent="0.25" r="1000" customHeight="1" ht="12.75">
      <c r="A1000" s="4"/>
      <c r="B1000" s="29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29"/>
      <c r="N1000" s="29"/>
      <c r="O1000" s="29"/>
      <c r="P1000" s="32"/>
      <c r="Q1000" s="32"/>
      <c r="R1000" s="4"/>
      <c r="S1000" s="4"/>
      <c r="T1000" s="4"/>
      <c r="U1000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99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5.147857142857141" customWidth="1" bestFit="1"/>
    <col min="2" max="2" style="43" width="13.576428571428572" customWidth="1" bestFit="1"/>
    <col min="3" max="3" style="44" width="13.576428571428572" customWidth="1" bestFit="1"/>
    <col min="4" max="4" style="44" width="13.576428571428572" customWidth="1" bestFit="1"/>
    <col min="5" max="5" style="44" width="13.576428571428572" customWidth="1" bestFit="1"/>
    <col min="6" max="6" style="44" width="13.576428571428572" customWidth="1" bestFit="1"/>
    <col min="7" max="7" style="44" width="13.576428571428572" customWidth="1" bestFit="1"/>
    <col min="8" max="8" style="44" width="13.576428571428572" customWidth="1" bestFit="1"/>
    <col min="9" max="9" style="44" width="13.576428571428572" customWidth="1" bestFit="1"/>
    <col min="10" max="10" style="44" width="13.576428571428572" customWidth="1" bestFit="1"/>
    <col min="11" max="11" style="44" width="13.576428571428572" customWidth="1" bestFit="1"/>
    <col min="12" max="12" style="44" width="13.576428571428572" customWidth="1" bestFit="1"/>
    <col min="13" max="13" style="43" width="13.43357142857143" customWidth="1" bestFit="1"/>
    <col min="14" max="14" style="43" width="13.576428571428572" customWidth="1" bestFit="1"/>
    <col min="15" max="15" style="43" width="13.576428571428572" customWidth="1" bestFit="1"/>
    <col min="16" max="16" style="45" width="13.576428571428572" customWidth="1" bestFit="1"/>
    <col min="17" max="17" style="45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</cols>
  <sheetData>
    <row x14ac:dyDescent="0.25" r="1" customHeight="1" ht="14.25">
      <c r="A1" s="10" t="s">
        <v>0</v>
      </c>
      <c r="B1" s="11" t="s">
        <v>13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1" t="s">
        <v>14</v>
      </c>
      <c r="N1" s="11" t="s">
        <v>15</v>
      </c>
      <c r="O1" s="11" t="s">
        <v>16</v>
      </c>
      <c r="P1" s="12" t="s">
        <v>63</v>
      </c>
      <c r="Q1" s="12" t="s">
        <v>64</v>
      </c>
      <c r="R1" s="13" t="s">
        <v>65</v>
      </c>
      <c r="S1" s="14"/>
      <c r="T1" s="4"/>
      <c r="U1" s="4"/>
      <c r="V1" s="4"/>
    </row>
    <row x14ac:dyDescent="0.25" r="2" customHeight="1" ht="14.25">
      <c r="A2" s="15" t="s">
        <v>41</v>
      </c>
      <c r="B2" s="16">
        <f>$D$1:$D$79/$C$1:$C$79</f>
      </c>
      <c r="C2" s="17">
        <v>3</v>
      </c>
      <c r="D2" s="17">
        <v>1</v>
      </c>
      <c r="E2" s="17">
        <v>0</v>
      </c>
      <c r="F2" s="17">
        <v>0</v>
      </c>
      <c r="G2" s="17">
        <v>1</v>
      </c>
      <c r="H2" s="17">
        <v>0</v>
      </c>
      <c r="I2" s="17">
        <v>0</v>
      </c>
      <c r="J2" s="17">
        <v>2</v>
      </c>
      <c r="K2" s="17">
        <v>0</v>
      </c>
      <c r="L2" s="17">
        <v>0</v>
      </c>
      <c r="M2" s="16">
        <f>(($E2:$E14 + 2 * $F2:$F14 + 3 * $G2:$G14 + 4 * $H2:$H14) / $C2:$C14)</f>
      </c>
      <c r="N2" s="16">
        <f>(($D$1:$D$79 + $K$1:$K$79) / ($C$1:$C$79 + $K$1:$K$79))</f>
      </c>
      <c r="O2" s="16">
        <f>(($D$1:$D$68 + $K$1:$K$68) / ($C$1:$C$68 + $K$1:$K$97)) + ((($E$1:$E$109) + (2 * $F$1:$F$109) + (3 * $G$1:$G$109) + (4 * $H$1:$H$109)) / $C$1:$C$68)</f>
      </c>
      <c r="P2" s="17">
        <v>0</v>
      </c>
      <c r="Q2" s="17">
        <v>0</v>
      </c>
      <c r="R2" s="18"/>
      <c r="S2" s="14"/>
      <c r="T2" s="4"/>
      <c r="U2" s="4"/>
      <c r="V2" s="4"/>
    </row>
    <row x14ac:dyDescent="0.25" r="3" customHeight="1" ht="15.75">
      <c r="A3" s="19" t="s">
        <v>47</v>
      </c>
      <c r="B3" s="20">
        <f>$D$1:$D$79/$C$1:$C$79</f>
      </c>
      <c r="C3" s="21">
        <v>3</v>
      </c>
      <c r="D3" s="21">
        <v>3</v>
      </c>
      <c r="E3" s="21">
        <v>3</v>
      </c>
      <c r="F3" s="21">
        <v>0</v>
      </c>
      <c r="G3" s="21">
        <v>0</v>
      </c>
      <c r="H3" s="21">
        <v>0</v>
      </c>
      <c r="I3" s="21">
        <v>1</v>
      </c>
      <c r="J3" s="21">
        <v>2</v>
      </c>
      <c r="K3" s="21">
        <v>0</v>
      </c>
      <c r="L3" s="21">
        <v>0</v>
      </c>
      <c r="M3" s="20">
        <f>(($E3:$E14 + 2 * $F3:$F14 + 3 * $G3:$G14 + 4 * $H3:$H14) / $C3:$C14)</f>
      </c>
      <c r="N3" s="20">
        <f>(($D$1:$D$79 + $K$1:$K$79) / ($C$1:$C$79 + $K$1:$K$79))</f>
      </c>
      <c r="O3" s="20">
        <f>(($D$1:$D$68 + $K$1:$K$68) / ($C$1:$C$68 + $K$1:$K$97)) + ((($E$1:$E$109) + (2 * $F$1:$F$109) + (3 * $G$1:$G$109) + (4 * $H$1:$H$109)) / $C$1:$C$68)</f>
      </c>
      <c r="P3" s="21">
        <v>1</v>
      </c>
      <c r="Q3" s="21">
        <v>1</v>
      </c>
      <c r="R3" s="22">
        <f>$Q$1:$Q$84/$P$1:$P$84</f>
      </c>
      <c r="S3" s="14"/>
      <c r="T3" s="4"/>
      <c r="U3" s="4"/>
      <c r="V3" s="4"/>
    </row>
    <row x14ac:dyDescent="0.25" r="4" customHeight="1" ht="14.25">
      <c r="A4" s="15" t="s">
        <v>30</v>
      </c>
      <c r="B4" s="16">
        <f>$D$1:$D$79/$C$1:$C$79</f>
      </c>
      <c r="C4" s="17">
        <v>3</v>
      </c>
      <c r="D4" s="17">
        <v>2</v>
      </c>
      <c r="E4" s="17">
        <v>1</v>
      </c>
      <c r="F4" s="17">
        <v>1</v>
      </c>
      <c r="G4" s="17">
        <v>0</v>
      </c>
      <c r="H4" s="17">
        <v>0</v>
      </c>
      <c r="I4" s="17">
        <v>3</v>
      </c>
      <c r="J4" s="17">
        <v>2</v>
      </c>
      <c r="K4" s="17">
        <v>0</v>
      </c>
      <c r="L4" s="17">
        <v>0</v>
      </c>
      <c r="M4" s="16">
        <f>(($E4:$E14 + 2 * $F4:$F14 + 3 * $G4:$G14 + 4 * $H4:$H14) / $C4:$C14)</f>
      </c>
      <c r="N4" s="16">
        <f>(($D$1:$D$79 + $K$1:$K$79) / ($C$1:$C$79 + $K$1:$K$79))</f>
      </c>
      <c r="O4" s="16">
        <f>(($D$1:$D$68 + $K$1:$K$68) / ($C$1:$C$68 + $K$1:$K$97)) + ((($E$1:$E$109) + (2 * $F$1:$F$109) + (3 * $G$1:$G$109) + (4 * $H$1:$H$109)) / $C$1:$C$68)</f>
      </c>
      <c r="P4" s="17">
        <v>2</v>
      </c>
      <c r="Q4" s="17">
        <v>2</v>
      </c>
      <c r="R4" s="18">
        <f>$Q$1:$Q$84/$P$1:$P$84</f>
      </c>
      <c r="S4" s="14"/>
      <c r="T4" s="4"/>
      <c r="U4" s="4"/>
      <c r="V4" s="4"/>
    </row>
    <row x14ac:dyDescent="0.25" r="5" customHeight="1" ht="14.25">
      <c r="A5" s="19" t="s">
        <v>52</v>
      </c>
      <c r="B5" s="20">
        <f>$D$1:$D$79/$C$1:$C$79</f>
      </c>
      <c r="C5" s="21">
        <v>3</v>
      </c>
      <c r="D5" s="21">
        <v>3</v>
      </c>
      <c r="E5" s="21">
        <v>1</v>
      </c>
      <c r="F5" s="21">
        <v>2</v>
      </c>
      <c r="G5" s="21">
        <v>0</v>
      </c>
      <c r="H5" s="21">
        <v>0</v>
      </c>
      <c r="I5" s="21">
        <v>1</v>
      </c>
      <c r="J5" s="21">
        <v>2</v>
      </c>
      <c r="K5" s="21">
        <v>0</v>
      </c>
      <c r="L5" s="21">
        <v>0</v>
      </c>
      <c r="M5" s="20">
        <f>(($E5:$E14 + 2 * $F5:$F14 + 3 * $G5:$G14 + 4 * $H5:$H14) / $C5:$C14)</f>
      </c>
      <c r="N5" s="20">
        <f>(($D$1:$D$79 + $K$1:$K$79) / ($C$1:$C$79 + $K$1:$K$79))</f>
      </c>
      <c r="O5" s="20">
        <f>(($D$1:$D$68 + $K$1:$K$68) / ($C$1:$C$68 + $K$1:$K$97)) + ((($E$1:$E$109) + (2 * $F$1:$F$109) + (3 * $G$1:$G$109) + (4 * $H$1:$H$109)) / $C$1:$C$68)</f>
      </c>
      <c r="P5" s="21">
        <v>2</v>
      </c>
      <c r="Q5" s="21">
        <v>2</v>
      </c>
      <c r="R5" s="22">
        <f>$Q$1:$Q$84/$P$1:$P$84</f>
      </c>
      <c r="S5" s="14"/>
      <c r="T5" s="4"/>
      <c r="U5" s="4"/>
      <c r="V5" s="4"/>
    </row>
    <row x14ac:dyDescent="0.25" r="6" customHeight="1" ht="14.25">
      <c r="A6" s="15" t="s">
        <v>49</v>
      </c>
      <c r="B6" s="16">
        <f>$D$1:$D$79/$C$1:$C$79</f>
      </c>
      <c r="C6" s="17">
        <v>3</v>
      </c>
      <c r="D6" s="17">
        <v>3</v>
      </c>
      <c r="E6" s="17">
        <v>2</v>
      </c>
      <c r="F6" s="17">
        <v>1</v>
      </c>
      <c r="G6" s="17">
        <v>0</v>
      </c>
      <c r="H6" s="17">
        <v>0</v>
      </c>
      <c r="I6" s="17">
        <v>2</v>
      </c>
      <c r="J6" s="17">
        <v>1</v>
      </c>
      <c r="K6" s="17">
        <v>0</v>
      </c>
      <c r="L6" s="17">
        <v>0</v>
      </c>
      <c r="M6" s="16">
        <f>(($E6:$E15 + 2 * $F6:$F15 + 3 * $G6:$G15 + 4 * $H6:$H15) / $C6:$C15)</f>
      </c>
      <c r="N6" s="16">
        <f>(($D$1:$D$79 + $K$1:$K$79) / ($C$1:$C$79 + $K$1:$K$79))</f>
      </c>
      <c r="O6" s="16">
        <f>(($D$1:$D$68 + $K$1:$K$68) / ($C$1:$C$68 + $K$1:$K$97)) + ((($E$1:$E$109) + (2 * $F$1:$F$109) + (3 * $G$1:$G$109) + (4 * $H$1:$H$109)) / $C$1:$C$68)</f>
      </c>
      <c r="P6" s="17">
        <v>3</v>
      </c>
      <c r="Q6" s="17">
        <v>3</v>
      </c>
      <c r="R6" s="18">
        <f>$Q$1:$Q$84/$P$1:$P$84</f>
      </c>
      <c r="S6" s="14"/>
      <c r="T6" s="4"/>
      <c r="U6" s="4"/>
      <c r="V6" s="4"/>
    </row>
    <row x14ac:dyDescent="0.25" r="7" customHeight="1" ht="12.75">
      <c r="A7" s="19" t="s">
        <v>37</v>
      </c>
      <c r="B7" s="20">
        <f>$D$1:$D$79/$C$1:$C$79</f>
      </c>
      <c r="C7" s="21">
        <v>3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2</v>
      </c>
      <c r="J7" s="21">
        <v>0</v>
      </c>
      <c r="K7" s="21">
        <v>0</v>
      </c>
      <c r="L7" s="21">
        <v>0</v>
      </c>
      <c r="M7" s="20">
        <f>(($E7:$E18 + 2 * $F7:$F18 + 3 * $G7:$G18 + 4 * $H7:$H18) / $C7:$C18)</f>
      </c>
      <c r="N7" s="20">
        <f>(($D$1:$D$79 + $K$1:$K$79) / ($C$1:$C$79 + $K$1:$K$79))</f>
      </c>
      <c r="O7" s="20">
        <f>(($D$1:$D$68 + $K$1:$K$68) / ($C$1:$C$68 + $K$1:$K$97)) + ((($E$1:$E$109) + (2 * $F$1:$F$109) + (3 * $G$1:$G$109) + (4 * $H$1:$H$109)) / $C$1:$C$68)</f>
      </c>
      <c r="P7" s="21">
        <v>3</v>
      </c>
      <c r="Q7" s="21">
        <v>1</v>
      </c>
      <c r="R7" s="22">
        <f>$Q$1:$Q$84/$P$1:$P$84</f>
      </c>
      <c r="S7" s="4"/>
      <c r="T7" s="4"/>
      <c r="U7" s="4"/>
      <c r="V7" s="4"/>
    </row>
    <row x14ac:dyDescent="0.25" r="8" customHeight="1" ht="12.75">
      <c r="A8" s="15" t="s">
        <v>43</v>
      </c>
      <c r="B8" s="16">
        <f>$D$1:$D$79/$C$1:$C$79</f>
      </c>
      <c r="C8" s="17">
        <v>3</v>
      </c>
      <c r="D8" s="17">
        <v>2</v>
      </c>
      <c r="E8" s="17">
        <v>2</v>
      </c>
      <c r="F8" s="17">
        <v>0</v>
      </c>
      <c r="G8" s="17">
        <v>0</v>
      </c>
      <c r="H8" s="17">
        <v>0</v>
      </c>
      <c r="I8" s="17">
        <v>1</v>
      </c>
      <c r="J8" s="17">
        <v>0</v>
      </c>
      <c r="K8" s="17">
        <v>0</v>
      </c>
      <c r="L8" s="17">
        <v>0</v>
      </c>
      <c r="M8" s="16">
        <f>(($E8:$E14 + 2 * $F8:$F14 + 3 * $G8:$G14 + 4 * $H8:$H14) / $C8:$C14)</f>
      </c>
      <c r="N8" s="16">
        <f>(($D$1:$D$79 + $K$1:$K$79) / ($C$1:$C$79 + $K$1:$K$79))</f>
      </c>
      <c r="O8" s="16">
        <f>(($D$1:$D$68 + $K$1:$K$68) / ($C$1:$C$68 + $K$1:$K$97)) + ((($E$1:$E$109) + (2 * $F$1:$F$109) + (3 * $G$1:$G$109) + (4 * $H$1:$H$109)) / $C$1:$C$68)</f>
      </c>
      <c r="P8" s="17">
        <v>1</v>
      </c>
      <c r="Q8" s="17">
        <v>1</v>
      </c>
      <c r="R8" s="18">
        <f>$Q$1:$Q$84/$P$1:$P$84</f>
      </c>
      <c r="S8" s="4"/>
      <c r="T8" s="4"/>
      <c r="U8" s="4"/>
      <c r="V8" s="4"/>
    </row>
    <row x14ac:dyDescent="0.25" r="9" customHeight="1" ht="12.75">
      <c r="A9" s="19" t="s">
        <v>25</v>
      </c>
      <c r="B9" s="20">
        <f>$D$1:$D$79/$C$1:$C$79</f>
      </c>
      <c r="C9" s="21">
        <v>3</v>
      </c>
      <c r="D9" s="21">
        <v>1</v>
      </c>
      <c r="E9" s="21">
        <v>1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0">
        <f>(($E9:$E19 + 2 * $F9:$F19 + 3 * $G9:$G19 + 4 * $H9:$H19) / $C9:$C19)</f>
      </c>
      <c r="N9" s="20">
        <f>(($D$1:$D$79 + $K$1:$K$79) / ($C$1:$C$79 + $K$1:$K$79))</f>
      </c>
      <c r="O9" s="20">
        <f>(($D$1:$D$68 + $K$1:$K$68) / ($C$1:$C$68 + $K$1:$K$97)) + ((($E$1:$E$109) + (2 * $F$1:$F$109) + (3 * $G$1:$G$109) + (4 * $H$1:$H$109)) / $C$1:$C$68)</f>
      </c>
      <c r="P9" s="21">
        <v>1</v>
      </c>
      <c r="Q9" s="21">
        <v>0</v>
      </c>
      <c r="R9" s="22">
        <f>$Q$1:$Q$84/$P$1:$P$84</f>
      </c>
      <c r="S9" s="4"/>
      <c r="T9" s="4"/>
      <c r="U9" s="4"/>
      <c r="V9" s="4"/>
    </row>
    <row x14ac:dyDescent="0.25" r="10" customHeight="1" ht="12.75">
      <c r="A10" s="15" t="s">
        <v>39</v>
      </c>
      <c r="B10" s="16">
        <f>$D$1:$D$79/$C$1:$C$79</f>
      </c>
      <c r="C10" s="17">
        <v>3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6">
        <f>(($E10:$E14 + 2 * $F10:$F14 + 3 * $G10:$G14 + 4 * $H10:$H14) / $C10:$C14)</f>
      </c>
      <c r="N10" s="16">
        <f>(($D$1:$D$79 + $K$1:$K$79) / ($C$1:$C$79 + $K$1:$K$79))</f>
      </c>
      <c r="O10" s="16">
        <f>(($D$1:$D$68 + $K$1:$K$68) / ($C$1:$C$68 + $K$1:$K$97)) + ((($E$1:$E$109) + (2 * $F$1:$F$109) + (3 * $G$1:$G$109) + (4 * $H$1:$H$109)) / $C$1:$C$68)</f>
      </c>
      <c r="P10" s="17">
        <v>0</v>
      </c>
      <c r="Q10" s="17">
        <v>0</v>
      </c>
      <c r="R10" s="18"/>
      <c r="S10" s="4"/>
      <c r="T10" s="4"/>
      <c r="U10" s="4"/>
      <c r="V10" s="4"/>
    </row>
    <row x14ac:dyDescent="0.25" r="11" customHeight="1" ht="12.75">
      <c r="A11" s="19" t="s">
        <v>38</v>
      </c>
      <c r="B11" s="20">
        <f>$D$1:$D$79/$C$1:$C$79</f>
      </c>
      <c r="C11" s="21">
        <v>2</v>
      </c>
      <c r="D11" s="21">
        <v>1</v>
      </c>
      <c r="E11" s="21">
        <v>1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0">
        <f>(($E11:$E14 + 2 * $F11:$F14 + 3 * $G11:$G14 + 4 * $H11:$H14) / $C11:$C14)</f>
      </c>
      <c r="N11" s="20">
        <f>(($D$1:$D$79 + $K$1:$K$79) / ($C$1:$C$79 + $K$1:$K$79))</f>
      </c>
      <c r="O11" s="20">
        <f>(($D$1:$D$68 + $K$1:$K$68) / ($C$1:$C$68 + $K$1:$K$97)) + ((($E$1:$E$109) + (2 * $F$1:$F$109) + (3 * $G$1:$G$109) + (4 * $H$1:$H$109)) / $C$1:$C$68)</f>
      </c>
      <c r="P11" s="21">
        <v>0</v>
      </c>
      <c r="Q11" s="21">
        <v>0</v>
      </c>
      <c r="R11" s="22"/>
      <c r="S11" s="4"/>
      <c r="T11" s="4"/>
      <c r="U11" s="4"/>
      <c r="V11" s="4"/>
    </row>
    <row x14ac:dyDescent="0.25" r="12" customHeight="1" ht="12.75">
      <c r="A12" s="15" t="s">
        <v>53</v>
      </c>
      <c r="B12" s="16">
        <f>$D$1:$D$79/$C$1:$C$79</f>
      </c>
      <c r="C12" s="17">
        <v>3</v>
      </c>
      <c r="D12" s="17">
        <v>1</v>
      </c>
      <c r="E12" s="17">
        <v>1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6">
        <f>(($E12:$E18 + 2 * $F12:$F18 + 3 * $G12:$G18 + 4 * $H12:$H18) / $C12:$C18)</f>
      </c>
      <c r="N12" s="16">
        <f>(($D$1:$D$79 + $K$1:$K$79) / ($C$1:$C$79 + $K$1:$K$79))</f>
      </c>
      <c r="O12" s="16">
        <f>(($D$1:$D$68 + $K$1:$K$68) / ($C$1:$C$68 + $K$1:$K$97)) + ((($E$1:$E$109) + (2 * $F$1:$F$109) + (3 * $G$1:$G$109) + (4 * $H$1:$H$109)) / $C$1:$C$68)</f>
      </c>
      <c r="P12" s="17">
        <v>0</v>
      </c>
      <c r="Q12" s="17">
        <v>0</v>
      </c>
      <c r="R12" s="18"/>
      <c r="S12" s="4"/>
      <c r="T12" s="4"/>
      <c r="U12" s="4"/>
      <c r="V12" s="4"/>
    </row>
    <row x14ac:dyDescent="0.25" r="13" customHeight="1" ht="12.75">
      <c r="A13" s="19" t="s">
        <v>45</v>
      </c>
      <c r="B13" s="20">
        <f>$D$1:$D$79/$C$1:$C$79</f>
      </c>
      <c r="C13" s="21">
        <v>3</v>
      </c>
      <c r="D13" s="21">
        <v>1</v>
      </c>
      <c r="E13" s="21">
        <v>1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0">
        <f>(($E13:$E19 + 2 * $F13:$F19 + 3 * $G13:$G19 + 4 * $H13:$H19) / $C13:$C19)</f>
      </c>
      <c r="N13" s="20">
        <f>(($D$1:$D$79 + $K$1:$K$79) / ($C$1:$C$79 + $K$1:$K$79))</f>
      </c>
      <c r="O13" s="20">
        <f>(($D$1:$D$68 + $K$1:$K$68) / ($C$1:$C$68 + $K$1:$K$97)) + ((($E$1:$E$109) + (2 * $F$1:$F$109) + (3 * $G$1:$G$109) + (4 * $H$1:$H$109)) / $C$1:$C$68)</f>
      </c>
      <c r="P13" s="21">
        <v>1</v>
      </c>
      <c r="Q13" s="21">
        <v>0</v>
      </c>
      <c r="R13" s="22">
        <f>$Q$1:$Q$84/$P$1:$P$84</f>
      </c>
      <c r="S13" s="4"/>
      <c r="T13" s="4"/>
      <c r="U13" s="4"/>
      <c r="V13" s="4"/>
    </row>
    <row x14ac:dyDescent="0.25" r="14" customHeight="1" ht="12.75">
      <c r="A14" s="24" t="s">
        <v>46</v>
      </c>
      <c r="B14" s="48">
        <f>$D$1:$D$79/$C$1:$C$79</f>
      </c>
      <c r="C14" s="49">
        <v>3</v>
      </c>
      <c r="D14" s="49">
        <v>2</v>
      </c>
      <c r="E14" s="49">
        <v>2</v>
      </c>
      <c r="F14" s="49">
        <v>0</v>
      </c>
      <c r="G14" s="49">
        <v>0</v>
      </c>
      <c r="H14" s="49">
        <v>0</v>
      </c>
      <c r="I14" s="49">
        <v>0</v>
      </c>
      <c r="J14" s="49">
        <v>1</v>
      </c>
      <c r="K14" s="49">
        <v>0</v>
      </c>
      <c r="L14" s="49">
        <v>0</v>
      </c>
      <c r="M14" s="48">
        <f>(($E14:$E20 + 2 * $F14:$F20 + 3 * $G14:$G20 + 4 * $H14:$H20) / $C14:$C20)</f>
      </c>
      <c r="N14" s="48">
        <f>(($D$1:$D$79 + $K$1:$K$79) / ($C$1:$C$79 + $K$1:$K$79))</f>
      </c>
      <c r="O14" s="48">
        <f>(($D$1:$D$68 + $K$1:$K$68) / ($C$1:$C$68 + $K$1:$K$97)) + ((($E$1:$E$109) + (2 * $F$1:$F$109) + (3 * $G$1:$G$109) + (4 * $H$1:$H$109)) / $C$1:$C$68)</f>
      </c>
      <c r="P14" s="49">
        <v>0</v>
      </c>
      <c r="Q14" s="49">
        <v>0</v>
      </c>
      <c r="R14" s="50"/>
      <c r="S14" s="4"/>
      <c r="T14" s="4"/>
      <c r="U14" s="4"/>
      <c r="V14" s="4"/>
    </row>
    <row x14ac:dyDescent="0.25" r="15" customHeight="1" ht="14.25">
      <c r="A15" s="14"/>
      <c r="B15" s="14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14"/>
      <c r="N15" s="14"/>
      <c r="O15" s="14"/>
      <c r="P15" s="28"/>
      <c r="Q15" s="28"/>
      <c r="R15" s="14"/>
      <c r="S15" s="14"/>
      <c r="T15" s="14"/>
      <c r="U15" s="14"/>
      <c r="V15" s="14"/>
    </row>
    <row x14ac:dyDescent="0.25" r="16" customHeight="1" ht="14.25">
      <c r="A16" s="14"/>
      <c r="B16" s="14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14"/>
      <c r="N16" s="14"/>
      <c r="O16" s="14"/>
      <c r="P16" s="28"/>
      <c r="Q16" s="28"/>
      <c r="R16" s="14"/>
      <c r="S16" s="14"/>
      <c r="T16" s="14"/>
      <c r="U16" s="14"/>
      <c r="V16" s="14"/>
    </row>
    <row x14ac:dyDescent="0.25" r="17" customHeight="1" ht="14.25">
      <c r="A17" s="14"/>
      <c r="B17" s="14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14"/>
      <c r="N17" s="14"/>
      <c r="O17" s="14"/>
      <c r="P17" s="28"/>
      <c r="Q17" s="28"/>
      <c r="R17" s="14"/>
      <c r="S17" s="14"/>
      <c r="T17" s="14"/>
      <c r="U17" s="14"/>
      <c r="V17" s="14"/>
    </row>
    <row x14ac:dyDescent="0.25" r="18" customHeight="1" ht="14.25">
      <c r="A18" s="14"/>
      <c r="B18" s="14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14"/>
      <c r="N18" s="14"/>
      <c r="O18" s="14"/>
      <c r="P18" s="28"/>
      <c r="Q18" s="28"/>
      <c r="R18" s="14"/>
      <c r="S18" s="14"/>
      <c r="T18" s="14"/>
      <c r="U18" s="14"/>
      <c r="V18" s="14"/>
    </row>
    <row x14ac:dyDescent="0.25" r="19" customHeight="1" ht="14.25">
      <c r="A19" s="14"/>
      <c r="B19" s="14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14"/>
      <c r="N19" s="14"/>
      <c r="O19" s="14"/>
      <c r="P19" s="28"/>
      <c r="Q19" s="28"/>
      <c r="R19" s="14"/>
      <c r="S19" s="14"/>
      <c r="T19" s="14"/>
      <c r="U19" s="14"/>
      <c r="V19" s="14"/>
    </row>
    <row x14ac:dyDescent="0.25" r="20" customHeight="1" ht="14.25">
      <c r="A20" s="14"/>
      <c r="B20" s="14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14"/>
      <c r="N20" s="14"/>
      <c r="O20" s="14"/>
      <c r="P20" s="28"/>
      <c r="Q20" s="28"/>
      <c r="R20" s="14"/>
      <c r="S20" s="14"/>
      <c r="T20" s="14"/>
      <c r="U20" s="14"/>
      <c r="V20" s="14"/>
    </row>
    <row x14ac:dyDescent="0.25" r="21" customHeight="1" ht="14.25">
      <c r="A21" s="14"/>
      <c r="B21" s="14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14"/>
      <c r="N21" s="14"/>
      <c r="O21" s="14"/>
      <c r="P21" s="28"/>
      <c r="Q21" s="28"/>
      <c r="R21" s="14"/>
      <c r="S21" s="14"/>
      <c r="T21" s="14"/>
      <c r="U21" s="14"/>
      <c r="V21" s="14"/>
    </row>
    <row x14ac:dyDescent="0.25" r="22" customHeight="1" ht="14.25">
      <c r="A22" s="14"/>
      <c r="B22" s="14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14"/>
      <c r="N22" s="14"/>
      <c r="O22" s="14"/>
      <c r="P22" s="28"/>
      <c r="Q22" s="28"/>
      <c r="R22" s="14"/>
      <c r="S22" s="14"/>
      <c r="T22" s="14"/>
      <c r="U22" s="14"/>
      <c r="V22" s="14"/>
    </row>
    <row x14ac:dyDescent="0.25" r="23" customHeight="1" ht="14.25">
      <c r="A23" s="14"/>
      <c r="B23" s="14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4"/>
      <c r="N23" s="14"/>
      <c r="O23" s="14"/>
      <c r="P23" s="28"/>
      <c r="Q23" s="28"/>
      <c r="R23" s="14"/>
      <c r="S23" s="14"/>
      <c r="T23" s="14"/>
      <c r="U23" s="14"/>
      <c r="V23" s="14"/>
    </row>
    <row x14ac:dyDescent="0.25" r="24" customHeight="1" ht="14.25">
      <c r="A24" s="14"/>
      <c r="B24" s="14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14"/>
      <c r="N24" s="14"/>
      <c r="O24" s="14"/>
      <c r="P24" s="28"/>
      <c r="Q24" s="28"/>
      <c r="R24" s="14"/>
      <c r="S24" s="14"/>
      <c r="T24" s="14"/>
      <c r="U24" s="14"/>
      <c r="V24" s="14"/>
    </row>
    <row x14ac:dyDescent="0.25" r="25" customHeight="1" ht="14.25">
      <c r="A25" s="14"/>
      <c r="B25" s="14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4"/>
      <c r="N25" s="14"/>
      <c r="O25" s="14"/>
      <c r="P25" s="28"/>
      <c r="Q25" s="28"/>
      <c r="R25" s="14"/>
      <c r="S25" s="14"/>
      <c r="T25" s="14"/>
      <c r="U25" s="14"/>
      <c r="V25" s="14"/>
    </row>
    <row x14ac:dyDescent="0.25" r="26" customHeight="1" ht="14.25">
      <c r="A26" s="14"/>
      <c r="B26" s="14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14"/>
      <c r="N26" s="14"/>
      <c r="O26" s="14"/>
      <c r="P26" s="28"/>
      <c r="Q26" s="28"/>
      <c r="R26" s="14"/>
      <c r="S26" s="14"/>
      <c r="T26" s="14"/>
      <c r="U26" s="14"/>
      <c r="V26" s="14"/>
    </row>
    <row x14ac:dyDescent="0.25" r="27" customHeight="1" ht="14.25">
      <c r="A27" s="14"/>
      <c r="B27" s="14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14"/>
      <c r="N27" s="14"/>
      <c r="O27" s="14"/>
      <c r="P27" s="28"/>
      <c r="Q27" s="28"/>
      <c r="R27" s="14"/>
      <c r="S27" s="14"/>
      <c r="T27" s="14"/>
      <c r="U27" s="14"/>
      <c r="V27" s="14"/>
    </row>
    <row x14ac:dyDescent="0.25" r="28" customHeight="1" ht="14.25">
      <c r="A28" s="14"/>
      <c r="B28" s="14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4"/>
      <c r="N28" s="14"/>
      <c r="O28" s="14"/>
      <c r="P28" s="28"/>
      <c r="Q28" s="28"/>
      <c r="R28" s="14"/>
      <c r="S28" s="14"/>
      <c r="T28" s="14"/>
      <c r="U28" s="14"/>
      <c r="V28" s="14"/>
    </row>
    <row x14ac:dyDescent="0.25" r="29" customHeight="1" ht="14.25">
      <c r="A29" s="14"/>
      <c r="B29" s="14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4"/>
      <c r="N29" s="14"/>
      <c r="O29" s="14"/>
      <c r="P29" s="28"/>
      <c r="Q29" s="28"/>
      <c r="R29" s="14"/>
      <c r="S29" s="14"/>
      <c r="T29" s="14"/>
      <c r="U29" s="14"/>
      <c r="V29" s="14"/>
    </row>
    <row x14ac:dyDescent="0.25" r="30" customHeight="1" ht="14.25">
      <c r="A30" s="14"/>
      <c r="B30" s="14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4"/>
      <c r="N30" s="14"/>
      <c r="O30" s="14"/>
      <c r="P30" s="28"/>
      <c r="Q30" s="28"/>
      <c r="R30" s="14"/>
      <c r="S30" s="14"/>
      <c r="T30" s="14"/>
      <c r="U30" s="14"/>
      <c r="V30" s="14"/>
    </row>
    <row x14ac:dyDescent="0.25" r="31" customHeight="1" ht="14.25">
      <c r="A31" s="14"/>
      <c r="B31" s="14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14"/>
      <c r="N31" s="14"/>
      <c r="O31" s="14"/>
      <c r="P31" s="28"/>
      <c r="Q31" s="28"/>
      <c r="R31" s="14"/>
      <c r="S31" s="14"/>
      <c r="T31" s="14"/>
      <c r="U31" s="14"/>
      <c r="V31" s="14"/>
    </row>
    <row x14ac:dyDescent="0.25" r="32" customHeight="1" ht="14.25">
      <c r="A32" s="14"/>
      <c r="B32" s="14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14"/>
      <c r="N32" s="14"/>
      <c r="O32" s="14"/>
      <c r="P32" s="28"/>
      <c r="Q32" s="28"/>
      <c r="R32" s="14"/>
      <c r="S32" s="14"/>
      <c r="T32" s="14"/>
      <c r="U32" s="14"/>
      <c r="V32" s="14"/>
    </row>
    <row x14ac:dyDescent="0.25" r="33" customHeight="1" ht="14.25">
      <c r="A33" s="14"/>
      <c r="B33" s="14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14"/>
      <c r="N33" s="14"/>
      <c r="O33" s="14"/>
      <c r="P33" s="28"/>
      <c r="Q33" s="28"/>
      <c r="R33" s="14"/>
      <c r="S33" s="14"/>
      <c r="T33" s="14"/>
      <c r="U33" s="14"/>
      <c r="V33" s="14"/>
    </row>
    <row x14ac:dyDescent="0.25" r="34" customHeight="1" ht="14.25">
      <c r="A34" s="14"/>
      <c r="B34" s="14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14"/>
      <c r="N34" s="14"/>
      <c r="O34" s="14"/>
      <c r="P34" s="28"/>
      <c r="Q34" s="28"/>
      <c r="R34" s="14"/>
      <c r="S34" s="14"/>
      <c r="T34" s="14"/>
      <c r="U34" s="14"/>
      <c r="V34" s="14"/>
    </row>
    <row x14ac:dyDescent="0.25" r="35" customHeight="1" ht="14.25">
      <c r="A35" s="14"/>
      <c r="B35" s="14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14"/>
      <c r="N35" s="14"/>
      <c r="O35" s="14"/>
      <c r="P35" s="28"/>
      <c r="Q35" s="28"/>
      <c r="R35" s="14"/>
      <c r="S35" s="14"/>
      <c r="T35" s="14"/>
      <c r="U35" s="14"/>
      <c r="V35" s="14"/>
    </row>
    <row x14ac:dyDescent="0.25" r="36" customHeight="1" ht="14.25">
      <c r="A36" s="14"/>
      <c r="B36" s="14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14"/>
      <c r="N36" s="14"/>
      <c r="O36" s="14"/>
      <c r="P36" s="28"/>
      <c r="Q36" s="28"/>
      <c r="R36" s="14"/>
      <c r="S36" s="14"/>
      <c r="T36" s="14"/>
      <c r="U36" s="14"/>
      <c r="V36" s="14"/>
    </row>
    <row x14ac:dyDescent="0.25" r="37" customHeight="1" ht="14.25">
      <c r="A37" s="14"/>
      <c r="B37" s="14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14"/>
      <c r="N37" s="14"/>
      <c r="O37" s="14"/>
      <c r="P37" s="28"/>
      <c r="Q37" s="28"/>
      <c r="R37" s="14"/>
      <c r="S37" s="14"/>
      <c r="T37" s="14"/>
      <c r="U37" s="14"/>
      <c r="V37" s="14"/>
    </row>
    <row x14ac:dyDescent="0.25" r="38" customHeight="1" ht="14.25">
      <c r="A38" s="14"/>
      <c r="B38" s="14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14"/>
      <c r="N38" s="14"/>
      <c r="O38" s="14"/>
      <c r="P38" s="28"/>
      <c r="Q38" s="28"/>
      <c r="R38" s="14"/>
      <c r="S38" s="14"/>
      <c r="T38" s="14"/>
      <c r="U38" s="14"/>
      <c r="V38" s="14"/>
    </row>
    <row x14ac:dyDescent="0.25" r="39" customHeight="1" ht="14.25">
      <c r="A39" s="14"/>
      <c r="B39" s="14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14"/>
      <c r="N39" s="14"/>
      <c r="O39" s="14"/>
      <c r="P39" s="28"/>
      <c r="Q39" s="28"/>
      <c r="R39" s="14"/>
      <c r="S39" s="14"/>
      <c r="T39" s="14"/>
      <c r="U39" s="14"/>
      <c r="V39" s="14"/>
    </row>
    <row x14ac:dyDescent="0.25" r="40" customHeight="1" ht="14.25">
      <c r="A40" s="14"/>
      <c r="B40" s="14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14"/>
      <c r="N40" s="14"/>
      <c r="O40" s="14"/>
      <c r="P40" s="28"/>
      <c r="Q40" s="28"/>
      <c r="R40" s="14"/>
      <c r="S40" s="14"/>
      <c r="T40" s="14"/>
      <c r="U40" s="14"/>
      <c r="V40" s="14"/>
    </row>
    <row x14ac:dyDescent="0.25" r="41" customHeight="1" ht="14.25">
      <c r="A41" s="14"/>
      <c r="B41" s="14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14"/>
      <c r="N41" s="14"/>
      <c r="O41" s="14"/>
      <c r="P41" s="28"/>
      <c r="Q41" s="28"/>
      <c r="R41" s="14"/>
      <c r="S41" s="14"/>
      <c r="T41" s="14"/>
      <c r="U41" s="14"/>
      <c r="V41" s="14"/>
    </row>
    <row x14ac:dyDescent="0.25" r="42" customHeight="1" ht="14.25">
      <c r="A42" s="14"/>
      <c r="B42" s="14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14"/>
      <c r="N42" s="14"/>
      <c r="O42" s="14"/>
      <c r="P42" s="28"/>
      <c r="Q42" s="28"/>
      <c r="R42" s="14"/>
      <c r="S42" s="14"/>
      <c r="T42" s="14"/>
      <c r="U42" s="14"/>
      <c r="V42" s="14"/>
    </row>
    <row x14ac:dyDescent="0.25" r="43" customHeight="1" ht="14.25">
      <c r="A43" s="14"/>
      <c r="B43" s="1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14"/>
      <c r="N43" s="14"/>
      <c r="O43" s="14"/>
      <c r="P43" s="28"/>
      <c r="Q43" s="28"/>
      <c r="R43" s="14"/>
      <c r="S43" s="14"/>
      <c r="T43" s="14"/>
      <c r="U43" s="14"/>
      <c r="V43" s="14"/>
    </row>
    <row x14ac:dyDescent="0.25" r="44" customHeight="1" ht="14.25">
      <c r="A44" s="14"/>
      <c r="B44" s="14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14"/>
      <c r="N44" s="14"/>
      <c r="O44" s="14"/>
      <c r="P44" s="28"/>
      <c r="Q44" s="28"/>
      <c r="R44" s="14"/>
      <c r="S44" s="14"/>
      <c r="T44" s="14"/>
      <c r="U44" s="14"/>
      <c r="V44" s="14"/>
    </row>
    <row x14ac:dyDescent="0.25" r="45" customHeight="1" ht="14.25">
      <c r="A45" s="14"/>
      <c r="B45" s="14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14"/>
      <c r="N45" s="14"/>
      <c r="O45" s="14"/>
      <c r="P45" s="28"/>
      <c r="Q45" s="28"/>
      <c r="R45" s="14"/>
      <c r="S45" s="14"/>
      <c r="T45" s="14"/>
      <c r="U45" s="14"/>
      <c r="V45" s="14"/>
    </row>
    <row x14ac:dyDescent="0.25" r="46" customHeight="1" ht="14.25">
      <c r="A46" s="14"/>
      <c r="B46" s="14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14"/>
      <c r="N46" s="14"/>
      <c r="O46" s="14"/>
      <c r="P46" s="28"/>
      <c r="Q46" s="28"/>
      <c r="R46" s="14"/>
      <c r="S46" s="14"/>
      <c r="T46" s="14"/>
      <c r="U46" s="14"/>
      <c r="V46" s="14"/>
    </row>
    <row x14ac:dyDescent="0.25" r="47" customHeight="1" ht="14.25">
      <c r="A47" s="14"/>
      <c r="B47" s="14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14"/>
      <c r="N47" s="14"/>
      <c r="O47" s="14"/>
      <c r="P47" s="28"/>
      <c r="Q47" s="28"/>
      <c r="R47" s="14"/>
      <c r="S47" s="14"/>
      <c r="T47" s="14"/>
      <c r="U47" s="14"/>
      <c r="V47" s="14"/>
    </row>
    <row x14ac:dyDescent="0.25" r="48" customHeight="1" ht="14.25">
      <c r="A48" s="14"/>
      <c r="B48" s="14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14"/>
      <c r="N48" s="14"/>
      <c r="O48" s="14"/>
      <c r="P48" s="28"/>
      <c r="Q48" s="28"/>
      <c r="R48" s="14"/>
      <c r="S48" s="14"/>
      <c r="T48" s="14"/>
      <c r="U48" s="14"/>
      <c r="V48" s="14"/>
    </row>
    <row x14ac:dyDescent="0.25" r="49" customHeight="1" ht="14.25">
      <c r="A49" s="14"/>
      <c r="B49" s="14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14"/>
      <c r="N49" s="14"/>
      <c r="O49" s="14"/>
      <c r="P49" s="28"/>
      <c r="Q49" s="28"/>
      <c r="R49" s="14"/>
      <c r="S49" s="14"/>
      <c r="T49" s="14"/>
      <c r="U49" s="14"/>
      <c r="V49" s="14"/>
    </row>
    <row x14ac:dyDescent="0.25" r="50" customHeight="1" ht="12.75">
      <c r="A50" s="4"/>
      <c r="B50" s="29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29"/>
      <c r="N50" s="29"/>
      <c r="O50" s="29"/>
      <c r="P50" s="32"/>
      <c r="Q50" s="32"/>
      <c r="R50" s="4"/>
      <c r="S50" s="4"/>
      <c r="T50" s="4"/>
      <c r="U50" s="4"/>
      <c r="V50" s="4"/>
    </row>
    <row x14ac:dyDescent="0.25" r="51" customHeight="1" ht="12.75">
      <c r="A51" s="4"/>
      <c r="B51" s="29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29"/>
      <c r="N51" s="29"/>
      <c r="O51" s="29"/>
      <c r="P51" s="32"/>
      <c r="Q51" s="32"/>
      <c r="R51" s="4"/>
      <c r="S51" s="4"/>
      <c r="T51" s="4"/>
      <c r="U51" s="4"/>
      <c r="V51" s="4"/>
    </row>
    <row x14ac:dyDescent="0.25" r="52" customHeight="1" ht="12.75">
      <c r="A52" s="4"/>
      <c r="B52" s="29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29"/>
      <c r="N52" s="29"/>
      <c r="O52" s="29"/>
      <c r="P52" s="32"/>
      <c r="Q52" s="32"/>
      <c r="R52" s="4"/>
      <c r="S52" s="4"/>
      <c r="T52" s="4"/>
      <c r="U52" s="4"/>
      <c r="V52" s="4"/>
    </row>
    <row x14ac:dyDescent="0.25" r="53" customHeight="1" ht="12.75">
      <c r="A53" s="4"/>
      <c r="B53" s="29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29"/>
      <c r="N53" s="29"/>
      <c r="O53" s="29"/>
      <c r="P53" s="32"/>
      <c r="Q53" s="32"/>
      <c r="R53" s="4"/>
      <c r="S53" s="4"/>
      <c r="T53" s="4"/>
      <c r="U53" s="4"/>
      <c r="V53" s="4"/>
    </row>
    <row x14ac:dyDescent="0.25" r="54" customHeight="1" ht="12.75">
      <c r="A54" s="4"/>
      <c r="B54" s="29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29"/>
      <c r="N54" s="29"/>
      <c r="O54" s="29"/>
      <c r="P54" s="32"/>
      <c r="Q54" s="32"/>
      <c r="R54" s="4"/>
      <c r="S54" s="4"/>
      <c r="T54" s="4"/>
      <c r="U54" s="4"/>
      <c r="V54" s="4"/>
    </row>
    <row x14ac:dyDescent="0.25" r="55" customHeight="1" ht="12.75">
      <c r="A55" s="4"/>
      <c r="B55" s="29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29"/>
      <c r="N55" s="29"/>
      <c r="O55" s="29"/>
      <c r="P55" s="32"/>
      <c r="Q55" s="32"/>
      <c r="R55" s="4"/>
      <c r="S55" s="4"/>
      <c r="T55" s="4"/>
      <c r="U55" s="4"/>
      <c r="V55" s="4"/>
    </row>
    <row x14ac:dyDescent="0.25" r="56" customHeight="1" ht="12.75">
      <c r="A56" s="4"/>
      <c r="B56" s="29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29"/>
      <c r="N56" s="29"/>
      <c r="O56" s="29"/>
      <c r="P56" s="32"/>
      <c r="Q56" s="32"/>
      <c r="R56" s="4"/>
      <c r="S56" s="4"/>
      <c r="T56" s="4"/>
      <c r="U56" s="4"/>
      <c r="V56" s="4"/>
    </row>
    <row x14ac:dyDescent="0.25" r="57" customHeight="1" ht="12.75">
      <c r="A57" s="4"/>
      <c r="B57" s="29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29"/>
      <c r="N57" s="29"/>
      <c r="O57" s="29"/>
      <c r="P57" s="32"/>
      <c r="Q57" s="32"/>
      <c r="R57" s="4"/>
      <c r="S57" s="4"/>
      <c r="T57" s="4"/>
      <c r="U57" s="4"/>
      <c r="V57" s="4"/>
    </row>
    <row x14ac:dyDescent="0.25" r="58" customHeight="1" ht="12.75">
      <c r="A58" s="4"/>
      <c r="B58" s="29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29"/>
      <c r="N58" s="29"/>
      <c r="O58" s="29"/>
      <c r="P58" s="32"/>
      <c r="Q58" s="32"/>
      <c r="R58" s="4"/>
      <c r="S58" s="4"/>
      <c r="T58" s="4"/>
      <c r="U58" s="4"/>
      <c r="V58" s="4"/>
    </row>
    <row x14ac:dyDescent="0.25" r="59" customHeight="1" ht="12.75">
      <c r="A59" s="4"/>
      <c r="B59" s="29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29"/>
      <c r="N59" s="29"/>
      <c r="O59" s="29"/>
      <c r="P59" s="32"/>
      <c r="Q59" s="32"/>
      <c r="R59" s="4"/>
      <c r="S59" s="4"/>
      <c r="T59" s="4"/>
      <c r="U59" s="4"/>
      <c r="V59" s="4"/>
    </row>
    <row x14ac:dyDescent="0.25" r="60" customHeight="1" ht="12.75">
      <c r="A60" s="4"/>
      <c r="B60" s="29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29"/>
      <c r="N60" s="29"/>
      <c r="O60" s="29"/>
      <c r="P60" s="32"/>
      <c r="Q60" s="32"/>
      <c r="R60" s="4"/>
      <c r="S60" s="4"/>
      <c r="T60" s="4"/>
      <c r="U60" s="4"/>
      <c r="V60" s="4"/>
    </row>
    <row x14ac:dyDescent="0.25" r="61" customHeight="1" ht="12.75">
      <c r="A61" s="4"/>
      <c r="B61" s="29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29"/>
      <c r="N61" s="29"/>
      <c r="O61" s="29"/>
      <c r="P61" s="32"/>
      <c r="Q61" s="32"/>
      <c r="R61" s="4"/>
      <c r="S61" s="4"/>
      <c r="T61" s="4"/>
      <c r="U61" s="4"/>
      <c r="V61" s="4"/>
    </row>
    <row x14ac:dyDescent="0.25" r="62" customHeight="1" ht="12.75">
      <c r="A62" s="4"/>
      <c r="B62" s="29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29"/>
      <c r="N62" s="29"/>
      <c r="O62" s="29"/>
      <c r="P62" s="32"/>
      <c r="Q62" s="32"/>
      <c r="R62" s="4"/>
      <c r="S62" s="4"/>
      <c r="T62" s="4"/>
      <c r="U62" s="4"/>
      <c r="V62" s="4"/>
    </row>
    <row x14ac:dyDescent="0.25" r="63" customHeight="1" ht="12.75">
      <c r="A63" s="4"/>
      <c r="B63" s="29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29"/>
      <c r="N63" s="29"/>
      <c r="O63" s="29"/>
      <c r="P63" s="32"/>
      <c r="Q63" s="32"/>
      <c r="R63" s="4"/>
      <c r="S63" s="4"/>
      <c r="T63" s="4"/>
      <c r="U63" s="4"/>
      <c r="V63" s="4"/>
    </row>
    <row x14ac:dyDescent="0.25" r="64" customHeight="1" ht="12.75">
      <c r="A64" s="4"/>
      <c r="B64" s="29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29"/>
      <c r="N64" s="29"/>
      <c r="O64" s="29"/>
      <c r="P64" s="32"/>
      <c r="Q64" s="32"/>
      <c r="R64" s="4"/>
      <c r="S64" s="4"/>
      <c r="T64" s="4"/>
      <c r="U64" s="4"/>
      <c r="V64" s="4"/>
    </row>
    <row x14ac:dyDescent="0.25" r="65" customHeight="1" ht="12.75">
      <c r="A65" s="4"/>
      <c r="B65" s="29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29"/>
      <c r="N65" s="29"/>
      <c r="O65" s="29"/>
      <c r="P65" s="32"/>
      <c r="Q65" s="32"/>
      <c r="R65" s="4"/>
      <c r="S65" s="4"/>
      <c r="T65" s="4"/>
      <c r="U65" s="4"/>
      <c r="V65" s="4"/>
    </row>
    <row x14ac:dyDescent="0.25" r="66" customHeight="1" ht="12.75">
      <c r="A66" s="4"/>
      <c r="B66" s="29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29"/>
      <c r="N66" s="29"/>
      <c r="O66" s="29"/>
      <c r="P66" s="32"/>
      <c r="Q66" s="32"/>
      <c r="R66" s="4"/>
      <c r="S66" s="4"/>
      <c r="T66" s="4"/>
      <c r="U66" s="4"/>
      <c r="V66" s="4"/>
    </row>
    <row x14ac:dyDescent="0.25" r="67" customHeight="1" ht="12.75">
      <c r="A67" s="4"/>
      <c r="B67" s="29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29"/>
      <c r="N67" s="29"/>
      <c r="O67" s="29"/>
      <c r="P67" s="32"/>
      <c r="Q67" s="32"/>
      <c r="R67" s="4"/>
      <c r="S67" s="4"/>
      <c r="T67" s="4"/>
      <c r="U67" s="4"/>
      <c r="V67" s="4"/>
    </row>
    <row x14ac:dyDescent="0.25" r="68" customHeight="1" ht="12.75">
      <c r="A68" s="4"/>
      <c r="B68" s="29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29"/>
      <c r="N68" s="29"/>
      <c r="O68" s="29"/>
      <c r="P68" s="32"/>
      <c r="Q68" s="32"/>
      <c r="R68" s="4"/>
      <c r="S68" s="4"/>
      <c r="T68" s="4"/>
      <c r="U68" s="4"/>
      <c r="V68" s="4"/>
    </row>
    <row x14ac:dyDescent="0.25" r="69" customHeight="1" ht="12.75">
      <c r="A69" s="4"/>
      <c r="B69" s="29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29"/>
      <c r="N69" s="29"/>
      <c r="O69" s="29"/>
      <c r="P69" s="32"/>
      <c r="Q69" s="32"/>
      <c r="R69" s="4"/>
      <c r="S69" s="4"/>
      <c r="T69" s="4"/>
      <c r="U69" s="4"/>
      <c r="V69" s="4"/>
    </row>
    <row x14ac:dyDescent="0.25" r="70" customHeight="1" ht="12.75">
      <c r="A70" s="4"/>
      <c r="B70" s="29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29"/>
      <c r="N70" s="29"/>
      <c r="O70" s="29"/>
      <c r="P70" s="32"/>
      <c r="Q70" s="32"/>
      <c r="R70" s="4"/>
      <c r="S70" s="4"/>
      <c r="T70" s="4"/>
      <c r="U70" s="4"/>
      <c r="V70" s="4"/>
    </row>
    <row x14ac:dyDescent="0.25" r="71" customHeight="1" ht="12.75">
      <c r="A71" s="4"/>
      <c r="B71" s="29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29"/>
      <c r="N71" s="29"/>
      <c r="O71" s="29"/>
      <c r="P71" s="32"/>
      <c r="Q71" s="32"/>
      <c r="R71" s="4"/>
      <c r="S71" s="4"/>
      <c r="T71" s="4"/>
      <c r="U71" s="4"/>
      <c r="V71" s="4"/>
    </row>
    <row x14ac:dyDescent="0.25" r="72" customHeight="1" ht="12.75">
      <c r="A72" s="4"/>
      <c r="B72" s="29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29"/>
      <c r="N72" s="29"/>
      <c r="O72" s="29"/>
      <c r="P72" s="32"/>
      <c r="Q72" s="32"/>
      <c r="R72" s="4"/>
      <c r="S72" s="4"/>
      <c r="T72" s="4"/>
      <c r="U72" s="4"/>
      <c r="V72" s="4"/>
    </row>
    <row x14ac:dyDescent="0.25" r="73" customHeight="1" ht="12.75">
      <c r="A73" s="4"/>
      <c r="B73" s="29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29"/>
      <c r="N73" s="29"/>
      <c r="O73" s="29"/>
      <c r="P73" s="32"/>
      <c r="Q73" s="32"/>
      <c r="R73" s="4"/>
      <c r="S73" s="4"/>
      <c r="T73" s="4"/>
      <c r="U73" s="4"/>
      <c r="V73" s="4"/>
    </row>
    <row x14ac:dyDescent="0.25" r="74" customHeight="1" ht="12.75">
      <c r="A74" s="4"/>
      <c r="B74" s="29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29"/>
      <c r="N74" s="29"/>
      <c r="O74" s="29"/>
      <c r="P74" s="32"/>
      <c r="Q74" s="32"/>
      <c r="R74" s="4"/>
      <c r="S74" s="4"/>
      <c r="T74" s="4"/>
      <c r="U74" s="4"/>
      <c r="V74" s="4"/>
    </row>
    <row x14ac:dyDescent="0.25" r="75" customHeight="1" ht="12.75">
      <c r="A75" s="4"/>
      <c r="B75" s="29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29"/>
      <c r="N75" s="29"/>
      <c r="O75" s="29"/>
      <c r="P75" s="32"/>
      <c r="Q75" s="32"/>
      <c r="R75" s="4"/>
      <c r="S75" s="4"/>
      <c r="T75" s="4"/>
      <c r="U75" s="4"/>
      <c r="V75" s="4"/>
    </row>
    <row x14ac:dyDescent="0.25" r="76" customHeight="1" ht="12.75">
      <c r="A76" s="4"/>
      <c r="B76" s="29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29"/>
      <c r="N76" s="29"/>
      <c r="O76" s="29"/>
      <c r="P76" s="32"/>
      <c r="Q76" s="32"/>
      <c r="R76" s="4"/>
      <c r="S76" s="4"/>
      <c r="T76" s="4"/>
      <c r="U76" s="4"/>
      <c r="V76" s="4"/>
    </row>
    <row x14ac:dyDescent="0.25" r="77" customHeight="1" ht="12.75">
      <c r="A77" s="4"/>
      <c r="B77" s="29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29"/>
      <c r="N77" s="29"/>
      <c r="O77" s="29"/>
      <c r="P77" s="32"/>
      <c r="Q77" s="32"/>
      <c r="R77" s="4"/>
      <c r="S77" s="4"/>
      <c r="T77" s="4"/>
      <c r="U77" s="4"/>
      <c r="V77" s="4"/>
    </row>
    <row x14ac:dyDescent="0.25" r="78" customHeight="1" ht="12.75">
      <c r="A78" s="4"/>
      <c r="B78" s="29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29"/>
      <c r="N78" s="29"/>
      <c r="O78" s="29"/>
      <c r="P78" s="32"/>
      <c r="Q78" s="32"/>
      <c r="R78" s="4"/>
      <c r="S78" s="4"/>
      <c r="T78" s="4"/>
      <c r="U78" s="4"/>
      <c r="V78" s="4"/>
    </row>
    <row x14ac:dyDescent="0.25" r="79" customHeight="1" ht="12.75">
      <c r="A79" s="4"/>
      <c r="B79" s="29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29"/>
      <c r="N79" s="29"/>
      <c r="O79" s="29"/>
      <c r="P79" s="32"/>
      <c r="Q79" s="32"/>
      <c r="R79" s="4"/>
      <c r="S79" s="4"/>
      <c r="T79" s="4"/>
      <c r="U79" s="4"/>
      <c r="V79" s="4"/>
    </row>
    <row x14ac:dyDescent="0.25" r="80" customHeight="1" ht="12.75">
      <c r="A80" s="4"/>
      <c r="B80" s="29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29"/>
      <c r="N80" s="29"/>
      <c r="O80" s="29"/>
      <c r="P80" s="32"/>
      <c r="Q80" s="32"/>
      <c r="R80" s="4"/>
      <c r="S80" s="4"/>
      <c r="T80" s="4"/>
      <c r="U80" s="4"/>
      <c r="V80" s="4"/>
    </row>
    <row x14ac:dyDescent="0.25" r="81" customHeight="1" ht="12.75">
      <c r="A81" s="4"/>
      <c r="B81" s="29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29"/>
      <c r="N81" s="29"/>
      <c r="O81" s="29"/>
      <c r="P81" s="32"/>
      <c r="Q81" s="32"/>
      <c r="R81" s="4"/>
      <c r="S81" s="4"/>
      <c r="T81" s="4"/>
      <c r="U81" s="4"/>
      <c r="V81" s="4"/>
    </row>
    <row x14ac:dyDescent="0.25" r="82" customHeight="1" ht="12.75">
      <c r="A82" s="4"/>
      <c r="B82" s="29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29"/>
      <c r="N82" s="29"/>
      <c r="O82" s="29"/>
      <c r="P82" s="32"/>
      <c r="Q82" s="32"/>
      <c r="R82" s="4"/>
      <c r="S82" s="4"/>
      <c r="T82" s="4"/>
      <c r="U82" s="4"/>
      <c r="V82" s="4"/>
    </row>
    <row x14ac:dyDescent="0.25" r="83" customHeight="1" ht="12.75">
      <c r="A83" s="4"/>
      <c r="B83" s="29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29"/>
      <c r="N83" s="29"/>
      <c r="O83" s="29"/>
      <c r="P83" s="32"/>
      <c r="Q83" s="32"/>
      <c r="R83" s="4"/>
      <c r="S83" s="4"/>
      <c r="T83" s="4"/>
      <c r="U83" s="4"/>
      <c r="V83" s="4"/>
    </row>
    <row x14ac:dyDescent="0.25" r="84" customHeight="1" ht="12.75">
      <c r="A84" s="4"/>
      <c r="B84" s="29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29"/>
      <c r="N84" s="29"/>
      <c r="O84" s="29"/>
      <c r="P84" s="32"/>
      <c r="Q84" s="32"/>
      <c r="R84" s="4"/>
      <c r="S84" s="4"/>
      <c r="T84" s="4"/>
      <c r="U84" s="4"/>
      <c r="V84" s="4"/>
    </row>
    <row x14ac:dyDescent="0.25" r="85" customHeight="1" ht="12.75">
      <c r="A85" s="4"/>
      <c r="B85" s="29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29"/>
      <c r="N85" s="29"/>
      <c r="O85" s="29"/>
      <c r="P85" s="32"/>
      <c r="Q85" s="32"/>
      <c r="R85" s="4"/>
      <c r="S85" s="4"/>
      <c r="T85" s="4"/>
      <c r="U85" s="4"/>
      <c r="V85" s="4"/>
    </row>
    <row x14ac:dyDescent="0.25" r="86" customHeight="1" ht="12.75">
      <c r="A86" s="4"/>
      <c r="B86" s="29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29"/>
      <c r="N86" s="29"/>
      <c r="O86" s="29"/>
      <c r="P86" s="32"/>
      <c r="Q86" s="32"/>
      <c r="R86" s="4"/>
      <c r="S86" s="4"/>
      <c r="T86" s="4"/>
      <c r="U86" s="4"/>
      <c r="V86" s="4"/>
    </row>
    <row x14ac:dyDescent="0.25" r="87" customHeight="1" ht="12.75">
      <c r="A87" s="4"/>
      <c r="B87" s="29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29"/>
      <c r="N87" s="29"/>
      <c r="O87" s="29"/>
      <c r="P87" s="32"/>
      <c r="Q87" s="32"/>
      <c r="R87" s="4"/>
      <c r="S87" s="4"/>
      <c r="T87" s="4"/>
      <c r="U87" s="4"/>
      <c r="V87" s="4"/>
    </row>
    <row x14ac:dyDescent="0.25" r="88" customHeight="1" ht="12.75">
      <c r="A88" s="4"/>
      <c r="B88" s="29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29"/>
      <c r="N88" s="29"/>
      <c r="O88" s="29"/>
      <c r="P88" s="32"/>
      <c r="Q88" s="32"/>
      <c r="R88" s="4"/>
      <c r="S88" s="4"/>
      <c r="T88" s="4"/>
      <c r="U88" s="4"/>
      <c r="V88" s="4"/>
    </row>
    <row x14ac:dyDescent="0.25" r="89" customHeight="1" ht="12.75">
      <c r="A89" s="4"/>
      <c r="B89" s="29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29"/>
      <c r="N89" s="29"/>
      <c r="O89" s="29"/>
      <c r="P89" s="32"/>
      <c r="Q89" s="32"/>
      <c r="R89" s="4"/>
      <c r="S89" s="4"/>
      <c r="T89" s="4"/>
      <c r="U89" s="4"/>
      <c r="V89" s="4"/>
    </row>
    <row x14ac:dyDescent="0.25" r="90" customHeight="1" ht="12.75">
      <c r="A90" s="4"/>
      <c r="B90" s="29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29"/>
      <c r="N90" s="29"/>
      <c r="O90" s="29"/>
      <c r="P90" s="32"/>
      <c r="Q90" s="32"/>
      <c r="R90" s="4"/>
      <c r="S90" s="4"/>
      <c r="T90" s="4"/>
      <c r="U90" s="4"/>
      <c r="V90" s="4"/>
    </row>
    <row x14ac:dyDescent="0.25" r="91" customHeight="1" ht="12.75">
      <c r="A91" s="4"/>
      <c r="B91" s="29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29"/>
      <c r="N91" s="29"/>
      <c r="O91" s="29"/>
      <c r="P91" s="32"/>
      <c r="Q91" s="32"/>
      <c r="R91" s="4"/>
      <c r="S91" s="4"/>
      <c r="T91" s="4"/>
      <c r="U91" s="4"/>
      <c r="V91" s="4"/>
    </row>
    <row x14ac:dyDescent="0.25" r="92" customHeight="1" ht="12.75">
      <c r="A92" s="4"/>
      <c r="B92" s="29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29"/>
      <c r="N92" s="29"/>
      <c r="O92" s="29"/>
      <c r="P92" s="32"/>
      <c r="Q92" s="32"/>
      <c r="R92" s="4"/>
      <c r="S92" s="4"/>
      <c r="T92" s="4"/>
      <c r="U92" s="4"/>
      <c r="V92" s="4"/>
    </row>
    <row x14ac:dyDescent="0.25" r="93" customHeight="1" ht="12.75">
      <c r="A93" s="4"/>
      <c r="B93" s="29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29"/>
      <c r="N93" s="29"/>
      <c r="O93" s="29"/>
      <c r="P93" s="32"/>
      <c r="Q93" s="32"/>
      <c r="R93" s="4"/>
      <c r="S93" s="4"/>
      <c r="T93" s="4"/>
      <c r="U93" s="4"/>
      <c r="V93" s="4"/>
    </row>
    <row x14ac:dyDescent="0.25" r="94" customHeight="1" ht="12.75">
      <c r="A94" s="4"/>
      <c r="B94" s="29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29"/>
      <c r="N94" s="29"/>
      <c r="O94" s="29"/>
      <c r="P94" s="32"/>
      <c r="Q94" s="32"/>
      <c r="R94" s="4"/>
      <c r="S94" s="4"/>
      <c r="T94" s="4"/>
      <c r="U94" s="4"/>
      <c r="V94" s="4"/>
    </row>
    <row x14ac:dyDescent="0.25" r="95" customHeight="1" ht="12.75">
      <c r="A95" s="4"/>
      <c r="B95" s="29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29"/>
      <c r="N95" s="29"/>
      <c r="O95" s="29"/>
      <c r="P95" s="32"/>
      <c r="Q95" s="32"/>
      <c r="R95" s="4"/>
      <c r="S95" s="4"/>
      <c r="T95" s="4"/>
      <c r="U95" s="4"/>
      <c r="V95" s="4"/>
    </row>
    <row x14ac:dyDescent="0.25" r="96" customHeight="1" ht="12.75">
      <c r="A96" s="4"/>
      <c r="B96" s="29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29"/>
      <c r="N96" s="29"/>
      <c r="O96" s="29"/>
      <c r="P96" s="32"/>
      <c r="Q96" s="32"/>
      <c r="R96" s="4"/>
      <c r="S96" s="4"/>
      <c r="T96" s="4"/>
      <c r="U96" s="4"/>
      <c r="V96" s="4"/>
    </row>
    <row x14ac:dyDescent="0.25" r="97" customHeight="1" ht="12.75">
      <c r="A97" s="4"/>
      <c r="B97" s="29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29"/>
      <c r="N97" s="29"/>
      <c r="O97" s="29"/>
      <c r="P97" s="32"/>
      <c r="Q97" s="32"/>
      <c r="R97" s="4"/>
      <c r="S97" s="4"/>
      <c r="T97" s="4"/>
      <c r="U97" s="4"/>
      <c r="V97" s="4"/>
    </row>
    <row x14ac:dyDescent="0.25" r="98" customHeight="1" ht="12.75">
      <c r="A98" s="4"/>
      <c r="B98" s="29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29"/>
      <c r="N98" s="29"/>
      <c r="O98" s="29"/>
      <c r="P98" s="32"/>
      <c r="Q98" s="32"/>
      <c r="R98" s="4"/>
      <c r="S98" s="4"/>
      <c r="T98" s="4"/>
      <c r="U98" s="4"/>
      <c r="V98" s="4"/>
    </row>
    <row x14ac:dyDescent="0.25" r="99" customHeight="1" ht="12.75">
      <c r="A99" s="4"/>
      <c r="B99" s="29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29"/>
      <c r="N99" s="29"/>
      <c r="O99" s="29"/>
      <c r="P99" s="32"/>
      <c r="Q99" s="32"/>
      <c r="R99" s="4"/>
      <c r="S99" s="4"/>
      <c r="T99" s="4"/>
      <c r="U99" s="4"/>
      <c r="V99" s="4"/>
    </row>
    <row x14ac:dyDescent="0.25" r="100" customHeight="1" ht="12.75">
      <c r="A100" s="4"/>
      <c r="B100" s="29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29"/>
      <c r="N100" s="29"/>
      <c r="O100" s="29"/>
      <c r="P100" s="32"/>
      <c r="Q100" s="32"/>
      <c r="R100" s="4"/>
      <c r="S100" s="4"/>
      <c r="T100" s="4"/>
      <c r="U100" s="4"/>
      <c r="V100" s="4"/>
    </row>
    <row x14ac:dyDescent="0.25" r="101" customHeight="1" ht="12.75">
      <c r="A101" s="4"/>
      <c r="B101" s="29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29"/>
      <c r="N101" s="29"/>
      <c r="O101" s="29"/>
      <c r="P101" s="32"/>
      <c r="Q101" s="32"/>
      <c r="R101" s="4"/>
      <c r="S101" s="4"/>
      <c r="T101" s="4"/>
      <c r="U101" s="4"/>
      <c r="V101" s="4"/>
    </row>
    <row x14ac:dyDescent="0.25" r="102" customHeight="1" ht="12.75">
      <c r="A102" s="4"/>
      <c r="B102" s="29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29"/>
      <c r="N102" s="29"/>
      <c r="O102" s="29"/>
      <c r="P102" s="32"/>
      <c r="Q102" s="32"/>
      <c r="R102" s="4"/>
      <c r="S102" s="4"/>
      <c r="T102" s="4"/>
      <c r="U102" s="4"/>
      <c r="V102" s="4"/>
    </row>
    <row x14ac:dyDescent="0.25" r="103" customHeight="1" ht="12.75">
      <c r="A103" s="4"/>
      <c r="B103" s="29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29"/>
      <c r="N103" s="29"/>
      <c r="O103" s="29"/>
      <c r="P103" s="32"/>
      <c r="Q103" s="32"/>
      <c r="R103" s="4"/>
      <c r="S103" s="4"/>
      <c r="T103" s="4"/>
      <c r="U103" s="4"/>
      <c r="V103" s="4"/>
    </row>
    <row x14ac:dyDescent="0.25" r="104" customHeight="1" ht="12.75">
      <c r="A104" s="4"/>
      <c r="B104" s="29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29"/>
      <c r="N104" s="29"/>
      <c r="O104" s="29"/>
      <c r="P104" s="32"/>
      <c r="Q104" s="32"/>
      <c r="R104" s="4"/>
      <c r="S104" s="4"/>
      <c r="T104" s="4"/>
      <c r="U104" s="4"/>
      <c r="V104" s="4"/>
    </row>
    <row x14ac:dyDescent="0.25" r="105" customHeight="1" ht="12.75">
      <c r="A105" s="4"/>
      <c r="B105" s="29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29"/>
      <c r="N105" s="29"/>
      <c r="O105" s="29"/>
      <c r="P105" s="32"/>
      <c r="Q105" s="32"/>
      <c r="R105" s="4"/>
      <c r="S105" s="4"/>
      <c r="T105" s="4"/>
      <c r="U105" s="4"/>
      <c r="V105" s="4"/>
    </row>
    <row x14ac:dyDescent="0.25" r="106" customHeight="1" ht="12.75">
      <c r="A106" s="4"/>
      <c r="B106" s="29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29"/>
      <c r="N106" s="29"/>
      <c r="O106" s="29"/>
      <c r="P106" s="32"/>
      <c r="Q106" s="32"/>
      <c r="R106" s="4"/>
      <c r="S106" s="4"/>
      <c r="T106" s="4"/>
      <c r="U106" s="4"/>
      <c r="V106" s="4"/>
    </row>
    <row x14ac:dyDescent="0.25" r="107" customHeight="1" ht="12.75">
      <c r="A107" s="4"/>
      <c r="B107" s="29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29"/>
      <c r="N107" s="29"/>
      <c r="O107" s="29"/>
      <c r="P107" s="32"/>
      <c r="Q107" s="32"/>
      <c r="R107" s="4"/>
      <c r="S107" s="4"/>
      <c r="T107" s="4"/>
      <c r="U107" s="4"/>
      <c r="V107" s="4"/>
    </row>
    <row x14ac:dyDescent="0.25" r="108" customHeight="1" ht="12.75">
      <c r="A108" s="4"/>
      <c r="B108" s="29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29"/>
      <c r="N108" s="29"/>
      <c r="O108" s="29"/>
      <c r="P108" s="32"/>
      <c r="Q108" s="32"/>
      <c r="R108" s="4"/>
      <c r="S108" s="4"/>
      <c r="T108" s="4"/>
      <c r="U108" s="4"/>
      <c r="V108" s="4"/>
    </row>
    <row x14ac:dyDescent="0.25" r="109" customHeight="1" ht="12.75">
      <c r="A109" s="4"/>
      <c r="B109" s="29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29"/>
      <c r="N109" s="29"/>
      <c r="O109" s="29"/>
      <c r="P109" s="32"/>
      <c r="Q109" s="32"/>
      <c r="R109" s="4"/>
      <c r="S109" s="4"/>
      <c r="T109" s="4"/>
      <c r="U109" s="4"/>
      <c r="V109" s="4"/>
    </row>
    <row x14ac:dyDescent="0.25" r="110" customHeight="1" ht="12.75">
      <c r="A110" s="4"/>
      <c r="B110" s="29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29"/>
      <c r="N110" s="29"/>
      <c r="O110" s="29"/>
      <c r="P110" s="32"/>
      <c r="Q110" s="32"/>
      <c r="R110" s="4"/>
      <c r="S110" s="4"/>
      <c r="T110" s="4"/>
      <c r="U110" s="4"/>
      <c r="V110" s="4"/>
    </row>
    <row x14ac:dyDescent="0.25" r="111" customHeight="1" ht="12.75">
      <c r="A111" s="4"/>
      <c r="B111" s="29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29"/>
      <c r="N111" s="29"/>
      <c r="O111" s="29"/>
      <c r="P111" s="32"/>
      <c r="Q111" s="32"/>
      <c r="R111" s="4"/>
      <c r="S111" s="4"/>
      <c r="T111" s="4"/>
      <c r="U111" s="4"/>
      <c r="V111" s="4"/>
    </row>
    <row x14ac:dyDescent="0.25" r="112" customHeight="1" ht="12.75">
      <c r="A112" s="4"/>
      <c r="B112" s="29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29"/>
      <c r="N112" s="29"/>
      <c r="O112" s="29"/>
      <c r="P112" s="32"/>
      <c r="Q112" s="32"/>
      <c r="R112" s="4"/>
      <c r="S112" s="4"/>
      <c r="T112" s="4"/>
      <c r="U112" s="4"/>
      <c r="V112" s="4"/>
    </row>
    <row x14ac:dyDescent="0.25" r="113" customHeight="1" ht="12.75">
      <c r="A113" s="4"/>
      <c r="B113" s="29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29"/>
      <c r="N113" s="29"/>
      <c r="O113" s="29"/>
      <c r="P113" s="32"/>
      <c r="Q113" s="32"/>
      <c r="R113" s="4"/>
      <c r="S113" s="4"/>
      <c r="T113" s="4"/>
      <c r="U113" s="4"/>
      <c r="V113" s="4"/>
    </row>
    <row x14ac:dyDescent="0.25" r="114" customHeight="1" ht="12.75">
      <c r="A114" s="4"/>
      <c r="B114" s="29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29"/>
      <c r="N114" s="29"/>
      <c r="O114" s="29"/>
      <c r="P114" s="32"/>
      <c r="Q114" s="32"/>
      <c r="R114" s="4"/>
      <c r="S114" s="4"/>
      <c r="T114" s="4"/>
      <c r="U114" s="4"/>
      <c r="V114" s="4"/>
    </row>
    <row x14ac:dyDescent="0.25" r="115" customHeight="1" ht="12.75">
      <c r="A115" s="4"/>
      <c r="B115" s="29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29"/>
      <c r="N115" s="29"/>
      <c r="O115" s="29"/>
      <c r="P115" s="32"/>
      <c r="Q115" s="32"/>
      <c r="R115" s="4"/>
      <c r="S115" s="4"/>
      <c r="T115" s="4"/>
      <c r="U115" s="4"/>
      <c r="V115" s="4"/>
    </row>
    <row x14ac:dyDescent="0.25" r="116" customHeight="1" ht="12.75">
      <c r="A116" s="4"/>
      <c r="B116" s="29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29"/>
      <c r="N116" s="29"/>
      <c r="O116" s="29"/>
      <c r="P116" s="32"/>
      <c r="Q116" s="32"/>
      <c r="R116" s="4"/>
      <c r="S116" s="4"/>
      <c r="T116" s="4"/>
      <c r="U116" s="4"/>
      <c r="V116" s="4"/>
    </row>
    <row x14ac:dyDescent="0.25" r="117" customHeight="1" ht="12.75">
      <c r="A117" s="4"/>
      <c r="B117" s="29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29"/>
      <c r="N117" s="29"/>
      <c r="O117" s="29"/>
      <c r="P117" s="32"/>
      <c r="Q117" s="32"/>
      <c r="R117" s="4"/>
      <c r="S117" s="4"/>
      <c r="T117" s="4"/>
      <c r="U117" s="4"/>
      <c r="V117" s="4"/>
    </row>
    <row x14ac:dyDescent="0.25" r="118" customHeight="1" ht="12.75">
      <c r="A118" s="4"/>
      <c r="B118" s="29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29"/>
      <c r="N118" s="29"/>
      <c r="O118" s="29"/>
      <c r="P118" s="32"/>
      <c r="Q118" s="32"/>
      <c r="R118" s="4"/>
      <c r="S118" s="4"/>
      <c r="T118" s="4"/>
      <c r="U118" s="4"/>
      <c r="V118" s="4"/>
    </row>
    <row x14ac:dyDescent="0.25" r="119" customHeight="1" ht="12.75">
      <c r="A119" s="4"/>
      <c r="B119" s="29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29"/>
      <c r="N119" s="29"/>
      <c r="O119" s="29"/>
      <c r="P119" s="32"/>
      <c r="Q119" s="32"/>
      <c r="R119" s="4"/>
      <c r="S119" s="4"/>
      <c r="T119" s="4"/>
      <c r="U119" s="4"/>
      <c r="V119" s="4"/>
    </row>
    <row x14ac:dyDescent="0.25" r="120" customHeight="1" ht="12.75">
      <c r="A120" s="4"/>
      <c r="B120" s="29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29"/>
      <c r="N120" s="29"/>
      <c r="O120" s="29"/>
      <c r="P120" s="32"/>
      <c r="Q120" s="32"/>
      <c r="R120" s="4"/>
      <c r="S120" s="4"/>
      <c r="T120" s="4"/>
      <c r="U120" s="4"/>
      <c r="V120" s="4"/>
    </row>
    <row x14ac:dyDescent="0.25" r="121" customHeight="1" ht="12.75">
      <c r="A121" s="4"/>
      <c r="B121" s="29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29"/>
      <c r="N121" s="29"/>
      <c r="O121" s="29"/>
      <c r="P121" s="32"/>
      <c r="Q121" s="32"/>
      <c r="R121" s="4"/>
      <c r="S121" s="4"/>
      <c r="T121" s="4"/>
      <c r="U121" s="4"/>
      <c r="V121" s="4"/>
    </row>
    <row x14ac:dyDescent="0.25" r="122" customHeight="1" ht="12.75">
      <c r="A122" s="4"/>
      <c r="B122" s="29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29"/>
      <c r="N122" s="29"/>
      <c r="O122" s="29"/>
      <c r="P122" s="32"/>
      <c r="Q122" s="32"/>
      <c r="R122" s="4"/>
      <c r="S122" s="4"/>
      <c r="T122" s="4"/>
      <c r="U122" s="4"/>
      <c r="V122" s="4"/>
    </row>
    <row x14ac:dyDescent="0.25" r="123" customHeight="1" ht="12.75">
      <c r="A123" s="4"/>
      <c r="B123" s="29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29"/>
      <c r="N123" s="29"/>
      <c r="O123" s="29"/>
      <c r="P123" s="32"/>
      <c r="Q123" s="32"/>
      <c r="R123" s="4"/>
      <c r="S123" s="4"/>
      <c r="T123" s="4"/>
      <c r="U123" s="4"/>
      <c r="V123" s="4"/>
    </row>
    <row x14ac:dyDescent="0.25" r="124" customHeight="1" ht="12.75">
      <c r="A124" s="4"/>
      <c r="B124" s="29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29"/>
      <c r="N124" s="29"/>
      <c r="O124" s="29"/>
      <c r="P124" s="32"/>
      <c r="Q124" s="32"/>
      <c r="R124" s="4"/>
      <c r="S124" s="4"/>
      <c r="T124" s="4"/>
      <c r="U124" s="4"/>
      <c r="V124" s="4"/>
    </row>
    <row x14ac:dyDescent="0.25" r="125" customHeight="1" ht="12.75">
      <c r="A125" s="4"/>
      <c r="B125" s="29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29"/>
      <c r="N125" s="29"/>
      <c r="O125" s="29"/>
      <c r="P125" s="32"/>
      <c r="Q125" s="32"/>
      <c r="R125" s="4"/>
      <c r="S125" s="4"/>
      <c r="T125" s="4"/>
      <c r="U125" s="4"/>
      <c r="V125" s="4"/>
    </row>
    <row x14ac:dyDescent="0.25" r="126" customHeight="1" ht="12.75">
      <c r="A126" s="4"/>
      <c r="B126" s="29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29"/>
      <c r="N126" s="29"/>
      <c r="O126" s="29"/>
      <c r="P126" s="32"/>
      <c r="Q126" s="32"/>
      <c r="R126" s="4"/>
      <c r="S126" s="4"/>
      <c r="T126" s="4"/>
      <c r="U126" s="4"/>
      <c r="V126" s="4"/>
    </row>
    <row x14ac:dyDescent="0.25" r="127" customHeight="1" ht="12.75">
      <c r="A127" s="4"/>
      <c r="B127" s="29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29"/>
      <c r="N127" s="29"/>
      <c r="O127" s="29"/>
      <c r="P127" s="32"/>
      <c r="Q127" s="32"/>
      <c r="R127" s="4"/>
      <c r="S127" s="4"/>
      <c r="T127" s="4"/>
      <c r="U127" s="4"/>
      <c r="V127" s="4"/>
    </row>
    <row x14ac:dyDescent="0.25" r="128" customHeight="1" ht="12.75">
      <c r="A128" s="4"/>
      <c r="B128" s="29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29"/>
      <c r="N128" s="29"/>
      <c r="O128" s="29"/>
      <c r="P128" s="32"/>
      <c r="Q128" s="32"/>
      <c r="R128" s="4"/>
      <c r="S128" s="4"/>
      <c r="T128" s="4"/>
      <c r="U128" s="4"/>
      <c r="V128" s="4"/>
    </row>
    <row x14ac:dyDescent="0.25" r="129" customHeight="1" ht="12.75">
      <c r="A129" s="4"/>
      <c r="B129" s="29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29"/>
      <c r="N129" s="29"/>
      <c r="O129" s="29"/>
      <c r="P129" s="32"/>
      <c r="Q129" s="32"/>
      <c r="R129" s="4"/>
      <c r="S129" s="4"/>
      <c r="T129" s="4"/>
      <c r="U129" s="4"/>
      <c r="V129" s="4"/>
    </row>
    <row x14ac:dyDescent="0.25" r="130" customHeight="1" ht="12.75">
      <c r="A130" s="4"/>
      <c r="B130" s="29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29"/>
      <c r="N130" s="29"/>
      <c r="O130" s="29"/>
      <c r="P130" s="32"/>
      <c r="Q130" s="32"/>
      <c r="R130" s="4"/>
      <c r="S130" s="4"/>
      <c r="T130" s="4"/>
      <c r="U130" s="4"/>
      <c r="V130" s="4"/>
    </row>
    <row x14ac:dyDescent="0.25" r="131" customHeight="1" ht="12.75">
      <c r="A131" s="4"/>
      <c r="B131" s="29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29"/>
      <c r="N131" s="29"/>
      <c r="O131" s="29"/>
      <c r="P131" s="32"/>
      <c r="Q131" s="32"/>
      <c r="R131" s="4"/>
      <c r="S131" s="4"/>
      <c r="T131" s="4"/>
      <c r="U131" s="4"/>
      <c r="V131" s="4"/>
    </row>
    <row x14ac:dyDescent="0.25" r="132" customHeight="1" ht="12.75">
      <c r="A132" s="4"/>
      <c r="B132" s="29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29"/>
      <c r="N132" s="29"/>
      <c r="O132" s="29"/>
      <c r="P132" s="32"/>
      <c r="Q132" s="32"/>
      <c r="R132" s="4"/>
      <c r="S132" s="4"/>
      <c r="T132" s="4"/>
      <c r="U132" s="4"/>
      <c r="V132" s="4"/>
    </row>
    <row x14ac:dyDescent="0.25" r="133" customHeight="1" ht="12.75">
      <c r="A133" s="4"/>
      <c r="B133" s="29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29"/>
      <c r="N133" s="29"/>
      <c r="O133" s="29"/>
      <c r="P133" s="32"/>
      <c r="Q133" s="32"/>
      <c r="R133" s="4"/>
      <c r="S133" s="4"/>
      <c r="T133" s="4"/>
      <c r="U133" s="4"/>
      <c r="V133" s="4"/>
    </row>
    <row x14ac:dyDescent="0.25" r="134" customHeight="1" ht="12.75">
      <c r="A134" s="4"/>
      <c r="B134" s="29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29"/>
      <c r="N134" s="29"/>
      <c r="O134" s="29"/>
      <c r="P134" s="32"/>
      <c r="Q134" s="32"/>
      <c r="R134" s="4"/>
      <c r="S134" s="4"/>
      <c r="T134" s="4"/>
      <c r="U134" s="4"/>
      <c r="V134" s="4"/>
    </row>
    <row x14ac:dyDescent="0.25" r="135" customHeight="1" ht="12.75">
      <c r="A135" s="4"/>
      <c r="B135" s="29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29"/>
      <c r="N135" s="29"/>
      <c r="O135" s="29"/>
      <c r="P135" s="32"/>
      <c r="Q135" s="32"/>
      <c r="R135" s="4"/>
      <c r="S135" s="4"/>
      <c r="T135" s="4"/>
      <c r="U135" s="4"/>
      <c r="V135" s="4"/>
    </row>
    <row x14ac:dyDescent="0.25" r="136" customHeight="1" ht="12.75">
      <c r="A136" s="4"/>
      <c r="B136" s="29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29"/>
      <c r="N136" s="29"/>
      <c r="O136" s="29"/>
      <c r="P136" s="32"/>
      <c r="Q136" s="32"/>
      <c r="R136" s="4"/>
      <c r="S136" s="4"/>
      <c r="T136" s="4"/>
      <c r="U136" s="4"/>
      <c r="V136" s="4"/>
    </row>
    <row x14ac:dyDescent="0.25" r="137" customHeight="1" ht="12.75">
      <c r="A137" s="4"/>
      <c r="B137" s="29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29"/>
      <c r="N137" s="29"/>
      <c r="O137" s="29"/>
      <c r="P137" s="32"/>
      <c r="Q137" s="32"/>
      <c r="R137" s="4"/>
      <c r="S137" s="4"/>
      <c r="T137" s="4"/>
      <c r="U137" s="4"/>
      <c r="V137" s="4"/>
    </row>
    <row x14ac:dyDescent="0.25" r="138" customHeight="1" ht="12.75">
      <c r="A138" s="4"/>
      <c r="B138" s="29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29"/>
      <c r="N138" s="29"/>
      <c r="O138" s="29"/>
      <c r="P138" s="32"/>
      <c r="Q138" s="32"/>
      <c r="R138" s="4"/>
      <c r="S138" s="4"/>
      <c r="T138" s="4"/>
      <c r="U138" s="4"/>
      <c r="V138" s="4"/>
    </row>
    <row x14ac:dyDescent="0.25" r="139" customHeight="1" ht="12.75">
      <c r="A139" s="4"/>
      <c r="B139" s="29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29"/>
      <c r="N139" s="29"/>
      <c r="O139" s="29"/>
      <c r="P139" s="32"/>
      <c r="Q139" s="32"/>
      <c r="R139" s="4"/>
      <c r="S139" s="4"/>
      <c r="T139" s="4"/>
      <c r="U139" s="4"/>
      <c r="V139" s="4"/>
    </row>
    <row x14ac:dyDescent="0.25" r="140" customHeight="1" ht="12.75">
      <c r="A140" s="4"/>
      <c r="B140" s="29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29"/>
      <c r="N140" s="29"/>
      <c r="O140" s="29"/>
      <c r="P140" s="32"/>
      <c r="Q140" s="32"/>
      <c r="R140" s="4"/>
      <c r="S140" s="4"/>
      <c r="T140" s="4"/>
      <c r="U140" s="4"/>
      <c r="V140" s="4"/>
    </row>
    <row x14ac:dyDescent="0.25" r="141" customHeight="1" ht="12.75">
      <c r="A141" s="4"/>
      <c r="B141" s="29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29"/>
      <c r="N141" s="29"/>
      <c r="O141" s="29"/>
      <c r="P141" s="32"/>
      <c r="Q141" s="32"/>
      <c r="R141" s="4"/>
      <c r="S141" s="4"/>
      <c r="T141" s="4"/>
      <c r="U141" s="4"/>
      <c r="V141" s="4"/>
    </row>
    <row x14ac:dyDescent="0.25" r="142" customHeight="1" ht="12.75">
      <c r="A142" s="4"/>
      <c r="B142" s="29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29"/>
      <c r="N142" s="29"/>
      <c r="O142" s="29"/>
      <c r="P142" s="32"/>
      <c r="Q142" s="32"/>
      <c r="R142" s="4"/>
      <c r="S142" s="4"/>
      <c r="T142" s="4"/>
      <c r="U142" s="4"/>
      <c r="V142" s="4"/>
    </row>
    <row x14ac:dyDescent="0.25" r="143" customHeight="1" ht="12.75">
      <c r="A143" s="4"/>
      <c r="B143" s="29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29"/>
      <c r="N143" s="29"/>
      <c r="O143" s="29"/>
      <c r="P143" s="32"/>
      <c r="Q143" s="32"/>
      <c r="R143" s="4"/>
      <c r="S143" s="4"/>
      <c r="T143" s="4"/>
      <c r="U143" s="4"/>
      <c r="V143" s="4"/>
    </row>
    <row x14ac:dyDescent="0.25" r="144" customHeight="1" ht="12.75">
      <c r="A144" s="4"/>
      <c r="B144" s="29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29"/>
      <c r="N144" s="29"/>
      <c r="O144" s="29"/>
      <c r="P144" s="32"/>
      <c r="Q144" s="32"/>
      <c r="R144" s="4"/>
      <c r="S144" s="4"/>
      <c r="T144" s="4"/>
      <c r="U144" s="4"/>
      <c r="V144" s="4"/>
    </row>
    <row x14ac:dyDescent="0.25" r="145" customHeight="1" ht="12.75">
      <c r="A145" s="4"/>
      <c r="B145" s="29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29"/>
      <c r="N145" s="29"/>
      <c r="O145" s="29"/>
      <c r="P145" s="32"/>
      <c r="Q145" s="32"/>
      <c r="R145" s="4"/>
      <c r="S145" s="4"/>
      <c r="T145" s="4"/>
      <c r="U145" s="4"/>
      <c r="V145" s="4"/>
    </row>
    <row x14ac:dyDescent="0.25" r="146" customHeight="1" ht="12.75">
      <c r="A146" s="4"/>
      <c r="B146" s="29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29"/>
      <c r="N146" s="29"/>
      <c r="O146" s="29"/>
      <c r="P146" s="32"/>
      <c r="Q146" s="32"/>
      <c r="R146" s="4"/>
      <c r="S146" s="4"/>
      <c r="T146" s="4"/>
      <c r="U146" s="4"/>
      <c r="V146" s="4"/>
    </row>
    <row x14ac:dyDescent="0.25" r="147" customHeight="1" ht="12.75">
      <c r="A147" s="4"/>
      <c r="B147" s="29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29"/>
      <c r="N147" s="29"/>
      <c r="O147" s="29"/>
      <c r="P147" s="32"/>
      <c r="Q147" s="32"/>
      <c r="R147" s="4"/>
      <c r="S147" s="4"/>
      <c r="T147" s="4"/>
      <c r="U147" s="4"/>
      <c r="V147" s="4"/>
    </row>
    <row x14ac:dyDescent="0.25" r="148" customHeight="1" ht="12.75">
      <c r="A148" s="4"/>
      <c r="B148" s="29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29"/>
      <c r="N148" s="29"/>
      <c r="O148" s="29"/>
      <c r="P148" s="32"/>
      <c r="Q148" s="32"/>
      <c r="R148" s="4"/>
      <c r="S148" s="4"/>
      <c r="T148" s="4"/>
      <c r="U148" s="4"/>
      <c r="V148" s="4"/>
    </row>
    <row x14ac:dyDescent="0.25" r="149" customHeight="1" ht="12.75">
      <c r="A149" s="4"/>
      <c r="B149" s="29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29"/>
      <c r="N149" s="29"/>
      <c r="O149" s="29"/>
      <c r="P149" s="32"/>
      <c r="Q149" s="32"/>
      <c r="R149" s="4"/>
      <c r="S149" s="4"/>
      <c r="T149" s="4"/>
      <c r="U149" s="4"/>
      <c r="V149" s="4"/>
    </row>
    <row x14ac:dyDescent="0.25" r="150" customHeight="1" ht="12.75">
      <c r="A150" s="4"/>
      <c r="B150" s="29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29"/>
      <c r="N150" s="29"/>
      <c r="O150" s="29"/>
      <c r="P150" s="32"/>
      <c r="Q150" s="32"/>
      <c r="R150" s="4"/>
      <c r="S150" s="4"/>
      <c r="T150" s="4"/>
      <c r="U150" s="4"/>
      <c r="V150" s="4"/>
    </row>
    <row x14ac:dyDescent="0.25" r="151" customHeight="1" ht="12.75">
      <c r="A151" s="4"/>
      <c r="B151" s="29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29"/>
      <c r="N151" s="29"/>
      <c r="O151" s="29"/>
      <c r="P151" s="32"/>
      <c r="Q151" s="32"/>
      <c r="R151" s="4"/>
      <c r="S151" s="4"/>
      <c r="T151" s="4"/>
      <c r="U151" s="4"/>
      <c r="V151" s="4"/>
    </row>
    <row x14ac:dyDescent="0.25" r="152" customHeight="1" ht="12.75">
      <c r="A152" s="4"/>
      <c r="B152" s="29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29"/>
      <c r="N152" s="29"/>
      <c r="O152" s="29"/>
      <c r="P152" s="32"/>
      <c r="Q152" s="32"/>
      <c r="R152" s="4"/>
      <c r="S152" s="4"/>
      <c r="T152" s="4"/>
      <c r="U152" s="4"/>
      <c r="V152" s="4"/>
    </row>
    <row x14ac:dyDescent="0.25" r="153" customHeight="1" ht="12.75">
      <c r="A153" s="4"/>
      <c r="B153" s="29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29"/>
      <c r="N153" s="29"/>
      <c r="O153" s="29"/>
      <c r="P153" s="32"/>
      <c r="Q153" s="32"/>
      <c r="R153" s="4"/>
      <c r="S153" s="4"/>
      <c r="T153" s="4"/>
      <c r="U153" s="4"/>
      <c r="V153" s="4"/>
    </row>
    <row x14ac:dyDescent="0.25" r="154" customHeight="1" ht="12.75">
      <c r="A154" s="4"/>
      <c r="B154" s="29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29"/>
      <c r="N154" s="29"/>
      <c r="O154" s="29"/>
      <c r="P154" s="32"/>
      <c r="Q154" s="32"/>
      <c r="R154" s="4"/>
      <c r="S154" s="4"/>
      <c r="T154" s="4"/>
      <c r="U154" s="4"/>
      <c r="V154" s="4"/>
    </row>
    <row x14ac:dyDescent="0.25" r="155" customHeight="1" ht="12.75">
      <c r="A155" s="4"/>
      <c r="B155" s="29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29"/>
      <c r="N155" s="29"/>
      <c r="O155" s="29"/>
      <c r="P155" s="32"/>
      <c r="Q155" s="32"/>
      <c r="R155" s="4"/>
      <c r="S155" s="4"/>
      <c r="T155" s="4"/>
      <c r="U155" s="4"/>
      <c r="V155" s="4"/>
    </row>
    <row x14ac:dyDescent="0.25" r="156" customHeight="1" ht="12.75">
      <c r="A156" s="4"/>
      <c r="B156" s="29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29"/>
      <c r="N156" s="29"/>
      <c r="O156" s="29"/>
      <c r="P156" s="32"/>
      <c r="Q156" s="32"/>
      <c r="R156" s="4"/>
      <c r="S156" s="4"/>
      <c r="T156" s="4"/>
      <c r="U156" s="4"/>
      <c r="V156" s="4"/>
    </row>
    <row x14ac:dyDescent="0.25" r="157" customHeight="1" ht="12.75">
      <c r="A157" s="4"/>
      <c r="B157" s="29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29"/>
      <c r="N157" s="29"/>
      <c r="O157" s="29"/>
      <c r="P157" s="32"/>
      <c r="Q157" s="32"/>
      <c r="R157" s="4"/>
      <c r="S157" s="4"/>
      <c r="T157" s="4"/>
      <c r="U157" s="4"/>
      <c r="V157" s="4"/>
    </row>
    <row x14ac:dyDescent="0.25" r="158" customHeight="1" ht="12.75">
      <c r="A158" s="4"/>
      <c r="B158" s="29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29"/>
      <c r="N158" s="29"/>
      <c r="O158" s="29"/>
      <c r="P158" s="32"/>
      <c r="Q158" s="32"/>
      <c r="R158" s="4"/>
      <c r="S158" s="4"/>
      <c r="T158" s="4"/>
      <c r="U158" s="4"/>
      <c r="V158" s="4"/>
    </row>
    <row x14ac:dyDescent="0.25" r="159" customHeight="1" ht="12.75">
      <c r="A159" s="4"/>
      <c r="B159" s="29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29"/>
      <c r="N159" s="29"/>
      <c r="O159" s="29"/>
      <c r="P159" s="32"/>
      <c r="Q159" s="32"/>
      <c r="R159" s="4"/>
      <c r="S159" s="4"/>
      <c r="T159" s="4"/>
      <c r="U159" s="4"/>
      <c r="V159" s="4"/>
    </row>
    <row x14ac:dyDescent="0.25" r="160" customHeight="1" ht="12.75">
      <c r="A160" s="4"/>
      <c r="B160" s="29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29"/>
      <c r="N160" s="29"/>
      <c r="O160" s="29"/>
      <c r="P160" s="32"/>
      <c r="Q160" s="32"/>
      <c r="R160" s="4"/>
      <c r="S160" s="4"/>
      <c r="T160" s="4"/>
      <c r="U160" s="4"/>
      <c r="V160" s="4"/>
    </row>
    <row x14ac:dyDescent="0.25" r="161" customHeight="1" ht="12.75">
      <c r="A161" s="4"/>
      <c r="B161" s="29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29"/>
      <c r="N161" s="29"/>
      <c r="O161" s="29"/>
      <c r="P161" s="32"/>
      <c r="Q161" s="32"/>
      <c r="R161" s="4"/>
      <c r="S161" s="4"/>
      <c r="T161" s="4"/>
      <c r="U161" s="4"/>
      <c r="V161" s="4"/>
    </row>
    <row x14ac:dyDescent="0.25" r="162" customHeight="1" ht="12.75">
      <c r="A162" s="4"/>
      <c r="B162" s="29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29"/>
      <c r="N162" s="29"/>
      <c r="O162" s="29"/>
      <c r="P162" s="32"/>
      <c r="Q162" s="32"/>
      <c r="R162" s="4"/>
      <c r="S162" s="4"/>
      <c r="T162" s="4"/>
      <c r="U162" s="4"/>
      <c r="V162" s="4"/>
    </row>
    <row x14ac:dyDescent="0.25" r="163" customHeight="1" ht="12.75">
      <c r="A163" s="4"/>
      <c r="B163" s="29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29"/>
      <c r="N163" s="29"/>
      <c r="O163" s="29"/>
      <c r="P163" s="32"/>
      <c r="Q163" s="32"/>
      <c r="R163" s="4"/>
      <c r="S163" s="4"/>
      <c r="T163" s="4"/>
      <c r="U163" s="4"/>
      <c r="V163" s="4"/>
    </row>
    <row x14ac:dyDescent="0.25" r="164" customHeight="1" ht="12.75">
      <c r="A164" s="4"/>
      <c r="B164" s="29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29"/>
      <c r="N164" s="29"/>
      <c r="O164" s="29"/>
      <c r="P164" s="32"/>
      <c r="Q164" s="32"/>
      <c r="R164" s="4"/>
      <c r="S164" s="4"/>
      <c r="T164" s="4"/>
      <c r="U164" s="4"/>
      <c r="V164" s="4"/>
    </row>
    <row x14ac:dyDescent="0.25" r="165" customHeight="1" ht="12.75">
      <c r="A165" s="4"/>
      <c r="B165" s="29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29"/>
      <c r="N165" s="29"/>
      <c r="O165" s="29"/>
      <c r="P165" s="32"/>
      <c r="Q165" s="32"/>
      <c r="R165" s="4"/>
      <c r="S165" s="4"/>
      <c r="T165" s="4"/>
      <c r="U165" s="4"/>
      <c r="V165" s="4"/>
    </row>
    <row x14ac:dyDescent="0.25" r="166" customHeight="1" ht="12.75">
      <c r="A166" s="4"/>
      <c r="B166" s="29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29"/>
      <c r="N166" s="29"/>
      <c r="O166" s="29"/>
      <c r="P166" s="32"/>
      <c r="Q166" s="32"/>
      <c r="R166" s="4"/>
      <c r="S166" s="4"/>
      <c r="T166" s="4"/>
      <c r="U166" s="4"/>
      <c r="V166" s="4"/>
    </row>
    <row x14ac:dyDescent="0.25" r="167" customHeight="1" ht="12.75">
      <c r="A167" s="4"/>
      <c r="B167" s="29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29"/>
      <c r="N167" s="29"/>
      <c r="O167" s="29"/>
      <c r="P167" s="32"/>
      <c r="Q167" s="32"/>
      <c r="R167" s="4"/>
      <c r="S167" s="4"/>
      <c r="T167" s="4"/>
      <c r="U167" s="4"/>
      <c r="V167" s="4"/>
    </row>
    <row x14ac:dyDescent="0.25" r="168" customHeight="1" ht="12.75">
      <c r="A168" s="4"/>
      <c r="B168" s="29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29"/>
      <c r="N168" s="29"/>
      <c r="O168" s="29"/>
      <c r="P168" s="32"/>
      <c r="Q168" s="32"/>
      <c r="R168" s="4"/>
      <c r="S168" s="4"/>
      <c r="T168" s="4"/>
      <c r="U168" s="4"/>
      <c r="V168" s="4"/>
    </row>
    <row x14ac:dyDescent="0.25" r="169" customHeight="1" ht="12.75">
      <c r="A169" s="4"/>
      <c r="B169" s="29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29"/>
      <c r="N169" s="29"/>
      <c r="O169" s="29"/>
      <c r="P169" s="32"/>
      <c r="Q169" s="32"/>
      <c r="R169" s="4"/>
      <c r="S169" s="4"/>
      <c r="T169" s="4"/>
      <c r="U169" s="4"/>
      <c r="V169" s="4"/>
    </row>
    <row x14ac:dyDescent="0.25" r="170" customHeight="1" ht="12.75">
      <c r="A170" s="4"/>
      <c r="B170" s="29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29"/>
      <c r="N170" s="29"/>
      <c r="O170" s="29"/>
      <c r="P170" s="32"/>
      <c r="Q170" s="32"/>
      <c r="R170" s="4"/>
      <c r="S170" s="4"/>
      <c r="T170" s="4"/>
      <c r="U170" s="4"/>
      <c r="V170" s="4"/>
    </row>
    <row x14ac:dyDescent="0.25" r="171" customHeight="1" ht="12.75">
      <c r="A171" s="4"/>
      <c r="B171" s="29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29"/>
      <c r="N171" s="29"/>
      <c r="O171" s="29"/>
      <c r="P171" s="32"/>
      <c r="Q171" s="32"/>
      <c r="R171" s="4"/>
      <c r="S171" s="4"/>
      <c r="T171" s="4"/>
      <c r="U171" s="4"/>
      <c r="V171" s="4"/>
    </row>
    <row x14ac:dyDescent="0.25" r="172" customHeight="1" ht="12.75">
      <c r="A172" s="4"/>
      <c r="B172" s="29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29"/>
      <c r="N172" s="29"/>
      <c r="O172" s="29"/>
      <c r="P172" s="32"/>
      <c r="Q172" s="32"/>
      <c r="R172" s="4"/>
      <c r="S172" s="4"/>
      <c r="T172" s="4"/>
      <c r="U172" s="4"/>
      <c r="V172" s="4"/>
    </row>
    <row x14ac:dyDescent="0.25" r="173" customHeight="1" ht="12.75">
      <c r="A173" s="4"/>
      <c r="B173" s="29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29"/>
      <c r="N173" s="29"/>
      <c r="O173" s="29"/>
      <c r="P173" s="32"/>
      <c r="Q173" s="32"/>
      <c r="R173" s="4"/>
      <c r="S173" s="4"/>
      <c r="T173" s="4"/>
      <c r="U173" s="4"/>
      <c r="V173" s="4"/>
    </row>
    <row x14ac:dyDescent="0.25" r="174" customHeight="1" ht="12.75">
      <c r="A174" s="4"/>
      <c r="B174" s="29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29"/>
      <c r="N174" s="29"/>
      <c r="O174" s="29"/>
      <c r="P174" s="32"/>
      <c r="Q174" s="32"/>
      <c r="R174" s="4"/>
      <c r="S174" s="4"/>
      <c r="T174" s="4"/>
      <c r="U174" s="4"/>
      <c r="V174" s="4"/>
    </row>
    <row x14ac:dyDescent="0.25" r="175" customHeight="1" ht="12.75">
      <c r="A175" s="4"/>
      <c r="B175" s="29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29"/>
      <c r="N175" s="29"/>
      <c r="O175" s="29"/>
      <c r="P175" s="32"/>
      <c r="Q175" s="32"/>
      <c r="R175" s="4"/>
      <c r="S175" s="4"/>
      <c r="T175" s="4"/>
      <c r="U175" s="4"/>
      <c r="V175" s="4"/>
    </row>
    <row x14ac:dyDescent="0.25" r="176" customHeight="1" ht="12.75">
      <c r="A176" s="4"/>
      <c r="B176" s="29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29"/>
      <c r="N176" s="29"/>
      <c r="O176" s="29"/>
      <c r="P176" s="32"/>
      <c r="Q176" s="32"/>
      <c r="R176" s="4"/>
      <c r="S176" s="4"/>
      <c r="T176" s="4"/>
      <c r="U176" s="4"/>
      <c r="V176" s="4"/>
    </row>
    <row x14ac:dyDescent="0.25" r="177" customHeight="1" ht="12.75">
      <c r="A177" s="4"/>
      <c r="B177" s="29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29"/>
      <c r="N177" s="29"/>
      <c r="O177" s="29"/>
      <c r="P177" s="32"/>
      <c r="Q177" s="32"/>
      <c r="R177" s="4"/>
      <c r="S177" s="4"/>
      <c r="T177" s="4"/>
      <c r="U177" s="4"/>
      <c r="V177" s="4"/>
    </row>
    <row x14ac:dyDescent="0.25" r="178" customHeight="1" ht="12.75">
      <c r="A178" s="4"/>
      <c r="B178" s="29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29"/>
      <c r="N178" s="29"/>
      <c r="O178" s="29"/>
      <c r="P178" s="32"/>
      <c r="Q178" s="32"/>
      <c r="R178" s="4"/>
      <c r="S178" s="4"/>
      <c r="T178" s="4"/>
      <c r="U178" s="4"/>
      <c r="V178" s="4"/>
    </row>
    <row x14ac:dyDescent="0.25" r="179" customHeight="1" ht="12.75">
      <c r="A179" s="4"/>
      <c r="B179" s="29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29"/>
      <c r="N179" s="29"/>
      <c r="O179" s="29"/>
      <c r="P179" s="32"/>
      <c r="Q179" s="32"/>
      <c r="R179" s="4"/>
      <c r="S179" s="4"/>
      <c r="T179" s="4"/>
      <c r="U179" s="4"/>
      <c r="V179" s="4"/>
    </row>
    <row x14ac:dyDescent="0.25" r="180" customHeight="1" ht="12.75">
      <c r="A180" s="4"/>
      <c r="B180" s="29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29"/>
      <c r="N180" s="29"/>
      <c r="O180" s="29"/>
      <c r="P180" s="32"/>
      <c r="Q180" s="32"/>
      <c r="R180" s="4"/>
      <c r="S180" s="4"/>
      <c r="T180" s="4"/>
      <c r="U180" s="4"/>
      <c r="V180" s="4"/>
    </row>
    <row x14ac:dyDescent="0.25" r="181" customHeight="1" ht="12.75">
      <c r="A181" s="4"/>
      <c r="B181" s="29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29"/>
      <c r="N181" s="29"/>
      <c r="O181" s="29"/>
      <c r="P181" s="32"/>
      <c r="Q181" s="32"/>
      <c r="R181" s="4"/>
      <c r="S181" s="4"/>
      <c r="T181" s="4"/>
      <c r="U181" s="4"/>
      <c r="V181" s="4"/>
    </row>
    <row x14ac:dyDescent="0.25" r="182" customHeight="1" ht="12.75">
      <c r="A182" s="4"/>
      <c r="B182" s="29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29"/>
      <c r="N182" s="29"/>
      <c r="O182" s="29"/>
      <c r="P182" s="32"/>
      <c r="Q182" s="32"/>
      <c r="R182" s="4"/>
      <c r="S182" s="4"/>
      <c r="T182" s="4"/>
      <c r="U182" s="4"/>
      <c r="V182" s="4"/>
    </row>
    <row x14ac:dyDescent="0.25" r="183" customHeight="1" ht="12.75">
      <c r="A183" s="4"/>
      <c r="B183" s="29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29"/>
      <c r="N183" s="29"/>
      <c r="O183" s="29"/>
      <c r="P183" s="32"/>
      <c r="Q183" s="32"/>
      <c r="R183" s="4"/>
      <c r="S183" s="4"/>
      <c r="T183" s="4"/>
      <c r="U183" s="4"/>
      <c r="V183" s="4"/>
    </row>
    <row x14ac:dyDescent="0.25" r="184" customHeight="1" ht="12.75">
      <c r="A184" s="4"/>
      <c r="B184" s="29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29"/>
      <c r="N184" s="29"/>
      <c r="O184" s="29"/>
      <c r="P184" s="32"/>
      <c r="Q184" s="32"/>
      <c r="R184" s="4"/>
      <c r="S184" s="4"/>
      <c r="T184" s="4"/>
      <c r="U184" s="4"/>
      <c r="V184" s="4"/>
    </row>
    <row x14ac:dyDescent="0.25" r="185" customHeight="1" ht="12.75">
      <c r="A185" s="4"/>
      <c r="B185" s="29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29"/>
      <c r="N185" s="29"/>
      <c r="O185" s="29"/>
      <c r="P185" s="32"/>
      <c r="Q185" s="32"/>
      <c r="R185" s="4"/>
      <c r="S185" s="4"/>
      <c r="T185" s="4"/>
      <c r="U185" s="4"/>
      <c r="V185" s="4"/>
    </row>
    <row x14ac:dyDescent="0.25" r="186" customHeight="1" ht="12.75">
      <c r="A186" s="4"/>
      <c r="B186" s="29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29"/>
      <c r="N186" s="29"/>
      <c r="O186" s="29"/>
      <c r="P186" s="32"/>
      <c r="Q186" s="32"/>
      <c r="R186" s="4"/>
      <c r="S186" s="4"/>
      <c r="T186" s="4"/>
      <c r="U186" s="4"/>
      <c r="V186" s="4"/>
    </row>
    <row x14ac:dyDescent="0.25" r="187" customHeight="1" ht="12.75">
      <c r="A187" s="4"/>
      <c r="B187" s="29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29"/>
      <c r="N187" s="29"/>
      <c r="O187" s="29"/>
      <c r="P187" s="32"/>
      <c r="Q187" s="32"/>
      <c r="R187" s="4"/>
      <c r="S187" s="4"/>
      <c r="T187" s="4"/>
      <c r="U187" s="4"/>
      <c r="V187" s="4"/>
    </row>
    <row x14ac:dyDescent="0.25" r="188" customHeight="1" ht="12.75">
      <c r="A188" s="4"/>
      <c r="B188" s="29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29"/>
      <c r="N188" s="29"/>
      <c r="O188" s="29"/>
      <c r="P188" s="32"/>
      <c r="Q188" s="32"/>
      <c r="R188" s="4"/>
      <c r="S188" s="4"/>
      <c r="T188" s="4"/>
      <c r="U188" s="4"/>
      <c r="V188" s="4"/>
    </row>
    <row x14ac:dyDescent="0.25" r="189" customHeight="1" ht="12.75">
      <c r="A189" s="4"/>
      <c r="B189" s="29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29"/>
      <c r="N189" s="29"/>
      <c r="O189" s="29"/>
      <c r="P189" s="32"/>
      <c r="Q189" s="32"/>
      <c r="R189" s="4"/>
      <c r="S189" s="4"/>
      <c r="T189" s="4"/>
      <c r="U189" s="4"/>
      <c r="V189" s="4"/>
    </row>
    <row x14ac:dyDescent="0.25" r="190" customHeight="1" ht="12.75">
      <c r="A190" s="4"/>
      <c r="B190" s="29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29"/>
      <c r="N190" s="29"/>
      <c r="O190" s="29"/>
      <c r="P190" s="32"/>
      <c r="Q190" s="32"/>
      <c r="R190" s="4"/>
      <c r="S190" s="4"/>
      <c r="T190" s="4"/>
      <c r="U190" s="4"/>
      <c r="V190" s="4"/>
    </row>
    <row x14ac:dyDescent="0.25" r="191" customHeight="1" ht="12.75">
      <c r="A191" s="4"/>
      <c r="B191" s="29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29"/>
      <c r="N191" s="29"/>
      <c r="O191" s="29"/>
      <c r="P191" s="32"/>
      <c r="Q191" s="32"/>
      <c r="R191" s="4"/>
      <c r="S191" s="4"/>
      <c r="T191" s="4"/>
      <c r="U191" s="4"/>
      <c r="V191" s="4"/>
    </row>
    <row x14ac:dyDescent="0.25" r="192" customHeight="1" ht="12.75">
      <c r="A192" s="4"/>
      <c r="B192" s="29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29"/>
      <c r="N192" s="29"/>
      <c r="O192" s="29"/>
      <c r="P192" s="32"/>
      <c r="Q192" s="32"/>
      <c r="R192" s="4"/>
      <c r="S192" s="4"/>
      <c r="T192" s="4"/>
      <c r="U192" s="4"/>
      <c r="V192" s="4"/>
    </row>
    <row x14ac:dyDescent="0.25" r="193" customHeight="1" ht="12.75">
      <c r="A193" s="4"/>
      <c r="B193" s="29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29"/>
      <c r="N193" s="29"/>
      <c r="O193" s="29"/>
      <c r="P193" s="32"/>
      <c r="Q193" s="32"/>
      <c r="R193" s="4"/>
      <c r="S193" s="4"/>
      <c r="T193" s="4"/>
      <c r="U193" s="4"/>
      <c r="V193" s="4"/>
    </row>
    <row x14ac:dyDescent="0.25" r="194" customHeight="1" ht="12.75">
      <c r="A194" s="4"/>
      <c r="B194" s="29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29"/>
      <c r="N194" s="29"/>
      <c r="O194" s="29"/>
      <c r="P194" s="32"/>
      <c r="Q194" s="32"/>
      <c r="R194" s="4"/>
      <c r="S194" s="4"/>
      <c r="T194" s="4"/>
      <c r="U194" s="4"/>
      <c r="V194" s="4"/>
    </row>
    <row x14ac:dyDescent="0.25" r="195" customHeight="1" ht="12.75">
      <c r="A195" s="4"/>
      <c r="B195" s="29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29"/>
      <c r="N195" s="29"/>
      <c r="O195" s="29"/>
      <c r="P195" s="32"/>
      <c r="Q195" s="32"/>
      <c r="R195" s="4"/>
      <c r="S195" s="4"/>
      <c r="T195" s="4"/>
      <c r="U195" s="4"/>
      <c r="V195" s="4"/>
    </row>
    <row x14ac:dyDescent="0.25" r="196" customHeight="1" ht="12.75">
      <c r="A196" s="4"/>
      <c r="B196" s="29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29"/>
      <c r="N196" s="29"/>
      <c r="O196" s="29"/>
      <c r="P196" s="32"/>
      <c r="Q196" s="32"/>
      <c r="R196" s="4"/>
      <c r="S196" s="4"/>
      <c r="T196" s="4"/>
      <c r="U196" s="4"/>
      <c r="V196" s="4"/>
    </row>
    <row x14ac:dyDescent="0.25" r="197" customHeight="1" ht="12.75">
      <c r="A197" s="4"/>
      <c r="B197" s="29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29"/>
      <c r="N197" s="29"/>
      <c r="O197" s="29"/>
      <c r="P197" s="32"/>
      <c r="Q197" s="32"/>
      <c r="R197" s="4"/>
      <c r="S197" s="4"/>
      <c r="T197" s="4"/>
      <c r="U197" s="4"/>
      <c r="V197" s="4"/>
    </row>
    <row x14ac:dyDescent="0.25" r="198" customHeight="1" ht="12.75">
      <c r="A198" s="4"/>
      <c r="B198" s="29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29"/>
      <c r="N198" s="29"/>
      <c r="O198" s="29"/>
      <c r="P198" s="32"/>
      <c r="Q198" s="32"/>
      <c r="R198" s="4"/>
      <c r="S198" s="4"/>
      <c r="T198" s="4"/>
      <c r="U198" s="4"/>
      <c r="V198" s="4"/>
    </row>
    <row x14ac:dyDescent="0.25" r="199" customHeight="1" ht="12.75">
      <c r="A199" s="4"/>
      <c r="B199" s="29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29"/>
      <c r="N199" s="29"/>
      <c r="O199" s="29"/>
      <c r="P199" s="32"/>
      <c r="Q199" s="32"/>
      <c r="R199" s="4"/>
      <c r="S199" s="4"/>
      <c r="T199" s="4"/>
      <c r="U199" s="4"/>
      <c r="V199" s="4"/>
    </row>
    <row x14ac:dyDescent="0.25" r="200" customHeight="1" ht="12.75">
      <c r="A200" s="4"/>
      <c r="B200" s="29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29"/>
      <c r="N200" s="29"/>
      <c r="O200" s="29"/>
      <c r="P200" s="32"/>
      <c r="Q200" s="32"/>
      <c r="R200" s="4"/>
      <c r="S200" s="4"/>
      <c r="T200" s="4"/>
      <c r="U200" s="4"/>
      <c r="V200" s="4"/>
    </row>
    <row x14ac:dyDescent="0.25" r="201" customHeight="1" ht="12.75">
      <c r="A201" s="4"/>
      <c r="B201" s="29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29"/>
      <c r="N201" s="29"/>
      <c r="O201" s="29"/>
      <c r="P201" s="32"/>
      <c r="Q201" s="32"/>
      <c r="R201" s="4"/>
      <c r="S201" s="4"/>
      <c r="T201" s="4"/>
      <c r="U201" s="4"/>
      <c r="V201" s="4"/>
    </row>
    <row x14ac:dyDescent="0.25" r="202" customHeight="1" ht="12.75">
      <c r="A202" s="4"/>
      <c r="B202" s="29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29"/>
      <c r="N202" s="29"/>
      <c r="O202" s="29"/>
      <c r="P202" s="32"/>
      <c r="Q202" s="32"/>
      <c r="R202" s="4"/>
      <c r="S202" s="4"/>
      <c r="T202" s="4"/>
      <c r="U202" s="4"/>
      <c r="V202" s="4"/>
    </row>
    <row x14ac:dyDescent="0.25" r="203" customHeight="1" ht="12.75">
      <c r="A203" s="4"/>
      <c r="B203" s="29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29"/>
      <c r="N203" s="29"/>
      <c r="O203" s="29"/>
      <c r="P203" s="32"/>
      <c r="Q203" s="32"/>
      <c r="R203" s="4"/>
      <c r="S203" s="4"/>
      <c r="T203" s="4"/>
      <c r="U203" s="4"/>
      <c r="V203" s="4"/>
    </row>
    <row x14ac:dyDescent="0.25" r="204" customHeight="1" ht="12.75">
      <c r="A204" s="4"/>
      <c r="B204" s="29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29"/>
      <c r="N204" s="29"/>
      <c r="O204" s="29"/>
      <c r="P204" s="32"/>
      <c r="Q204" s="32"/>
      <c r="R204" s="4"/>
      <c r="S204" s="4"/>
      <c r="T204" s="4"/>
      <c r="U204" s="4"/>
      <c r="V204" s="4"/>
    </row>
    <row x14ac:dyDescent="0.25" r="205" customHeight="1" ht="12.75">
      <c r="A205" s="4"/>
      <c r="B205" s="29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29"/>
      <c r="N205" s="29"/>
      <c r="O205" s="29"/>
      <c r="P205" s="32"/>
      <c r="Q205" s="32"/>
      <c r="R205" s="4"/>
      <c r="S205" s="4"/>
      <c r="T205" s="4"/>
      <c r="U205" s="4"/>
      <c r="V205" s="4"/>
    </row>
    <row x14ac:dyDescent="0.25" r="206" customHeight="1" ht="12.75">
      <c r="A206" s="4"/>
      <c r="B206" s="29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29"/>
      <c r="N206" s="29"/>
      <c r="O206" s="29"/>
      <c r="P206" s="32"/>
      <c r="Q206" s="32"/>
      <c r="R206" s="4"/>
      <c r="S206" s="4"/>
      <c r="T206" s="4"/>
      <c r="U206" s="4"/>
      <c r="V206" s="4"/>
    </row>
    <row x14ac:dyDescent="0.25" r="207" customHeight="1" ht="12.75">
      <c r="A207" s="4"/>
      <c r="B207" s="29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29"/>
      <c r="N207" s="29"/>
      <c r="O207" s="29"/>
      <c r="P207" s="32"/>
      <c r="Q207" s="32"/>
      <c r="R207" s="4"/>
      <c r="S207" s="4"/>
      <c r="T207" s="4"/>
      <c r="U207" s="4"/>
      <c r="V207" s="4"/>
    </row>
    <row x14ac:dyDescent="0.25" r="208" customHeight="1" ht="12.75">
      <c r="A208" s="4"/>
      <c r="B208" s="29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29"/>
      <c r="N208" s="29"/>
      <c r="O208" s="29"/>
      <c r="P208" s="32"/>
      <c r="Q208" s="32"/>
      <c r="R208" s="4"/>
      <c r="S208" s="4"/>
      <c r="T208" s="4"/>
      <c r="U208" s="4"/>
      <c r="V208" s="4"/>
    </row>
    <row x14ac:dyDescent="0.25" r="209" customHeight="1" ht="12.75">
      <c r="A209" s="4"/>
      <c r="B209" s="29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29"/>
      <c r="N209" s="29"/>
      <c r="O209" s="29"/>
      <c r="P209" s="32"/>
      <c r="Q209" s="32"/>
      <c r="R209" s="4"/>
      <c r="S209" s="4"/>
      <c r="T209" s="4"/>
      <c r="U209" s="4"/>
      <c r="V209" s="4"/>
    </row>
    <row x14ac:dyDescent="0.25" r="210" customHeight="1" ht="12.75">
      <c r="A210" s="4"/>
      <c r="B210" s="29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29"/>
      <c r="N210" s="29"/>
      <c r="O210" s="29"/>
      <c r="P210" s="32"/>
      <c r="Q210" s="32"/>
      <c r="R210" s="4"/>
      <c r="S210" s="4"/>
      <c r="T210" s="4"/>
      <c r="U210" s="4"/>
      <c r="V210" s="4"/>
    </row>
    <row x14ac:dyDescent="0.25" r="211" customHeight="1" ht="12.75">
      <c r="A211" s="4"/>
      <c r="B211" s="29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29"/>
      <c r="N211" s="29"/>
      <c r="O211" s="29"/>
      <c r="P211" s="32"/>
      <c r="Q211" s="32"/>
      <c r="R211" s="4"/>
      <c r="S211" s="4"/>
      <c r="T211" s="4"/>
      <c r="U211" s="4"/>
      <c r="V211" s="4"/>
    </row>
    <row x14ac:dyDescent="0.25" r="212" customHeight="1" ht="12.75">
      <c r="A212" s="4"/>
      <c r="B212" s="29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29"/>
      <c r="N212" s="29"/>
      <c r="O212" s="29"/>
      <c r="P212" s="32"/>
      <c r="Q212" s="32"/>
      <c r="R212" s="4"/>
      <c r="S212" s="4"/>
      <c r="T212" s="4"/>
      <c r="U212" s="4"/>
      <c r="V212" s="4"/>
    </row>
    <row x14ac:dyDescent="0.25" r="213" customHeight="1" ht="12.75">
      <c r="A213" s="4"/>
      <c r="B213" s="29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29"/>
      <c r="N213" s="29"/>
      <c r="O213" s="29"/>
      <c r="P213" s="32"/>
      <c r="Q213" s="32"/>
      <c r="R213" s="4"/>
      <c r="S213" s="4"/>
      <c r="T213" s="4"/>
      <c r="U213" s="4"/>
      <c r="V213" s="4"/>
    </row>
    <row x14ac:dyDescent="0.25" r="214" customHeight="1" ht="12.75">
      <c r="A214" s="4"/>
      <c r="B214" s="29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29"/>
      <c r="N214" s="29"/>
      <c r="O214" s="29"/>
      <c r="P214" s="32"/>
      <c r="Q214" s="32"/>
      <c r="R214" s="4"/>
      <c r="S214" s="4"/>
      <c r="T214" s="4"/>
      <c r="U214" s="4"/>
      <c r="V214" s="4"/>
    </row>
    <row x14ac:dyDescent="0.25" r="215" customHeight="1" ht="12.75">
      <c r="A215" s="4"/>
      <c r="B215" s="29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29"/>
      <c r="N215" s="29"/>
      <c r="O215" s="29"/>
      <c r="P215" s="32"/>
      <c r="Q215" s="32"/>
      <c r="R215" s="4"/>
      <c r="S215" s="4"/>
      <c r="T215" s="4"/>
      <c r="U215" s="4"/>
      <c r="V215" s="4"/>
    </row>
    <row x14ac:dyDescent="0.25" r="216" customHeight="1" ht="12.75">
      <c r="A216" s="4"/>
      <c r="B216" s="29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29"/>
      <c r="N216" s="29"/>
      <c r="O216" s="29"/>
      <c r="P216" s="32"/>
      <c r="Q216" s="32"/>
      <c r="R216" s="4"/>
      <c r="S216" s="4"/>
      <c r="T216" s="4"/>
      <c r="U216" s="4"/>
      <c r="V216" s="4"/>
    </row>
    <row x14ac:dyDescent="0.25" r="217" customHeight="1" ht="12.75">
      <c r="A217" s="4"/>
      <c r="B217" s="29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29"/>
      <c r="N217" s="29"/>
      <c r="O217" s="29"/>
      <c r="P217" s="32"/>
      <c r="Q217" s="32"/>
      <c r="R217" s="4"/>
      <c r="S217" s="4"/>
      <c r="T217" s="4"/>
      <c r="U217" s="4"/>
      <c r="V217" s="4"/>
    </row>
    <row x14ac:dyDescent="0.25" r="218" customHeight="1" ht="12.75">
      <c r="A218" s="4"/>
      <c r="B218" s="29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29"/>
      <c r="N218" s="29"/>
      <c r="O218" s="29"/>
      <c r="P218" s="32"/>
      <c r="Q218" s="32"/>
      <c r="R218" s="4"/>
      <c r="S218" s="4"/>
      <c r="T218" s="4"/>
      <c r="U218" s="4"/>
      <c r="V218" s="4"/>
    </row>
    <row x14ac:dyDescent="0.25" r="219" customHeight="1" ht="12.75">
      <c r="A219" s="4"/>
      <c r="B219" s="29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29"/>
      <c r="N219" s="29"/>
      <c r="O219" s="29"/>
      <c r="P219" s="32"/>
      <c r="Q219" s="32"/>
      <c r="R219" s="4"/>
      <c r="S219" s="4"/>
      <c r="T219" s="4"/>
      <c r="U219" s="4"/>
      <c r="V219" s="4"/>
    </row>
    <row x14ac:dyDescent="0.25" r="220" customHeight="1" ht="12.75">
      <c r="A220" s="4"/>
      <c r="B220" s="29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29"/>
      <c r="N220" s="29"/>
      <c r="O220" s="29"/>
      <c r="P220" s="32"/>
      <c r="Q220" s="32"/>
      <c r="R220" s="4"/>
      <c r="S220" s="4"/>
      <c r="T220" s="4"/>
      <c r="U220" s="4"/>
      <c r="V220" s="4"/>
    </row>
    <row x14ac:dyDescent="0.25" r="221" customHeight="1" ht="12.75">
      <c r="A221" s="4"/>
      <c r="B221" s="29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29"/>
      <c r="N221" s="29"/>
      <c r="O221" s="29"/>
      <c r="P221" s="32"/>
      <c r="Q221" s="32"/>
      <c r="R221" s="4"/>
      <c r="S221" s="4"/>
      <c r="T221" s="4"/>
      <c r="U221" s="4"/>
      <c r="V221" s="4"/>
    </row>
    <row x14ac:dyDescent="0.25" r="222" customHeight="1" ht="12.75">
      <c r="A222" s="4"/>
      <c r="B222" s="29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29"/>
      <c r="N222" s="29"/>
      <c r="O222" s="29"/>
      <c r="P222" s="32"/>
      <c r="Q222" s="32"/>
      <c r="R222" s="4"/>
      <c r="S222" s="4"/>
      <c r="T222" s="4"/>
      <c r="U222" s="4"/>
      <c r="V222" s="4"/>
    </row>
    <row x14ac:dyDescent="0.25" r="223" customHeight="1" ht="12.75">
      <c r="A223" s="4"/>
      <c r="B223" s="29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29"/>
      <c r="N223" s="29"/>
      <c r="O223" s="29"/>
      <c r="P223" s="32"/>
      <c r="Q223" s="32"/>
      <c r="R223" s="4"/>
      <c r="S223" s="4"/>
      <c r="T223" s="4"/>
      <c r="U223" s="4"/>
      <c r="V223" s="4"/>
    </row>
    <row x14ac:dyDescent="0.25" r="224" customHeight="1" ht="12.75">
      <c r="A224" s="4"/>
      <c r="B224" s="29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29"/>
      <c r="N224" s="29"/>
      <c r="O224" s="29"/>
      <c r="P224" s="32"/>
      <c r="Q224" s="32"/>
      <c r="R224" s="4"/>
      <c r="S224" s="4"/>
      <c r="T224" s="4"/>
      <c r="U224" s="4"/>
      <c r="V224" s="4"/>
    </row>
    <row x14ac:dyDescent="0.25" r="225" customHeight="1" ht="12.75">
      <c r="A225" s="4"/>
      <c r="B225" s="29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29"/>
      <c r="N225" s="29"/>
      <c r="O225" s="29"/>
      <c r="P225" s="32"/>
      <c r="Q225" s="32"/>
      <c r="R225" s="4"/>
      <c r="S225" s="4"/>
      <c r="T225" s="4"/>
      <c r="U225" s="4"/>
      <c r="V225" s="4"/>
    </row>
    <row x14ac:dyDescent="0.25" r="226" customHeight="1" ht="12.75">
      <c r="A226" s="4"/>
      <c r="B226" s="29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29"/>
      <c r="N226" s="29"/>
      <c r="O226" s="29"/>
      <c r="P226" s="32"/>
      <c r="Q226" s="32"/>
      <c r="R226" s="4"/>
      <c r="S226" s="4"/>
      <c r="T226" s="4"/>
      <c r="U226" s="4"/>
      <c r="V226" s="4"/>
    </row>
    <row x14ac:dyDescent="0.25" r="227" customHeight="1" ht="12.75">
      <c r="A227" s="4"/>
      <c r="B227" s="29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29"/>
      <c r="N227" s="29"/>
      <c r="O227" s="29"/>
      <c r="P227" s="32"/>
      <c r="Q227" s="32"/>
      <c r="R227" s="4"/>
      <c r="S227" s="4"/>
      <c r="T227" s="4"/>
      <c r="U227" s="4"/>
      <c r="V227" s="4"/>
    </row>
    <row x14ac:dyDescent="0.25" r="228" customHeight="1" ht="12.75">
      <c r="A228" s="4"/>
      <c r="B228" s="29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29"/>
      <c r="N228" s="29"/>
      <c r="O228" s="29"/>
      <c r="P228" s="32"/>
      <c r="Q228" s="32"/>
      <c r="R228" s="4"/>
      <c r="S228" s="4"/>
      <c r="T228" s="4"/>
      <c r="U228" s="4"/>
      <c r="V228" s="4"/>
    </row>
    <row x14ac:dyDescent="0.25" r="229" customHeight="1" ht="12.75">
      <c r="A229" s="4"/>
      <c r="B229" s="29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29"/>
      <c r="N229" s="29"/>
      <c r="O229" s="29"/>
      <c r="P229" s="32"/>
      <c r="Q229" s="32"/>
      <c r="R229" s="4"/>
      <c r="S229" s="4"/>
      <c r="T229" s="4"/>
      <c r="U229" s="4"/>
      <c r="V229" s="4"/>
    </row>
    <row x14ac:dyDescent="0.25" r="230" customHeight="1" ht="12.75">
      <c r="A230" s="4"/>
      <c r="B230" s="29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29"/>
      <c r="N230" s="29"/>
      <c r="O230" s="29"/>
      <c r="P230" s="32"/>
      <c r="Q230" s="32"/>
      <c r="R230" s="4"/>
      <c r="S230" s="4"/>
      <c r="T230" s="4"/>
      <c r="U230" s="4"/>
      <c r="V230" s="4"/>
    </row>
    <row x14ac:dyDescent="0.25" r="231" customHeight="1" ht="12.75">
      <c r="A231" s="4"/>
      <c r="B231" s="29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29"/>
      <c r="N231" s="29"/>
      <c r="O231" s="29"/>
      <c r="P231" s="32"/>
      <c r="Q231" s="32"/>
      <c r="R231" s="4"/>
      <c r="S231" s="4"/>
      <c r="T231" s="4"/>
      <c r="U231" s="4"/>
      <c r="V231" s="4"/>
    </row>
    <row x14ac:dyDescent="0.25" r="232" customHeight="1" ht="12.75">
      <c r="A232" s="4"/>
      <c r="B232" s="29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29"/>
      <c r="N232" s="29"/>
      <c r="O232" s="29"/>
      <c r="P232" s="32"/>
      <c r="Q232" s="32"/>
      <c r="R232" s="4"/>
      <c r="S232" s="4"/>
      <c r="T232" s="4"/>
      <c r="U232" s="4"/>
      <c r="V232" s="4"/>
    </row>
    <row x14ac:dyDescent="0.25" r="233" customHeight="1" ht="12.75">
      <c r="A233" s="4"/>
      <c r="B233" s="29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29"/>
      <c r="N233" s="29"/>
      <c r="O233" s="29"/>
      <c r="P233" s="32"/>
      <c r="Q233" s="32"/>
      <c r="R233" s="4"/>
      <c r="S233" s="4"/>
      <c r="T233" s="4"/>
      <c r="U233" s="4"/>
      <c r="V233" s="4"/>
    </row>
    <row x14ac:dyDescent="0.25" r="234" customHeight="1" ht="12.75">
      <c r="A234" s="4"/>
      <c r="B234" s="29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29"/>
      <c r="N234" s="29"/>
      <c r="O234" s="29"/>
      <c r="P234" s="32"/>
      <c r="Q234" s="32"/>
      <c r="R234" s="4"/>
      <c r="S234" s="4"/>
      <c r="T234" s="4"/>
      <c r="U234" s="4"/>
      <c r="V234" s="4"/>
    </row>
    <row x14ac:dyDescent="0.25" r="235" customHeight="1" ht="12.75">
      <c r="A235" s="4"/>
      <c r="B235" s="29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29"/>
      <c r="N235" s="29"/>
      <c r="O235" s="29"/>
      <c r="P235" s="32"/>
      <c r="Q235" s="32"/>
      <c r="R235" s="4"/>
      <c r="S235" s="4"/>
      <c r="T235" s="4"/>
      <c r="U235" s="4"/>
      <c r="V235" s="4"/>
    </row>
    <row x14ac:dyDescent="0.25" r="236" customHeight="1" ht="12.75">
      <c r="A236" s="4"/>
      <c r="B236" s="29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29"/>
      <c r="N236" s="29"/>
      <c r="O236" s="29"/>
      <c r="P236" s="32"/>
      <c r="Q236" s="32"/>
      <c r="R236" s="4"/>
      <c r="S236" s="4"/>
      <c r="T236" s="4"/>
      <c r="U236" s="4"/>
      <c r="V236" s="4"/>
    </row>
    <row x14ac:dyDescent="0.25" r="237" customHeight="1" ht="12.75">
      <c r="A237" s="4"/>
      <c r="B237" s="29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29"/>
      <c r="N237" s="29"/>
      <c r="O237" s="29"/>
      <c r="P237" s="32"/>
      <c r="Q237" s="32"/>
      <c r="R237" s="4"/>
      <c r="S237" s="4"/>
      <c r="T237" s="4"/>
      <c r="U237" s="4"/>
      <c r="V237" s="4"/>
    </row>
    <row x14ac:dyDescent="0.25" r="238" customHeight="1" ht="12.75">
      <c r="A238" s="4"/>
      <c r="B238" s="29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29"/>
      <c r="N238" s="29"/>
      <c r="O238" s="29"/>
      <c r="P238" s="32"/>
      <c r="Q238" s="32"/>
      <c r="R238" s="4"/>
      <c r="S238" s="4"/>
      <c r="T238" s="4"/>
      <c r="U238" s="4"/>
      <c r="V238" s="4"/>
    </row>
    <row x14ac:dyDescent="0.25" r="239" customHeight="1" ht="12.75">
      <c r="A239" s="4"/>
      <c r="B239" s="29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29"/>
      <c r="N239" s="29"/>
      <c r="O239" s="29"/>
      <c r="P239" s="32"/>
      <c r="Q239" s="32"/>
      <c r="R239" s="4"/>
      <c r="S239" s="4"/>
      <c r="T239" s="4"/>
      <c r="U239" s="4"/>
      <c r="V239" s="4"/>
    </row>
    <row x14ac:dyDescent="0.25" r="240" customHeight="1" ht="12.75">
      <c r="A240" s="4"/>
      <c r="B240" s="29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29"/>
      <c r="N240" s="29"/>
      <c r="O240" s="29"/>
      <c r="P240" s="32"/>
      <c r="Q240" s="32"/>
      <c r="R240" s="4"/>
      <c r="S240" s="4"/>
      <c r="T240" s="4"/>
      <c r="U240" s="4"/>
      <c r="V240" s="4"/>
    </row>
    <row x14ac:dyDescent="0.25" r="241" customHeight="1" ht="12.75">
      <c r="A241" s="4"/>
      <c r="B241" s="29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29"/>
      <c r="N241" s="29"/>
      <c r="O241" s="29"/>
      <c r="P241" s="32"/>
      <c r="Q241" s="32"/>
      <c r="R241" s="4"/>
      <c r="S241" s="4"/>
      <c r="T241" s="4"/>
      <c r="U241" s="4"/>
      <c r="V241" s="4"/>
    </row>
    <row x14ac:dyDescent="0.25" r="242" customHeight="1" ht="12.75">
      <c r="A242" s="4"/>
      <c r="B242" s="29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29"/>
      <c r="N242" s="29"/>
      <c r="O242" s="29"/>
      <c r="P242" s="32"/>
      <c r="Q242" s="32"/>
      <c r="R242" s="4"/>
      <c r="S242" s="4"/>
      <c r="T242" s="4"/>
      <c r="U242" s="4"/>
      <c r="V242" s="4"/>
    </row>
    <row x14ac:dyDescent="0.25" r="243" customHeight="1" ht="12.75">
      <c r="A243" s="4"/>
      <c r="B243" s="29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29"/>
      <c r="N243" s="29"/>
      <c r="O243" s="29"/>
      <c r="P243" s="32"/>
      <c r="Q243" s="32"/>
      <c r="R243" s="4"/>
      <c r="S243" s="4"/>
      <c r="T243" s="4"/>
      <c r="U243" s="4"/>
      <c r="V243" s="4"/>
    </row>
    <row x14ac:dyDescent="0.25" r="244" customHeight="1" ht="12.75">
      <c r="A244" s="4"/>
      <c r="B244" s="29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29"/>
      <c r="N244" s="29"/>
      <c r="O244" s="29"/>
      <c r="P244" s="32"/>
      <c r="Q244" s="32"/>
      <c r="R244" s="4"/>
      <c r="S244" s="4"/>
      <c r="T244" s="4"/>
      <c r="U244" s="4"/>
      <c r="V244" s="4"/>
    </row>
    <row x14ac:dyDescent="0.25" r="245" customHeight="1" ht="12.75">
      <c r="A245" s="4"/>
      <c r="B245" s="29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29"/>
      <c r="N245" s="29"/>
      <c r="O245" s="29"/>
      <c r="P245" s="32"/>
      <c r="Q245" s="32"/>
      <c r="R245" s="4"/>
      <c r="S245" s="4"/>
      <c r="T245" s="4"/>
      <c r="U245" s="4"/>
      <c r="V245" s="4"/>
    </row>
    <row x14ac:dyDescent="0.25" r="246" customHeight="1" ht="12.75">
      <c r="A246" s="4"/>
      <c r="B246" s="29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29"/>
      <c r="N246" s="29"/>
      <c r="O246" s="29"/>
      <c r="P246" s="32"/>
      <c r="Q246" s="32"/>
      <c r="R246" s="4"/>
      <c r="S246" s="4"/>
      <c r="T246" s="4"/>
      <c r="U246" s="4"/>
      <c r="V246" s="4"/>
    </row>
    <row x14ac:dyDescent="0.25" r="247" customHeight="1" ht="12.75">
      <c r="A247" s="4"/>
      <c r="B247" s="29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29"/>
      <c r="N247" s="29"/>
      <c r="O247" s="29"/>
      <c r="P247" s="32"/>
      <c r="Q247" s="32"/>
      <c r="R247" s="4"/>
      <c r="S247" s="4"/>
      <c r="T247" s="4"/>
      <c r="U247" s="4"/>
      <c r="V247" s="4"/>
    </row>
    <row x14ac:dyDescent="0.25" r="248" customHeight="1" ht="12.75">
      <c r="A248" s="4"/>
      <c r="B248" s="29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29"/>
      <c r="N248" s="29"/>
      <c r="O248" s="29"/>
      <c r="P248" s="32"/>
      <c r="Q248" s="32"/>
      <c r="R248" s="4"/>
      <c r="S248" s="4"/>
      <c r="T248" s="4"/>
      <c r="U248" s="4"/>
      <c r="V248" s="4"/>
    </row>
    <row x14ac:dyDescent="0.25" r="249" customHeight="1" ht="12.75">
      <c r="A249" s="4"/>
      <c r="B249" s="29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29"/>
      <c r="N249" s="29"/>
      <c r="O249" s="29"/>
      <c r="P249" s="32"/>
      <c r="Q249" s="32"/>
      <c r="R249" s="4"/>
      <c r="S249" s="4"/>
      <c r="T249" s="4"/>
      <c r="U249" s="4"/>
      <c r="V249" s="4"/>
    </row>
    <row x14ac:dyDescent="0.25" r="250" customHeight="1" ht="12.75">
      <c r="A250" s="4"/>
      <c r="B250" s="29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29"/>
      <c r="N250" s="29"/>
      <c r="O250" s="29"/>
      <c r="P250" s="32"/>
      <c r="Q250" s="32"/>
      <c r="R250" s="4"/>
      <c r="S250" s="4"/>
      <c r="T250" s="4"/>
      <c r="U250" s="4"/>
      <c r="V250" s="4"/>
    </row>
    <row x14ac:dyDescent="0.25" r="251" customHeight="1" ht="12.75">
      <c r="A251" s="4"/>
      <c r="B251" s="29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29"/>
      <c r="N251" s="29"/>
      <c r="O251" s="29"/>
      <c r="P251" s="32"/>
      <c r="Q251" s="32"/>
      <c r="R251" s="4"/>
      <c r="S251" s="4"/>
      <c r="T251" s="4"/>
      <c r="U251" s="4"/>
      <c r="V251" s="4"/>
    </row>
    <row x14ac:dyDescent="0.25" r="252" customHeight="1" ht="12.75">
      <c r="A252" s="4"/>
      <c r="B252" s="29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29"/>
      <c r="N252" s="29"/>
      <c r="O252" s="29"/>
      <c r="P252" s="32"/>
      <c r="Q252" s="32"/>
      <c r="R252" s="4"/>
      <c r="S252" s="4"/>
      <c r="T252" s="4"/>
      <c r="U252" s="4"/>
      <c r="V252" s="4"/>
    </row>
    <row x14ac:dyDescent="0.25" r="253" customHeight="1" ht="12.75">
      <c r="A253" s="4"/>
      <c r="B253" s="29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29"/>
      <c r="N253" s="29"/>
      <c r="O253" s="29"/>
      <c r="P253" s="32"/>
      <c r="Q253" s="32"/>
      <c r="R253" s="4"/>
      <c r="S253" s="4"/>
      <c r="T253" s="4"/>
      <c r="U253" s="4"/>
      <c r="V253" s="4"/>
    </row>
    <row x14ac:dyDescent="0.25" r="254" customHeight="1" ht="12.75">
      <c r="A254" s="4"/>
      <c r="B254" s="29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29"/>
      <c r="N254" s="29"/>
      <c r="O254" s="29"/>
      <c r="P254" s="32"/>
      <c r="Q254" s="32"/>
      <c r="R254" s="4"/>
      <c r="S254" s="4"/>
      <c r="T254" s="4"/>
      <c r="U254" s="4"/>
      <c r="V254" s="4"/>
    </row>
    <row x14ac:dyDescent="0.25" r="255" customHeight="1" ht="12.75">
      <c r="A255" s="4"/>
      <c r="B255" s="29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29"/>
      <c r="N255" s="29"/>
      <c r="O255" s="29"/>
      <c r="P255" s="32"/>
      <c r="Q255" s="32"/>
      <c r="R255" s="4"/>
      <c r="S255" s="4"/>
      <c r="T255" s="4"/>
      <c r="U255" s="4"/>
      <c r="V255" s="4"/>
    </row>
    <row x14ac:dyDescent="0.25" r="256" customHeight="1" ht="12.75">
      <c r="A256" s="4"/>
      <c r="B256" s="29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29"/>
      <c r="N256" s="29"/>
      <c r="O256" s="29"/>
      <c r="P256" s="32"/>
      <c r="Q256" s="32"/>
      <c r="R256" s="4"/>
      <c r="S256" s="4"/>
      <c r="T256" s="4"/>
      <c r="U256" s="4"/>
      <c r="V256" s="4"/>
    </row>
    <row x14ac:dyDescent="0.25" r="257" customHeight="1" ht="12.75">
      <c r="A257" s="4"/>
      <c r="B257" s="29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29"/>
      <c r="N257" s="29"/>
      <c r="O257" s="29"/>
      <c r="P257" s="32"/>
      <c r="Q257" s="32"/>
      <c r="R257" s="4"/>
      <c r="S257" s="4"/>
      <c r="T257" s="4"/>
      <c r="U257" s="4"/>
      <c r="V257" s="4"/>
    </row>
    <row x14ac:dyDescent="0.25" r="258" customHeight="1" ht="12.75">
      <c r="A258" s="4"/>
      <c r="B258" s="29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29"/>
      <c r="N258" s="29"/>
      <c r="O258" s="29"/>
      <c r="P258" s="32"/>
      <c r="Q258" s="32"/>
      <c r="R258" s="4"/>
      <c r="S258" s="4"/>
      <c r="T258" s="4"/>
      <c r="U258" s="4"/>
      <c r="V258" s="4"/>
    </row>
    <row x14ac:dyDescent="0.25" r="259" customHeight="1" ht="12.75">
      <c r="A259" s="4"/>
      <c r="B259" s="29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29"/>
      <c r="N259" s="29"/>
      <c r="O259" s="29"/>
      <c r="P259" s="32"/>
      <c r="Q259" s="32"/>
      <c r="R259" s="4"/>
      <c r="S259" s="4"/>
      <c r="T259" s="4"/>
      <c r="U259" s="4"/>
      <c r="V259" s="4"/>
    </row>
    <row x14ac:dyDescent="0.25" r="260" customHeight="1" ht="12.75">
      <c r="A260" s="4"/>
      <c r="B260" s="29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29"/>
      <c r="N260" s="29"/>
      <c r="O260" s="29"/>
      <c r="P260" s="32"/>
      <c r="Q260" s="32"/>
      <c r="R260" s="4"/>
      <c r="S260" s="4"/>
      <c r="T260" s="4"/>
      <c r="U260" s="4"/>
      <c r="V260" s="4"/>
    </row>
    <row x14ac:dyDescent="0.25" r="261" customHeight="1" ht="12.75">
      <c r="A261" s="4"/>
      <c r="B261" s="29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29"/>
      <c r="N261" s="29"/>
      <c r="O261" s="29"/>
      <c r="P261" s="32"/>
      <c r="Q261" s="32"/>
      <c r="R261" s="4"/>
      <c r="S261" s="4"/>
      <c r="T261" s="4"/>
      <c r="U261" s="4"/>
      <c r="V261" s="4"/>
    </row>
    <row x14ac:dyDescent="0.25" r="262" customHeight="1" ht="12.75">
      <c r="A262" s="4"/>
      <c r="B262" s="29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29"/>
      <c r="N262" s="29"/>
      <c r="O262" s="29"/>
      <c r="P262" s="32"/>
      <c r="Q262" s="32"/>
      <c r="R262" s="4"/>
      <c r="S262" s="4"/>
      <c r="T262" s="4"/>
      <c r="U262" s="4"/>
      <c r="V262" s="4"/>
    </row>
    <row x14ac:dyDescent="0.25" r="263" customHeight="1" ht="12.75">
      <c r="A263" s="4"/>
      <c r="B263" s="29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29"/>
      <c r="N263" s="29"/>
      <c r="O263" s="29"/>
      <c r="P263" s="32"/>
      <c r="Q263" s="32"/>
      <c r="R263" s="4"/>
      <c r="S263" s="4"/>
      <c r="T263" s="4"/>
      <c r="U263" s="4"/>
      <c r="V263" s="4"/>
    </row>
    <row x14ac:dyDescent="0.25" r="264" customHeight="1" ht="12.75">
      <c r="A264" s="4"/>
      <c r="B264" s="29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29"/>
      <c r="N264" s="29"/>
      <c r="O264" s="29"/>
      <c r="P264" s="32"/>
      <c r="Q264" s="32"/>
      <c r="R264" s="4"/>
      <c r="S264" s="4"/>
      <c r="T264" s="4"/>
      <c r="U264" s="4"/>
      <c r="V264" s="4"/>
    </row>
    <row x14ac:dyDescent="0.25" r="265" customHeight="1" ht="12.75">
      <c r="A265" s="4"/>
      <c r="B265" s="29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29"/>
      <c r="N265" s="29"/>
      <c r="O265" s="29"/>
      <c r="P265" s="32"/>
      <c r="Q265" s="32"/>
      <c r="R265" s="4"/>
      <c r="S265" s="4"/>
      <c r="T265" s="4"/>
      <c r="U265" s="4"/>
      <c r="V265" s="4"/>
    </row>
    <row x14ac:dyDescent="0.25" r="266" customHeight="1" ht="12.75">
      <c r="A266" s="4"/>
      <c r="B266" s="29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29"/>
      <c r="N266" s="29"/>
      <c r="O266" s="29"/>
      <c r="P266" s="32"/>
      <c r="Q266" s="32"/>
      <c r="R266" s="4"/>
      <c r="S266" s="4"/>
      <c r="T266" s="4"/>
      <c r="U266" s="4"/>
      <c r="V266" s="4"/>
    </row>
    <row x14ac:dyDescent="0.25" r="267" customHeight="1" ht="12.75">
      <c r="A267" s="4"/>
      <c r="B267" s="29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29"/>
      <c r="N267" s="29"/>
      <c r="O267" s="29"/>
      <c r="P267" s="32"/>
      <c r="Q267" s="32"/>
      <c r="R267" s="4"/>
      <c r="S267" s="4"/>
      <c r="T267" s="4"/>
      <c r="U267" s="4"/>
      <c r="V267" s="4"/>
    </row>
    <row x14ac:dyDescent="0.25" r="268" customHeight="1" ht="12.75">
      <c r="A268" s="4"/>
      <c r="B268" s="29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29"/>
      <c r="N268" s="29"/>
      <c r="O268" s="29"/>
      <c r="P268" s="32"/>
      <c r="Q268" s="32"/>
      <c r="R268" s="4"/>
      <c r="S268" s="4"/>
      <c r="T268" s="4"/>
      <c r="U268" s="4"/>
      <c r="V268" s="4"/>
    </row>
    <row x14ac:dyDescent="0.25" r="269" customHeight="1" ht="12.75">
      <c r="A269" s="4"/>
      <c r="B269" s="29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29"/>
      <c r="N269" s="29"/>
      <c r="O269" s="29"/>
      <c r="P269" s="32"/>
      <c r="Q269" s="32"/>
      <c r="R269" s="4"/>
      <c r="S269" s="4"/>
      <c r="T269" s="4"/>
      <c r="U269" s="4"/>
      <c r="V269" s="4"/>
    </row>
    <row x14ac:dyDescent="0.25" r="270" customHeight="1" ht="12.75">
      <c r="A270" s="4"/>
      <c r="B270" s="29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29"/>
      <c r="N270" s="29"/>
      <c r="O270" s="29"/>
      <c r="P270" s="32"/>
      <c r="Q270" s="32"/>
      <c r="R270" s="4"/>
      <c r="S270" s="4"/>
      <c r="T270" s="4"/>
      <c r="U270" s="4"/>
      <c r="V270" s="4"/>
    </row>
    <row x14ac:dyDescent="0.25" r="271" customHeight="1" ht="12.75">
      <c r="A271" s="4"/>
      <c r="B271" s="29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29"/>
      <c r="N271" s="29"/>
      <c r="O271" s="29"/>
      <c r="P271" s="32"/>
      <c r="Q271" s="32"/>
      <c r="R271" s="4"/>
      <c r="S271" s="4"/>
      <c r="T271" s="4"/>
      <c r="U271" s="4"/>
      <c r="V271" s="4"/>
    </row>
    <row x14ac:dyDescent="0.25" r="272" customHeight="1" ht="12.75">
      <c r="A272" s="4"/>
      <c r="B272" s="29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29"/>
      <c r="N272" s="29"/>
      <c r="O272" s="29"/>
      <c r="P272" s="32"/>
      <c r="Q272" s="32"/>
      <c r="R272" s="4"/>
      <c r="S272" s="4"/>
      <c r="T272" s="4"/>
      <c r="U272" s="4"/>
      <c r="V272" s="4"/>
    </row>
    <row x14ac:dyDescent="0.25" r="273" customHeight="1" ht="12.75">
      <c r="A273" s="4"/>
      <c r="B273" s="29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29"/>
      <c r="N273" s="29"/>
      <c r="O273" s="29"/>
      <c r="P273" s="32"/>
      <c r="Q273" s="32"/>
      <c r="R273" s="4"/>
      <c r="S273" s="4"/>
      <c r="T273" s="4"/>
      <c r="U273" s="4"/>
      <c r="V273" s="4"/>
    </row>
    <row x14ac:dyDescent="0.25" r="274" customHeight="1" ht="12.75">
      <c r="A274" s="4"/>
      <c r="B274" s="29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29"/>
      <c r="N274" s="29"/>
      <c r="O274" s="29"/>
      <c r="P274" s="32"/>
      <c r="Q274" s="32"/>
      <c r="R274" s="4"/>
      <c r="S274" s="4"/>
      <c r="T274" s="4"/>
      <c r="U274" s="4"/>
      <c r="V274" s="4"/>
    </row>
    <row x14ac:dyDescent="0.25" r="275" customHeight="1" ht="12.75">
      <c r="A275" s="4"/>
      <c r="B275" s="29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29"/>
      <c r="N275" s="29"/>
      <c r="O275" s="29"/>
      <c r="P275" s="32"/>
      <c r="Q275" s="32"/>
      <c r="R275" s="4"/>
      <c r="S275" s="4"/>
      <c r="T275" s="4"/>
      <c r="U275" s="4"/>
      <c r="V275" s="4"/>
    </row>
    <row x14ac:dyDescent="0.25" r="276" customHeight="1" ht="12.75">
      <c r="A276" s="4"/>
      <c r="B276" s="29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29"/>
      <c r="N276" s="29"/>
      <c r="O276" s="29"/>
      <c r="P276" s="32"/>
      <c r="Q276" s="32"/>
      <c r="R276" s="4"/>
      <c r="S276" s="4"/>
      <c r="T276" s="4"/>
      <c r="U276" s="4"/>
      <c r="V276" s="4"/>
    </row>
    <row x14ac:dyDescent="0.25" r="277" customHeight="1" ht="12.75">
      <c r="A277" s="4"/>
      <c r="B277" s="29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29"/>
      <c r="N277" s="29"/>
      <c r="O277" s="29"/>
      <c r="P277" s="32"/>
      <c r="Q277" s="32"/>
      <c r="R277" s="4"/>
      <c r="S277" s="4"/>
      <c r="T277" s="4"/>
      <c r="U277" s="4"/>
      <c r="V277" s="4"/>
    </row>
    <row x14ac:dyDescent="0.25" r="278" customHeight="1" ht="12.75">
      <c r="A278" s="4"/>
      <c r="B278" s="29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29"/>
      <c r="N278" s="29"/>
      <c r="O278" s="29"/>
      <c r="P278" s="32"/>
      <c r="Q278" s="32"/>
      <c r="R278" s="4"/>
      <c r="S278" s="4"/>
      <c r="T278" s="4"/>
      <c r="U278" s="4"/>
      <c r="V278" s="4"/>
    </row>
    <row x14ac:dyDescent="0.25" r="279" customHeight="1" ht="12.75">
      <c r="A279" s="4"/>
      <c r="B279" s="29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29"/>
      <c r="N279" s="29"/>
      <c r="O279" s="29"/>
      <c r="P279" s="32"/>
      <c r="Q279" s="32"/>
      <c r="R279" s="4"/>
      <c r="S279" s="4"/>
      <c r="T279" s="4"/>
      <c r="U279" s="4"/>
      <c r="V279" s="4"/>
    </row>
    <row x14ac:dyDescent="0.25" r="280" customHeight="1" ht="12.75">
      <c r="A280" s="4"/>
      <c r="B280" s="29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29"/>
      <c r="N280" s="29"/>
      <c r="O280" s="29"/>
      <c r="P280" s="32"/>
      <c r="Q280" s="32"/>
      <c r="R280" s="4"/>
      <c r="S280" s="4"/>
      <c r="T280" s="4"/>
      <c r="U280" s="4"/>
      <c r="V280" s="4"/>
    </row>
    <row x14ac:dyDescent="0.25" r="281" customHeight="1" ht="12.75">
      <c r="A281" s="4"/>
      <c r="B281" s="29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29"/>
      <c r="N281" s="29"/>
      <c r="O281" s="29"/>
      <c r="P281" s="32"/>
      <c r="Q281" s="32"/>
      <c r="R281" s="4"/>
      <c r="S281" s="4"/>
      <c r="T281" s="4"/>
      <c r="U281" s="4"/>
      <c r="V281" s="4"/>
    </row>
    <row x14ac:dyDescent="0.25" r="282" customHeight="1" ht="12.75">
      <c r="A282" s="4"/>
      <c r="B282" s="29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29"/>
      <c r="N282" s="29"/>
      <c r="O282" s="29"/>
      <c r="P282" s="32"/>
      <c r="Q282" s="32"/>
      <c r="R282" s="4"/>
      <c r="S282" s="4"/>
      <c r="T282" s="4"/>
      <c r="U282" s="4"/>
      <c r="V282" s="4"/>
    </row>
    <row x14ac:dyDescent="0.25" r="283" customHeight="1" ht="12.75">
      <c r="A283" s="4"/>
      <c r="B283" s="29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29"/>
      <c r="N283" s="29"/>
      <c r="O283" s="29"/>
      <c r="P283" s="32"/>
      <c r="Q283" s="32"/>
      <c r="R283" s="4"/>
      <c r="S283" s="4"/>
      <c r="T283" s="4"/>
      <c r="U283" s="4"/>
      <c r="V283" s="4"/>
    </row>
    <row x14ac:dyDescent="0.25" r="284" customHeight="1" ht="12.75">
      <c r="A284" s="4"/>
      <c r="B284" s="29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29"/>
      <c r="N284" s="29"/>
      <c r="O284" s="29"/>
      <c r="P284" s="32"/>
      <c r="Q284" s="32"/>
      <c r="R284" s="4"/>
      <c r="S284" s="4"/>
      <c r="T284" s="4"/>
      <c r="U284" s="4"/>
      <c r="V284" s="4"/>
    </row>
    <row x14ac:dyDescent="0.25" r="285" customHeight="1" ht="12.75">
      <c r="A285" s="4"/>
      <c r="B285" s="29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29"/>
      <c r="N285" s="29"/>
      <c r="O285" s="29"/>
      <c r="P285" s="32"/>
      <c r="Q285" s="32"/>
      <c r="R285" s="4"/>
      <c r="S285" s="4"/>
      <c r="T285" s="4"/>
      <c r="U285" s="4"/>
      <c r="V285" s="4"/>
    </row>
    <row x14ac:dyDescent="0.25" r="286" customHeight="1" ht="12.75">
      <c r="A286" s="4"/>
      <c r="B286" s="29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29"/>
      <c r="N286" s="29"/>
      <c r="O286" s="29"/>
      <c r="P286" s="32"/>
      <c r="Q286" s="32"/>
      <c r="R286" s="4"/>
      <c r="S286" s="4"/>
      <c r="T286" s="4"/>
      <c r="U286" s="4"/>
      <c r="V286" s="4"/>
    </row>
    <row x14ac:dyDescent="0.25" r="287" customHeight="1" ht="12.75">
      <c r="A287" s="4"/>
      <c r="B287" s="29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29"/>
      <c r="N287" s="29"/>
      <c r="O287" s="29"/>
      <c r="P287" s="32"/>
      <c r="Q287" s="32"/>
      <c r="R287" s="4"/>
      <c r="S287" s="4"/>
      <c r="T287" s="4"/>
      <c r="U287" s="4"/>
      <c r="V287" s="4"/>
    </row>
    <row x14ac:dyDescent="0.25" r="288" customHeight="1" ht="12.75">
      <c r="A288" s="4"/>
      <c r="B288" s="29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29"/>
      <c r="N288" s="29"/>
      <c r="O288" s="29"/>
      <c r="P288" s="32"/>
      <c r="Q288" s="32"/>
      <c r="R288" s="4"/>
      <c r="S288" s="4"/>
      <c r="T288" s="4"/>
      <c r="U288" s="4"/>
      <c r="V288" s="4"/>
    </row>
    <row x14ac:dyDescent="0.25" r="289" customHeight="1" ht="12.75">
      <c r="A289" s="4"/>
      <c r="B289" s="29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29"/>
      <c r="N289" s="29"/>
      <c r="O289" s="29"/>
      <c r="P289" s="32"/>
      <c r="Q289" s="32"/>
      <c r="R289" s="4"/>
      <c r="S289" s="4"/>
      <c r="T289" s="4"/>
      <c r="U289" s="4"/>
      <c r="V289" s="4"/>
    </row>
    <row x14ac:dyDescent="0.25" r="290" customHeight="1" ht="12.75">
      <c r="A290" s="4"/>
      <c r="B290" s="29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29"/>
      <c r="N290" s="29"/>
      <c r="O290" s="29"/>
      <c r="P290" s="32"/>
      <c r="Q290" s="32"/>
      <c r="R290" s="4"/>
      <c r="S290" s="4"/>
      <c r="T290" s="4"/>
      <c r="U290" s="4"/>
      <c r="V290" s="4"/>
    </row>
    <row x14ac:dyDescent="0.25" r="291" customHeight="1" ht="12.75">
      <c r="A291" s="4"/>
      <c r="B291" s="29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29"/>
      <c r="N291" s="29"/>
      <c r="O291" s="29"/>
      <c r="P291" s="32"/>
      <c r="Q291" s="32"/>
      <c r="R291" s="4"/>
      <c r="S291" s="4"/>
      <c r="T291" s="4"/>
      <c r="U291" s="4"/>
      <c r="V291" s="4"/>
    </row>
    <row x14ac:dyDescent="0.25" r="292" customHeight="1" ht="12.75">
      <c r="A292" s="4"/>
      <c r="B292" s="29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29"/>
      <c r="N292" s="29"/>
      <c r="O292" s="29"/>
      <c r="P292" s="32"/>
      <c r="Q292" s="32"/>
      <c r="R292" s="4"/>
      <c r="S292" s="4"/>
      <c r="T292" s="4"/>
      <c r="U292" s="4"/>
      <c r="V292" s="4"/>
    </row>
    <row x14ac:dyDescent="0.25" r="293" customHeight="1" ht="12.75">
      <c r="A293" s="4"/>
      <c r="B293" s="29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29"/>
      <c r="N293" s="29"/>
      <c r="O293" s="29"/>
      <c r="P293" s="32"/>
      <c r="Q293" s="32"/>
      <c r="R293" s="4"/>
      <c r="S293" s="4"/>
      <c r="T293" s="4"/>
      <c r="U293" s="4"/>
      <c r="V293" s="4"/>
    </row>
    <row x14ac:dyDescent="0.25" r="294" customHeight="1" ht="12.75">
      <c r="A294" s="4"/>
      <c r="B294" s="29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29"/>
      <c r="N294" s="29"/>
      <c r="O294" s="29"/>
      <c r="P294" s="32"/>
      <c r="Q294" s="32"/>
      <c r="R294" s="4"/>
      <c r="S294" s="4"/>
      <c r="T294" s="4"/>
      <c r="U294" s="4"/>
      <c r="V294" s="4"/>
    </row>
    <row x14ac:dyDescent="0.25" r="295" customHeight="1" ht="12.75">
      <c r="A295" s="4"/>
      <c r="B295" s="29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29"/>
      <c r="N295" s="29"/>
      <c r="O295" s="29"/>
      <c r="P295" s="32"/>
      <c r="Q295" s="32"/>
      <c r="R295" s="4"/>
      <c r="S295" s="4"/>
      <c r="T295" s="4"/>
      <c r="U295" s="4"/>
      <c r="V295" s="4"/>
    </row>
    <row x14ac:dyDescent="0.25" r="296" customHeight="1" ht="12.75">
      <c r="A296" s="4"/>
      <c r="B296" s="29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29"/>
      <c r="N296" s="29"/>
      <c r="O296" s="29"/>
      <c r="P296" s="32"/>
      <c r="Q296" s="32"/>
      <c r="R296" s="4"/>
      <c r="S296" s="4"/>
      <c r="T296" s="4"/>
      <c r="U296" s="4"/>
      <c r="V296" s="4"/>
    </row>
    <row x14ac:dyDescent="0.25" r="297" customHeight="1" ht="12.75">
      <c r="A297" s="4"/>
      <c r="B297" s="29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29"/>
      <c r="N297" s="29"/>
      <c r="O297" s="29"/>
      <c r="P297" s="32"/>
      <c r="Q297" s="32"/>
      <c r="R297" s="4"/>
      <c r="S297" s="4"/>
      <c r="T297" s="4"/>
      <c r="U297" s="4"/>
      <c r="V297" s="4"/>
    </row>
    <row x14ac:dyDescent="0.25" r="298" customHeight="1" ht="12.75">
      <c r="A298" s="4"/>
      <c r="B298" s="29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29"/>
      <c r="N298" s="29"/>
      <c r="O298" s="29"/>
      <c r="P298" s="32"/>
      <c r="Q298" s="32"/>
      <c r="R298" s="4"/>
      <c r="S298" s="4"/>
      <c r="T298" s="4"/>
      <c r="U298" s="4"/>
      <c r="V298" s="4"/>
    </row>
    <row x14ac:dyDescent="0.25" r="299" customHeight="1" ht="12.75">
      <c r="A299" s="4"/>
      <c r="B299" s="29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29"/>
      <c r="N299" s="29"/>
      <c r="O299" s="29"/>
      <c r="P299" s="32"/>
      <c r="Q299" s="32"/>
      <c r="R299" s="4"/>
      <c r="S299" s="4"/>
      <c r="T299" s="4"/>
      <c r="U299" s="4"/>
      <c r="V299" s="4"/>
    </row>
    <row x14ac:dyDescent="0.25" r="300" customHeight="1" ht="12.75">
      <c r="A300" s="4"/>
      <c r="B300" s="29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29"/>
      <c r="N300" s="29"/>
      <c r="O300" s="29"/>
      <c r="P300" s="32"/>
      <c r="Q300" s="32"/>
      <c r="R300" s="4"/>
      <c r="S300" s="4"/>
      <c r="T300" s="4"/>
      <c r="U300" s="4"/>
      <c r="V300" s="4"/>
    </row>
    <row x14ac:dyDescent="0.25" r="301" customHeight="1" ht="12.75">
      <c r="A301" s="4"/>
      <c r="B301" s="29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29"/>
      <c r="N301" s="29"/>
      <c r="O301" s="29"/>
      <c r="P301" s="32"/>
      <c r="Q301" s="32"/>
      <c r="R301" s="4"/>
      <c r="S301" s="4"/>
      <c r="T301" s="4"/>
      <c r="U301" s="4"/>
      <c r="V301" s="4"/>
    </row>
    <row x14ac:dyDescent="0.25" r="302" customHeight="1" ht="12.75">
      <c r="A302" s="4"/>
      <c r="B302" s="29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29"/>
      <c r="N302" s="29"/>
      <c r="O302" s="29"/>
      <c r="P302" s="32"/>
      <c r="Q302" s="32"/>
      <c r="R302" s="4"/>
      <c r="S302" s="4"/>
      <c r="T302" s="4"/>
      <c r="U302" s="4"/>
      <c r="V302" s="4"/>
    </row>
    <row x14ac:dyDescent="0.25" r="303" customHeight="1" ht="12.75">
      <c r="A303" s="4"/>
      <c r="B303" s="29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29"/>
      <c r="N303" s="29"/>
      <c r="O303" s="29"/>
      <c r="P303" s="32"/>
      <c r="Q303" s="32"/>
      <c r="R303" s="4"/>
      <c r="S303" s="4"/>
      <c r="T303" s="4"/>
      <c r="U303" s="4"/>
      <c r="V303" s="4"/>
    </row>
    <row x14ac:dyDescent="0.25" r="304" customHeight="1" ht="12.75">
      <c r="A304" s="4"/>
      <c r="B304" s="29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29"/>
      <c r="N304" s="29"/>
      <c r="O304" s="29"/>
      <c r="P304" s="32"/>
      <c r="Q304" s="32"/>
      <c r="R304" s="4"/>
      <c r="S304" s="4"/>
      <c r="T304" s="4"/>
      <c r="U304" s="4"/>
      <c r="V304" s="4"/>
    </row>
    <row x14ac:dyDescent="0.25" r="305" customHeight="1" ht="12.75">
      <c r="A305" s="4"/>
      <c r="B305" s="29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29"/>
      <c r="N305" s="29"/>
      <c r="O305" s="29"/>
      <c r="P305" s="32"/>
      <c r="Q305" s="32"/>
      <c r="R305" s="4"/>
      <c r="S305" s="4"/>
      <c r="T305" s="4"/>
      <c r="U305" s="4"/>
      <c r="V305" s="4"/>
    </row>
    <row x14ac:dyDescent="0.25" r="306" customHeight="1" ht="12.75">
      <c r="A306" s="4"/>
      <c r="B306" s="29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29"/>
      <c r="N306" s="29"/>
      <c r="O306" s="29"/>
      <c r="P306" s="32"/>
      <c r="Q306" s="32"/>
      <c r="R306" s="4"/>
      <c r="S306" s="4"/>
      <c r="T306" s="4"/>
      <c r="U306" s="4"/>
      <c r="V306" s="4"/>
    </row>
    <row x14ac:dyDescent="0.25" r="307" customHeight="1" ht="12.75">
      <c r="A307" s="4"/>
      <c r="B307" s="29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29"/>
      <c r="N307" s="29"/>
      <c r="O307" s="29"/>
      <c r="P307" s="32"/>
      <c r="Q307" s="32"/>
      <c r="R307" s="4"/>
      <c r="S307" s="4"/>
      <c r="T307" s="4"/>
      <c r="U307" s="4"/>
      <c r="V307" s="4"/>
    </row>
    <row x14ac:dyDescent="0.25" r="308" customHeight="1" ht="12.75">
      <c r="A308" s="4"/>
      <c r="B308" s="29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29"/>
      <c r="N308" s="29"/>
      <c r="O308" s="29"/>
      <c r="P308" s="32"/>
      <c r="Q308" s="32"/>
      <c r="R308" s="4"/>
      <c r="S308" s="4"/>
      <c r="T308" s="4"/>
      <c r="U308" s="4"/>
      <c r="V308" s="4"/>
    </row>
    <row x14ac:dyDescent="0.25" r="309" customHeight="1" ht="12.75">
      <c r="A309" s="4"/>
      <c r="B309" s="29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29"/>
      <c r="N309" s="29"/>
      <c r="O309" s="29"/>
      <c r="P309" s="32"/>
      <c r="Q309" s="32"/>
      <c r="R309" s="4"/>
      <c r="S309" s="4"/>
      <c r="T309" s="4"/>
      <c r="U309" s="4"/>
      <c r="V309" s="4"/>
    </row>
    <row x14ac:dyDescent="0.25" r="310" customHeight="1" ht="12.75">
      <c r="A310" s="4"/>
      <c r="B310" s="29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29"/>
      <c r="N310" s="29"/>
      <c r="O310" s="29"/>
      <c r="P310" s="32"/>
      <c r="Q310" s="32"/>
      <c r="R310" s="4"/>
      <c r="S310" s="4"/>
      <c r="T310" s="4"/>
      <c r="U310" s="4"/>
      <c r="V310" s="4"/>
    </row>
    <row x14ac:dyDescent="0.25" r="311" customHeight="1" ht="12.75">
      <c r="A311" s="4"/>
      <c r="B311" s="29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29"/>
      <c r="N311" s="29"/>
      <c r="O311" s="29"/>
      <c r="P311" s="32"/>
      <c r="Q311" s="32"/>
      <c r="R311" s="4"/>
      <c r="S311" s="4"/>
      <c r="T311" s="4"/>
      <c r="U311" s="4"/>
      <c r="V311" s="4"/>
    </row>
    <row x14ac:dyDescent="0.25" r="312" customHeight="1" ht="12.75">
      <c r="A312" s="4"/>
      <c r="B312" s="29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29"/>
      <c r="N312" s="29"/>
      <c r="O312" s="29"/>
      <c r="P312" s="32"/>
      <c r="Q312" s="32"/>
      <c r="R312" s="4"/>
      <c r="S312" s="4"/>
      <c r="T312" s="4"/>
      <c r="U312" s="4"/>
      <c r="V312" s="4"/>
    </row>
    <row x14ac:dyDescent="0.25" r="313" customHeight="1" ht="12.75">
      <c r="A313" s="4"/>
      <c r="B313" s="29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29"/>
      <c r="N313" s="29"/>
      <c r="O313" s="29"/>
      <c r="P313" s="32"/>
      <c r="Q313" s="32"/>
      <c r="R313" s="4"/>
      <c r="S313" s="4"/>
      <c r="T313" s="4"/>
      <c r="U313" s="4"/>
      <c r="V313" s="4"/>
    </row>
    <row x14ac:dyDescent="0.25" r="314" customHeight="1" ht="12.75">
      <c r="A314" s="4"/>
      <c r="B314" s="29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29"/>
      <c r="N314" s="29"/>
      <c r="O314" s="29"/>
      <c r="P314" s="32"/>
      <c r="Q314" s="32"/>
      <c r="R314" s="4"/>
      <c r="S314" s="4"/>
      <c r="T314" s="4"/>
      <c r="U314" s="4"/>
      <c r="V314" s="4"/>
    </row>
    <row x14ac:dyDescent="0.25" r="315" customHeight="1" ht="12.75">
      <c r="A315" s="4"/>
      <c r="B315" s="29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29"/>
      <c r="N315" s="29"/>
      <c r="O315" s="29"/>
      <c r="P315" s="32"/>
      <c r="Q315" s="32"/>
      <c r="R315" s="4"/>
      <c r="S315" s="4"/>
      <c r="T315" s="4"/>
      <c r="U315" s="4"/>
      <c r="V315" s="4"/>
    </row>
    <row x14ac:dyDescent="0.25" r="316" customHeight="1" ht="12.75">
      <c r="A316" s="4"/>
      <c r="B316" s="29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29"/>
      <c r="N316" s="29"/>
      <c r="O316" s="29"/>
      <c r="P316" s="32"/>
      <c r="Q316" s="32"/>
      <c r="R316" s="4"/>
      <c r="S316" s="4"/>
      <c r="T316" s="4"/>
      <c r="U316" s="4"/>
      <c r="V316" s="4"/>
    </row>
    <row x14ac:dyDescent="0.25" r="317" customHeight="1" ht="12.75">
      <c r="A317" s="4"/>
      <c r="B317" s="29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29"/>
      <c r="N317" s="29"/>
      <c r="O317" s="29"/>
      <c r="P317" s="32"/>
      <c r="Q317" s="32"/>
      <c r="R317" s="4"/>
      <c r="S317" s="4"/>
      <c r="T317" s="4"/>
      <c r="U317" s="4"/>
      <c r="V317" s="4"/>
    </row>
    <row x14ac:dyDescent="0.25" r="318" customHeight="1" ht="12.75">
      <c r="A318" s="4"/>
      <c r="B318" s="29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29"/>
      <c r="N318" s="29"/>
      <c r="O318" s="29"/>
      <c r="P318" s="32"/>
      <c r="Q318" s="32"/>
      <c r="R318" s="4"/>
      <c r="S318" s="4"/>
      <c r="T318" s="4"/>
      <c r="U318" s="4"/>
      <c r="V318" s="4"/>
    </row>
    <row x14ac:dyDescent="0.25" r="319" customHeight="1" ht="12.75">
      <c r="A319" s="4"/>
      <c r="B319" s="29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29"/>
      <c r="N319" s="29"/>
      <c r="O319" s="29"/>
      <c r="P319" s="32"/>
      <c r="Q319" s="32"/>
      <c r="R319" s="4"/>
      <c r="S319" s="4"/>
      <c r="T319" s="4"/>
      <c r="U319" s="4"/>
      <c r="V319" s="4"/>
    </row>
    <row x14ac:dyDescent="0.25" r="320" customHeight="1" ht="12.75">
      <c r="A320" s="4"/>
      <c r="B320" s="29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29"/>
      <c r="N320" s="29"/>
      <c r="O320" s="29"/>
      <c r="P320" s="32"/>
      <c r="Q320" s="32"/>
      <c r="R320" s="4"/>
      <c r="S320" s="4"/>
      <c r="T320" s="4"/>
      <c r="U320" s="4"/>
      <c r="V320" s="4"/>
    </row>
    <row x14ac:dyDescent="0.25" r="321" customHeight="1" ht="12.75">
      <c r="A321" s="4"/>
      <c r="B321" s="29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29"/>
      <c r="N321" s="29"/>
      <c r="O321" s="29"/>
      <c r="P321" s="32"/>
      <c r="Q321" s="32"/>
      <c r="R321" s="4"/>
      <c r="S321" s="4"/>
      <c r="T321" s="4"/>
      <c r="U321" s="4"/>
      <c r="V321" s="4"/>
    </row>
    <row x14ac:dyDescent="0.25" r="322" customHeight="1" ht="12.75">
      <c r="A322" s="4"/>
      <c r="B322" s="29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29"/>
      <c r="N322" s="29"/>
      <c r="O322" s="29"/>
      <c r="P322" s="32"/>
      <c r="Q322" s="32"/>
      <c r="R322" s="4"/>
      <c r="S322" s="4"/>
      <c r="T322" s="4"/>
      <c r="U322" s="4"/>
      <c r="V322" s="4"/>
    </row>
    <row x14ac:dyDescent="0.25" r="323" customHeight="1" ht="12.75">
      <c r="A323" s="4"/>
      <c r="B323" s="29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29"/>
      <c r="N323" s="29"/>
      <c r="O323" s="29"/>
      <c r="P323" s="32"/>
      <c r="Q323" s="32"/>
      <c r="R323" s="4"/>
      <c r="S323" s="4"/>
      <c r="T323" s="4"/>
      <c r="U323" s="4"/>
      <c r="V323" s="4"/>
    </row>
    <row x14ac:dyDescent="0.25" r="324" customHeight="1" ht="12.75">
      <c r="A324" s="4"/>
      <c r="B324" s="29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29"/>
      <c r="N324" s="29"/>
      <c r="O324" s="29"/>
      <c r="P324" s="32"/>
      <c r="Q324" s="32"/>
      <c r="R324" s="4"/>
      <c r="S324" s="4"/>
      <c r="T324" s="4"/>
      <c r="U324" s="4"/>
      <c r="V324" s="4"/>
    </row>
    <row x14ac:dyDescent="0.25" r="325" customHeight="1" ht="12.75">
      <c r="A325" s="4"/>
      <c r="B325" s="29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29"/>
      <c r="N325" s="29"/>
      <c r="O325" s="29"/>
      <c r="P325" s="32"/>
      <c r="Q325" s="32"/>
      <c r="R325" s="4"/>
      <c r="S325" s="4"/>
      <c r="T325" s="4"/>
      <c r="U325" s="4"/>
      <c r="V325" s="4"/>
    </row>
    <row x14ac:dyDescent="0.25" r="326" customHeight="1" ht="12.75">
      <c r="A326" s="4"/>
      <c r="B326" s="29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29"/>
      <c r="N326" s="29"/>
      <c r="O326" s="29"/>
      <c r="P326" s="32"/>
      <c r="Q326" s="32"/>
      <c r="R326" s="4"/>
      <c r="S326" s="4"/>
      <c r="T326" s="4"/>
      <c r="U326" s="4"/>
      <c r="V326" s="4"/>
    </row>
    <row x14ac:dyDescent="0.25" r="327" customHeight="1" ht="12.75">
      <c r="A327" s="4"/>
      <c r="B327" s="29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29"/>
      <c r="N327" s="29"/>
      <c r="O327" s="29"/>
      <c r="P327" s="32"/>
      <c r="Q327" s="32"/>
      <c r="R327" s="4"/>
      <c r="S327" s="4"/>
      <c r="T327" s="4"/>
      <c r="U327" s="4"/>
      <c r="V327" s="4"/>
    </row>
    <row x14ac:dyDescent="0.25" r="328" customHeight="1" ht="12.75">
      <c r="A328" s="4"/>
      <c r="B328" s="29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29"/>
      <c r="N328" s="29"/>
      <c r="O328" s="29"/>
      <c r="P328" s="32"/>
      <c r="Q328" s="32"/>
      <c r="R328" s="4"/>
      <c r="S328" s="4"/>
      <c r="T328" s="4"/>
      <c r="U328" s="4"/>
      <c r="V328" s="4"/>
    </row>
    <row x14ac:dyDescent="0.25" r="329" customHeight="1" ht="12.75">
      <c r="A329" s="4"/>
      <c r="B329" s="29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29"/>
      <c r="N329" s="29"/>
      <c r="O329" s="29"/>
      <c r="P329" s="32"/>
      <c r="Q329" s="32"/>
      <c r="R329" s="4"/>
      <c r="S329" s="4"/>
      <c r="T329" s="4"/>
      <c r="U329" s="4"/>
      <c r="V329" s="4"/>
    </row>
    <row x14ac:dyDescent="0.25" r="330" customHeight="1" ht="12.75">
      <c r="A330" s="4"/>
      <c r="B330" s="29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29"/>
      <c r="N330" s="29"/>
      <c r="O330" s="29"/>
      <c r="P330" s="32"/>
      <c r="Q330" s="32"/>
      <c r="R330" s="4"/>
      <c r="S330" s="4"/>
      <c r="T330" s="4"/>
      <c r="U330" s="4"/>
      <c r="V330" s="4"/>
    </row>
    <row x14ac:dyDescent="0.25" r="331" customHeight="1" ht="12.75">
      <c r="A331" s="4"/>
      <c r="B331" s="29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29"/>
      <c r="N331" s="29"/>
      <c r="O331" s="29"/>
      <c r="P331" s="32"/>
      <c r="Q331" s="32"/>
      <c r="R331" s="4"/>
      <c r="S331" s="4"/>
      <c r="T331" s="4"/>
      <c r="U331" s="4"/>
      <c r="V331" s="4"/>
    </row>
    <row x14ac:dyDescent="0.25" r="332" customHeight="1" ht="12.75">
      <c r="A332" s="4"/>
      <c r="B332" s="29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29"/>
      <c r="N332" s="29"/>
      <c r="O332" s="29"/>
      <c r="P332" s="32"/>
      <c r="Q332" s="32"/>
      <c r="R332" s="4"/>
      <c r="S332" s="4"/>
      <c r="T332" s="4"/>
      <c r="U332" s="4"/>
      <c r="V332" s="4"/>
    </row>
    <row x14ac:dyDescent="0.25" r="333" customHeight="1" ht="12.75">
      <c r="A333" s="4"/>
      <c r="B333" s="29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29"/>
      <c r="N333" s="29"/>
      <c r="O333" s="29"/>
      <c r="P333" s="32"/>
      <c r="Q333" s="32"/>
      <c r="R333" s="4"/>
      <c r="S333" s="4"/>
      <c r="T333" s="4"/>
      <c r="U333" s="4"/>
      <c r="V333" s="4"/>
    </row>
    <row x14ac:dyDescent="0.25" r="334" customHeight="1" ht="12.75">
      <c r="A334" s="4"/>
      <c r="B334" s="29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29"/>
      <c r="N334" s="29"/>
      <c r="O334" s="29"/>
      <c r="P334" s="32"/>
      <c r="Q334" s="32"/>
      <c r="R334" s="4"/>
      <c r="S334" s="4"/>
      <c r="T334" s="4"/>
      <c r="U334" s="4"/>
      <c r="V334" s="4"/>
    </row>
    <row x14ac:dyDescent="0.25" r="335" customHeight="1" ht="12.75">
      <c r="A335" s="4"/>
      <c r="B335" s="29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29"/>
      <c r="N335" s="29"/>
      <c r="O335" s="29"/>
      <c r="P335" s="32"/>
      <c r="Q335" s="32"/>
      <c r="R335" s="4"/>
      <c r="S335" s="4"/>
      <c r="T335" s="4"/>
      <c r="U335" s="4"/>
      <c r="V335" s="4"/>
    </row>
    <row x14ac:dyDescent="0.25" r="336" customHeight="1" ht="12.75">
      <c r="A336" s="4"/>
      <c r="B336" s="29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29"/>
      <c r="N336" s="29"/>
      <c r="O336" s="29"/>
      <c r="P336" s="32"/>
      <c r="Q336" s="32"/>
      <c r="R336" s="4"/>
      <c r="S336" s="4"/>
      <c r="T336" s="4"/>
      <c r="U336" s="4"/>
      <c r="V336" s="4"/>
    </row>
    <row x14ac:dyDescent="0.25" r="337" customHeight="1" ht="12.75">
      <c r="A337" s="4"/>
      <c r="B337" s="29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29"/>
      <c r="N337" s="29"/>
      <c r="O337" s="29"/>
      <c r="P337" s="32"/>
      <c r="Q337" s="32"/>
      <c r="R337" s="4"/>
      <c r="S337" s="4"/>
      <c r="T337" s="4"/>
      <c r="U337" s="4"/>
      <c r="V337" s="4"/>
    </row>
    <row x14ac:dyDescent="0.25" r="338" customHeight="1" ht="12.75">
      <c r="A338" s="4"/>
      <c r="B338" s="29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29"/>
      <c r="N338" s="29"/>
      <c r="O338" s="29"/>
      <c r="P338" s="32"/>
      <c r="Q338" s="32"/>
      <c r="R338" s="4"/>
      <c r="S338" s="4"/>
      <c r="T338" s="4"/>
      <c r="U338" s="4"/>
      <c r="V338" s="4"/>
    </row>
    <row x14ac:dyDescent="0.25" r="339" customHeight="1" ht="12.75">
      <c r="A339" s="4"/>
      <c r="B339" s="29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29"/>
      <c r="N339" s="29"/>
      <c r="O339" s="29"/>
      <c r="P339" s="32"/>
      <c r="Q339" s="32"/>
      <c r="R339" s="4"/>
      <c r="S339" s="4"/>
      <c r="T339" s="4"/>
      <c r="U339" s="4"/>
      <c r="V339" s="4"/>
    </row>
    <row x14ac:dyDescent="0.25" r="340" customHeight="1" ht="12.75">
      <c r="A340" s="4"/>
      <c r="B340" s="29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29"/>
      <c r="N340" s="29"/>
      <c r="O340" s="29"/>
      <c r="P340" s="32"/>
      <c r="Q340" s="32"/>
      <c r="R340" s="4"/>
      <c r="S340" s="4"/>
      <c r="T340" s="4"/>
      <c r="U340" s="4"/>
      <c r="V340" s="4"/>
    </row>
    <row x14ac:dyDescent="0.25" r="341" customHeight="1" ht="12.75">
      <c r="A341" s="4"/>
      <c r="B341" s="29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29"/>
      <c r="N341" s="29"/>
      <c r="O341" s="29"/>
      <c r="P341" s="32"/>
      <c r="Q341" s="32"/>
      <c r="R341" s="4"/>
      <c r="S341" s="4"/>
      <c r="T341" s="4"/>
      <c r="U341" s="4"/>
      <c r="V341" s="4"/>
    </row>
    <row x14ac:dyDescent="0.25" r="342" customHeight="1" ht="12.75">
      <c r="A342" s="4"/>
      <c r="B342" s="29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29"/>
      <c r="N342" s="29"/>
      <c r="O342" s="29"/>
      <c r="P342" s="32"/>
      <c r="Q342" s="32"/>
      <c r="R342" s="4"/>
      <c r="S342" s="4"/>
      <c r="T342" s="4"/>
      <c r="U342" s="4"/>
      <c r="V342" s="4"/>
    </row>
    <row x14ac:dyDescent="0.25" r="343" customHeight="1" ht="12.75">
      <c r="A343" s="4"/>
      <c r="B343" s="29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29"/>
      <c r="N343" s="29"/>
      <c r="O343" s="29"/>
      <c r="P343" s="32"/>
      <c r="Q343" s="32"/>
      <c r="R343" s="4"/>
      <c r="S343" s="4"/>
      <c r="T343" s="4"/>
      <c r="U343" s="4"/>
      <c r="V343" s="4"/>
    </row>
    <row x14ac:dyDescent="0.25" r="344" customHeight="1" ht="12.75">
      <c r="A344" s="4"/>
      <c r="B344" s="29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29"/>
      <c r="N344" s="29"/>
      <c r="O344" s="29"/>
      <c r="P344" s="32"/>
      <c r="Q344" s="32"/>
      <c r="R344" s="4"/>
      <c r="S344" s="4"/>
      <c r="T344" s="4"/>
      <c r="U344" s="4"/>
      <c r="V344" s="4"/>
    </row>
    <row x14ac:dyDescent="0.25" r="345" customHeight="1" ht="12.75">
      <c r="A345" s="4"/>
      <c r="B345" s="29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29"/>
      <c r="N345" s="29"/>
      <c r="O345" s="29"/>
      <c r="P345" s="32"/>
      <c r="Q345" s="32"/>
      <c r="R345" s="4"/>
      <c r="S345" s="4"/>
      <c r="T345" s="4"/>
      <c r="U345" s="4"/>
      <c r="V345" s="4"/>
    </row>
    <row x14ac:dyDescent="0.25" r="346" customHeight="1" ht="12.75">
      <c r="A346" s="4"/>
      <c r="B346" s="29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29"/>
      <c r="N346" s="29"/>
      <c r="O346" s="29"/>
      <c r="P346" s="32"/>
      <c r="Q346" s="32"/>
      <c r="R346" s="4"/>
      <c r="S346" s="4"/>
      <c r="T346" s="4"/>
      <c r="U346" s="4"/>
      <c r="V346" s="4"/>
    </row>
    <row x14ac:dyDescent="0.25" r="347" customHeight="1" ht="12.75">
      <c r="A347" s="4"/>
      <c r="B347" s="29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29"/>
      <c r="N347" s="29"/>
      <c r="O347" s="29"/>
      <c r="P347" s="32"/>
      <c r="Q347" s="32"/>
      <c r="R347" s="4"/>
      <c r="S347" s="4"/>
      <c r="T347" s="4"/>
      <c r="U347" s="4"/>
      <c r="V347" s="4"/>
    </row>
    <row x14ac:dyDescent="0.25" r="348" customHeight="1" ht="12.75">
      <c r="A348" s="4"/>
      <c r="B348" s="29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29"/>
      <c r="N348" s="29"/>
      <c r="O348" s="29"/>
      <c r="P348" s="32"/>
      <c r="Q348" s="32"/>
      <c r="R348" s="4"/>
      <c r="S348" s="4"/>
      <c r="T348" s="4"/>
      <c r="U348" s="4"/>
      <c r="V348" s="4"/>
    </row>
    <row x14ac:dyDescent="0.25" r="349" customHeight="1" ht="12.75">
      <c r="A349" s="4"/>
      <c r="B349" s="29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29"/>
      <c r="N349" s="29"/>
      <c r="O349" s="29"/>
      <c r="P349" s="32"/>
      <c r="Q349" s="32"/>
      <c r="R349" s="4"/>
      <c r="S349" s="4"/>
      <c r="T349" s="4"/>
      <c r="U349" s="4"/>
      <c r="V349" s="4"/>
    </row>
    <row x14ac:dyDescent="0.25" r="350" customHeight="1" ht="12.75">
      <c r="A350" s="4"/>
      <c r="B350" s="29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29"/>
      <c r="N350" s="29"/>
      <c r="O350" s="29"/>
      <c r="P350" s="32"/>
      <c r="Q350" s="32"/>
      <c r="R350" s="4"/>
      <c r="S350" s="4"/>
      <c r="T350" s="4"/>
      <c r="U350" s="4"/>
      <c r="V350" s="4"/>
    </row>
    <row x14ac:dyDescent="0.25" r="351" customHeight="1" ht="12.75">
      <c r="A351" s="4"/>
      <c r="B351" s="29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29"/>
      <c r="N351" s="29"/>
      <c r="O351" s="29"/>
      <c r="P351" s="32"/>
      <c r="Q351" s="32"/>
      <c r="R351" s="4"/>
      <c r="S351" s="4"/>
      <c r="T351" s="4"/>
      <c r="U351" s="4"/>
      <c r="V351" s="4"/>
    </row>
    <row x14ac:dyDescent="0.25" r="352" customHeight="1" ht="12.75">
      <c r="A352" s="4"/>
      <c r="B352" s="29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29"/>
      <c r="N352" s="29"/>
      <c r="O352" s="29"/>
      <c r="P352" s="32"/>
      <c r="Q352" s="32"/>
      <c r="R352" s="4"/>
      <c r="S352" s="4"/>
      <c r="T352" s="4"/>
      <c r="U352" s="4"/>
      <c r="V352" s="4"/>
    </row>
    <row x14ac:dyDescent="0.25" r="353" customHeight="1" ht="12.75">
      <c r="A353" s="4"/>
      <c r="B353" s="29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29"/>
      <c r="N353" s="29"/>
      <c r="O353" s="29"/>
      <c r="P353" s="32"/>
      <c r="Q353" s="32"/>
      <c r="R353" s="4"/>
      <c r="S353" s="4"/>
      <c r="T353" s="4"/>
      <c r="U353" s="4"/>
      <c r="V353" s="4"/>
    </row>
    <row x14ac:dyDescent="0.25" r="354" customHeight="1" ht="12.75">
      <c r="A354" s="4"/>
      <c r="B354" s="29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29"/>
      <c r="N354" s="29"/>
      <c r="O354" s="29"/>
      <c r="P354" s="32"/>
      <c r="Q354" s="32"/>
      <c r="R354" s="4"/>
      <c r="S354" s="4"/>
      <c r="T354" s="4"/>
      <c r="U354" s="4"/>
      <c r="V354" s="4"/>
    </row>
    <row x14ac:dyDescent="0.25" r="355" customHeight="1" ht="12.75">
      <c r="A355" s="4"/>
      <c r="B355" s="29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29"/>
      <c r="N355" s="29"/>
      <c r="O355" s="29"/>
      <c r="P355" s="32"/>
      <c r="Q355" s="32"/>
      <c r="R355" s="4"/>
      <c r="S355" s="4"/>
      <c r="T355" s="4"/>
      <c r="U355" s="4"/>
      <c r="V355" s="4"/>
    </row>
    <row x14ac:dyDescent="0.25" r="356" customHeight="1" ht="12.75">
      <c r="A356" s="4"/>
      <c r="B356" s="29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29"/>
      <c r="N356" s="29"/>
      <c r="O356" s="29"/>
      <c r="P356" s="32"/>
      <c r="Q356" s="32"/>
      <c r="R356" s="4"/>
      <c r="S356" s="4"/>
      <c r="T356" s="4"/>
      <c r="U356" s="4"/>
      <c r="V356" s="4"/>
    </row>
    <row x14ac:dyDescent="0.25" r="357" customHeight="1" ht="12.75">
      <c r="A357" s="4"/>
      <c r="B357" s="29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29"/>
      <c r="N357" s="29"/>
      <c r="O357" s="29"/>
      <c r="P357" s="32"/>
      <c r="Q357" s="32"/>
      <c r="R357" s="4"/>
      <c r="S357" s="4"/>
      <c r="T357" s="4"/>
      <c r="U357" s="4"/>
      <c r="V357" s="4"/>
    </row>
    <row x14ac:dyDescent="0.25" r="358" customHeight="1" ht="12.75">
      <c r="A358" s="4"/>
      <c r="B358" s="29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29"/>
      <c r="N358" s="29"/>
      <c r="O358" s="29"/>
      <c r="P358" s="32"/>
      <c r="Q358" s="32"/>
      <c r="R358" s="4"/>
      <c r="S358" s="4"/>
      <c r="T358" s="4"/>
      <c r="U358" s="4"/>
      <c r="V358" s="4"/>
    </row>
    <row x14ac:dyDescent="0.25" r="359" customHeight="1" ht="12.75">
      <c r="A359" s="4"/>
      <c r="B359" s="29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29"/>
      <c r="N359" s="29"/>
      <c r="O359" s="29"/>
      <c r="P359" s="32"/>
      <c r="Q359" s="32"/>
      <c r="R359" s="4"/>
      <c r="S359" s="4"/>
      <c r="T359" s="4"/>
      <c r="U359" s="4"/>
      <c r="V359" s="4"/>
    </row>
    <row x14ac:dyDescent="0.25" r="360" customHeight="1" ht="12.75">
      <c r="A360" s="4"/>
      <c r="B360" s="29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29"/>
      <c r="N360" s="29"/>
      <c r="O360" s="29"/>
      <c r="P360" s="32"/>
      <c r="Q360" s="32"/>
      <c r="R360" s="4"/>
      <c r="S360" s="4"/>
      <c r="T360" s="4"/>
      <c r="U360" s="4"/>
      <c r="V360" s="4"/>
    </row>
    <row x14ac:dyDescent="0.25" r="361" customHeight="1" ht="12.75">
      <c r="A361" s="4"/>
      <c r="B361" s="29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29"/>
      <c r="N361" s="29"/>
      <c r="O361" s="29"/>
      <c r="P361" s="32"/>
      <c r="Q361" s="32"/>
      <c r="R361" s="4"/>
      <c r="S361" s="4"/>
      <c r="T361" s="4"/>
      <c r="U361" s="4"/>
      <c r="V361" s="4"/>
    </row>
    <row x14ac:dyDescent="0.25" r="362" customHeight="1" ht="12.75">
      <c r="A362" s="4"/>
      <c r="B362" s="29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29"/>
      <c r="N362" s="29"/>
      <c r="O362" s="29"/>
      <c r="P362" s="32"/>
      <c r="Q362" s="32"/>
      <c r="R362" s="4"/>
      <c r="S362" s="4"/>
      <c r="T362" s="4"/>
      <c r="U362" s="4"/>
      <c r="V362" s="4"/>
    </row>
    <row x14ac:dyDescent="0.25" r="363" customHeight="1" ht="12.75">
      <c r="A363" s="4"/>
      <c r="B363" s="29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29"/>
      <c r="N363" s="29"/>
      <c r="O363" s="29"/>
      <c r="P363" s="32"/>
      <c r="Q363" s="32"/>
      <c r="R363" s="4"/>
      <c r="S363" s="4"/>
      <c r="T363" s="4"/>
      <c r="U363" s="4"/>
      <c r="V363" s="4"/>
    </row>
    <row x14ac:dyDescent="0.25" r="364" customHeight="1" ht="12.75">
      <c r="A364" s="4"/>
      <c r="B364" s="29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29"/>
      <c r="N364" s="29"/>
      <c r="O364" s="29"/>
      <c r="P364" s="32"/>
      <c r="Q364" s="32"/>
      <c r="R364" s="4"/>
      <c r="S364" s="4"/>
      <c r="T364" s="4"/>
      <c r="U364" s="4"/>
      <c r="V364" s="4"/>
    </row>
    <row x14ac:dyDescent="0.25" r="365" customHeight="1" ht="12.75">
      <c r="A365" s="4"/>
      <c r="B365" s="29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29"/>
      <c r="N365" s="29"/>
      <c r="O365" s="29"/>
      <c r="P365" s="32"/>
      <c r="Q365" s="32"/>
      <c r="R365" s="4"/>
      <c r="S365" s="4"/>
      <c r="T365" s="4"/>
      <c r="U365" s="4"/>
      <c r="V365" s="4"/>
    </row>
    <row x14ac:dyDescent="0.25" r="366" customHeight="1" ht="12.75">
      <c r="A366" s="4"/>
      <c r="B366" s="29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29"/>
      <c r="N366" s="29"/>
      <c r="O366" s="29"/>
      <c r="P366" s="32"/>
      <c r="Q366" s="32"/>
      <c r="R366" s="4"/>
      <c r="S366" s="4"/>
      <c r="T366" s="4"/>
      <c r="U366" s="4"/>
      <c r="V366" s="4"/>
    </row>
    <row x14ac:dyDescent="0.25" r="367" customHeight="1" ht="12.75">
      <c r="A367" s="4"/>
      <c r="B367" s="29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29"/>
      <c r="N367" s="29"/>
      <c r="O367" s="29"/>
      <c r="P367" s="32"/>
      <c r="Q367" s="32"/>
      <c r="R367" s="4"/>
      <c r="S367" s="4"/>
      <c r="T367" s="4"/>
      <c r="U367" s="4"/>
      <c r="V367" s="4"/>
    </row>
    <row x14ac:dyDescent="0.25" r="368" customHeight="1" ht="12.75">
      <c r="A368" s="4"/>
      <c r="B368" s="29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29"/>
      <c r="N368" s="29"/>
      <c r="O368" s="29"/>
      <c r="P368" s="32"/>
      <c r="Q368" s="32"/>
      <c r="R368" s="4"/>
      <c r="S368" s="4"/>
      <c r="T368" s="4"/>
      <c r="U368" s="4"/>
      <c r="V368" s="4"/>
    </row>
    <row x14ac:dyDescent="0.25" r="369" customHeight="1" ht="12.75">
      <c r="A369" s="4"/>
      <c r="B369" s="29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29"/>
      <c r="N369" s="29"/>
      <c r="O369" s="29"/>
      <c r="P369" s="32"/>
      <c r="Q369" s="32"/>
      <c r="R369" s="4"/>
      <c r="S369" s="4"/>
      <c r="T369" s="4"/>
      <c r="U369" s="4"/>
      <c r="V369" s="4"/>
    </row>
    <row x14ac:dyDescent="0.25" r="370" customHeight="1" ht="12.75">
      <c r="A370" s="4"/>
      <c r="B370" s="29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29"/>
      <c r="N370" s="29"/>
      <c r="O370" s="29"/>
      <c r="P370" s="32"/>
      <c r="Q370" s="32"/>
      <c r="R370" s="4"/>
      <c r="S370" s="4"/>
      <c r="T370" s="4"/>
      <c r="U370" s="4"/>
      <c r="V370" s="4"/>
    </row>
    <row x14ac:dyDescent="0.25" r="371" customHeight="1" ht="12.75">
      <c r="A371" s="4"/>
      <c r="B371" s="29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29"/>
      <c r="N371" s="29"/>
      <c r="O371" s="29"/>
      <c r="P371" s="32"/>
      <c r="Q371" s="32"/>
      <c r="R371" s="4"/>
      <c r="S371" s="4"/>
      <c r="T371" s="4"/>
      <c r="U371" s="4"/>
      <c r="V371" s="4"/>
    </row>
    <row x14ac:dyDescent="0.25" r="372" customHeight="1" ht="12.75">
      <c r="A372" s="4"/>
      <c r="B372" s="29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29"/>
      <c r="N372" s="29"/>
      <c r="O372" s="29"/>
      <c r="P372" s="32"/>
      <c r="Q372" s="32"/>
      <c r="R372" s="4"/>
      <c r="S372" s="4"/>
      <c r="T372" s="4"/>
      <c r="U372" s="4"/>
      <c r="V372" s="4"/>
    </row>
    <row x14ac:dyDescent="0.25" r="373" customHeight="1" ht="12.75">
      <c r="A373" s="4"/>
      <c r="B373" s="29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29"/>
      <c r="N373" s="29"/>
      <c r="O373" s="29"/>
      <c r="P373" s="32"/>
      <c r="Q373" s="32"/>
      <c r="R373" s="4"/>
      <c r="S373" s="4"/>
      <c r="T373" s="4"/>
      <c r="U373" s="4"/>
      <c r="V373" s="4"/>
    </row>
    <row x14ac:dyDescent="0.25" r="374" customHeight="1" ht="12.75">
      <c r="A374" s="4"/>
      <c r="B374" s="29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29"/>
      <c r="N374" s="29"/>
      <c r="O374" s="29"/>
      <c r="P374" s="32"/>
      <c r="Q374" s="32"/>
      <c r="R374" s="4"/>
      <c r="S374" s="4"/>
      <c r="T374" s="4"/>
      <c r="U374" s="4"/>
      <c r="V374" s="4"/>
    </row>
    <row x14ac:dyDescent="0.25" r="375" customHeight="1" ht="12.75">
      <c r="A375" s="4"/>
      <c r="B375" s="29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29"/>
      <c r="N375" s="29"/>
      <c r="O375" s="29"/>
      <c r="P375" s="32"/>
      <c r="Q375" s="32"/>
      <c r="R375" s="4"/>
      <c r="S375" s="4"/>
      <c r="T375" s="4"/>
      <c r="U375" s="4"/>
      <c r="V375" s="4"/>
    </row>
    <row x14ac:dyDescent="0.25" r="376" customHeight="1" ht="12.75">
      <c r="A376" s="4"/>
      <c r="B376" s="29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29"/>
      <c r="N376" s="29"/>
      <c r="O376" s="29"/>
      <c r="P376" s="32"/>
      <c r="Q376" s="32"/>
      <c r="R376" s="4"/>
      <c r="S376" s="4"/>
      <c r="T376" s="4"/>
      <c r="U376" s="4"/>
      <c r="V376" s="4"/>
    </row>
    <row x14ac:dyDescent="0.25" r="377" customHeight="1" ht="12.75">
      <c r="A377" s="4"/>
      <c r="B377" s="29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29"/>
      <c r="N377" s="29"/>
      <c r="O377" s="29"/>
      <c r="P377" s="32"/>
      <c r="Q377" s="32"/>
      <c r="R377" s="4"/>
      <c r="S377" s="4"/>
      <c r="T377" s="4"/>
      <c r="U377" s="4"/>
      <c r="V377" s="4"/>
    </row>
    <row x14ac:dyDescent="0.25" r="378" customHeight="1" ht="12.75">
      <c r="A378" s="4"/>
      <c r="B378" s="29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29"/>
      <c r="N378" s="29"/>
      <c r="O378" s="29"/>
      <c r="P378" s="32"/>
      <c r="Q378" s="32"/>
      <c r="R378" s="4"/>
      <c r="S378" s="4"/>
      <c r="T378" s="4"/>
      <c r="U378" s="4"/>
      <c r="V378" s="4"/>
    </row>
    <row x14ac:dyDescent="0.25" r="379" customHeight="1" ht="12.75">
      <c r="A379" s="4"/>
      <c r="B379" s="29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29"/>
      <c r="N379" s="29"/>
      <c r="O379" s="29"/>
      <c r="P379" s="32"/>
      <c r="Q379" s="32"/>
      <c r="R379" s="4"/>
      <c r="S379" s="4"/>
      <c r="T379" s="4"/>
      <c r="U379" s="4"/>
      <c r="V379" s="4"/>
    </row>
    <row x14ac:dyDescent="0.25" r="380" customHeight="1" ht="12.75">
      <c r="A380" s="4"/>
      <c r="B380" s="29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29"/>
      <c r="N380" s="29"/>
      <c r="O380" s="29"/>
      <c r="P380" s="32"/>
      <c r="Q380" s="32"/>
      <c r="R380" s="4"/>
      <c r="S380" s="4"/>
      <c r="T380" s="4"/>
      <c r="U380" s="4"/>
      <c r="V380" s="4"/>
    </row>
    <row x14ac:dyDescent="0.25" r="381" customHeight="1" ht="12.75">
      <c r="A381" s="4"/>
      <c r="B381" s="29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29"/>
      <c r="N381" s="29"/>
      <c r="O381" s="29"/>
      <c r="P381" s="32"/>
      <c r="Q381" s="32"/>
      <c r="R381" s="4"/>
      <c r="S381" s="4"/>
      <c r="T381" s="4"/>
      <c r="U381" s="4"/>
      <c r="V381" s="4"/>
    </row>
    <row x14ac:dyDescent="0.25" r="382" customHeight="1" ht="12.75">
      <c r="A382" s="4"/>
      <c r="B382" s="29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29"/>
      <c r="N382" s="29"/>
      <c r="O382" s="29"/>
      <c r="P382" s="32"/>
      <c r="Q382" s="32"/>
      <c r="R382" s="4"/>
      <c r="S382" s="4"/>
      <c r="T382" s="4"/>
      <c r="U382" s="4"/>
      <c r="V382" s="4"/>
    </row>
    <row x14ac:dyDescent="0.25" r="383" customHeight="1" ht="12.75">
      <c r="A383" s="4"/>
      <c r="B383" s="29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29"/>
      <c r="N383" s="29"/>
      <c r="O383" s="29"/>
      <c r="P383" s="32"/>
      <c r="Q383" s="32"/>
      <c r="R383" s="4"/>
      <c r="S383" s="4"/>
      <c r="T383" s="4"/>
      <c r="U383" s="4"/>
      <c r="V383" s="4"/>
    </row>
    <row x14ac:dyDescent="0.25" r="384" customHeight="1" ht="12.75">
      <c r="A384" s="4"/>
      <c r="B384" s="29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29"/>
      <c r="N384" s="29"/>
      <c r="O384" s="29"/>
      <c r="P384" s="32"/>
      <c r="Q384" s="32"/>
      <c r="R384" s="4"/>
      <c r="S384" s="4"/>
      <c r="T384" s="4"/>
      <c r="U384" s="4"/>
      <c r="V384" s="4"/>
    </row>
    <row x14ac:dyDescent="0.25" r="385" customHeight="1" ht="12.75">
      <c r="A385" s="4"/>
      <c r="B385" s="29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29"/>
      <c r="N385" s="29"/>
      <c r="O385" s="29"/>
      <c r="P385" s="32"/>
      <c r="Q385" s="32"/>
      <c r="R385" s="4"/>
      <c r="S385" s="4"/>
      <c r="T385" s="4"/>
      <c r="U385" s="4"/>
      <c r="V385" s="4"/>
    </row>
    <row x14ac:dyDescent="0.25" r="386" customHeight="1" ht="12.75">
      <c r="A386" s="4"/>
      <c r="B386" s="29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29"/>
      <c r="N386" s="29"/>
      <c r="O386" s="29"/>
      <c r="P386" s="32"/>
      <c r="Q386" s="32"/>
      <c r="R386" s="4"/>
      <c r="S386" s="4"/>
      <c r="T386" s="4"/>
      <c r="U386" s="4"/>
      <c r="V386" s="4"/>
    </row>
    <row x14ac:dyDescent="0.25" r="387" customHeight="1" ht="12.75">
      <c r="A387" s="4"/>
      <c r="B387" s="29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29"/>
      <c r="N387" s="29"/>
      <c r="O387" s="29"/>
      <c r="P387" s="32"/>
      <c r="Q387" s="32"/>
      <c r="R387" s="4"/>
      <c r="S387" s="4"/>
      <c r="T387" s="4"/>
      <c r="U387" s="4"/>
      <c r="V387" s="4"/>
    </row>
    <row x14ac:dyDescent="0.25" r="388" customHeight="1" ht="12.75">
      <c r="A388" s="4"/>
      <c r="B388" s="29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29"/>
      <c r="N388" s="29"/>
      <c r="O388" s="29"/>
      <c r="P388" s="32"/>
      <c r="Q388" s="32"/>
      <c r="R388" s="4"/>
      <c r="S388" s="4"/>
      <c r="T388" s="4"/>
      <c r="U388" s="4"/>
      <c r="V388" s="4"/>
    </row>
    <row x14ac:dyDescent="0.25" r="389" customHeight="1" ht="12.75">
      <c r="A389" s="4"/>
      <c r="B389" s="29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29"/>
      <c r="N389" s="29"/>
      <c r="O389" s="29"/>
      <c r="P389" s="32"/>
      <c r="Q389" s="32"/>
      <c r="R389" s="4"/>
      <c r="S389" s="4"/>
      <c r="T389" s="4"/>
      <c r="U389" s="4"/>
      <c r="V389" s="4"/>
    </row>
    <row x14ac:dyDescent="0.25" r="390" customHeight="1" ht="12.75">
      <c r="A390" s="4"/>
      <c r="B390" s="29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29"/>
      <c r="N390" s="29"/>
      <c r="O390" s="29"/>
      <c r="P390" s="32"/>
      <c r="Q390" s="32"/>
      <c r="R390" s="4"/>
      <c r="S390" s="4"/>
      <c r="T390" s="4"/>
      <c r="U390" s="4"/>
      <c r="V390" s="4"/>
    </row>
    <row x14ac:dyDescent="0.25" r="391" customHeight="1" ht="12.75">
      <c r="A391" s="4"/>
      <c r="B391" s="29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29"/>
      <c r="N391" s="29"/>
      <c r="O391" s="29"/>
      <c r="P391" s="32"/>
      <c r="Q391" s="32"/>
      <c r="R391" s="4"/>
      <c r="S391" s="4"/>
      <c r="T391" s="4"/>
      <c r="U391" s="4"/>
      <c r="V391" s="4"/>
    </row>
    <row x14ac:dyDescent="0.25" r="392" customHeight="1" ht="12.75">
      <c r="A392" s="4"/>
      <c r="B392" s="29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29"/>
      <c r="N392" s="29"/>
      <c r="O392" s="29"/>
      <c r="P392" s="32"/>
      <c r="Q392" s="32"/>
      <c r="R392" s="4"/>
      <c r="S392" s="4"/>
      <c r="T392" s="4"/>
      <c r="U392" s="4"/>
      <c r="V392" s="4"/>
    </row>
    <row x14ac:dyDescent="0.25" r="393" customHeight="1" ht="12.75">
      <c r="A393" s="4"/>
      <c r="B393" s="29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29"/>
      <c r="N393" s="29"/>
      <c r="O393" s="29"/>
      <c r="P393" s="32"/>
      <c r="Q393" s="32"/>
      <c r="R393" s="4"/>
      <c r="S393" s="4"/>
      <c r="T393" s="4"/>
      <c r="U393" s="4"/>
      <c r="V393" s="4"/>
    </row>
    <row x14ac:dyDescent="0.25" r="394" customHeight="1" ht="12.75">
      <c r="A394" s="4"/>
      <c r="B394" s="29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29"/>
      <c r="N394" s="29"/>
      <c r="O394" s="29"/>
      <c r="P394" s="32"/>
      <c r="Q394" s="32"/>
      <c r="R394" s="4"/>
      <c r="S394" s="4"/>
      <c r="T394" s="4"/>
      <c r="U394" s="4"/>
      <c r="V394" s="4"/>
    </row>
    <row x14ac:dyDescent="0.25" r="395" customHeight="1" ht="12.75">
      <c r="A395" s="4"/>
      <c r="B395" s="29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29"/>
      <c r="N395" s="29"/>
      <c r="O395" s="29"/>
      <c r="P395" s="32"/>
      <c r="Q395" s="32"/>
      <c r="R395" s="4"/>
      <c r="S395" s="4"/>
      <c r="T395" s="4"/>
      <c r="U395" s="4"/>
      <c r="V395" s="4"/>
    </row>
    <row x14ac:dyDescent="0.25" r="396" customHeight="1" ht="12.75">
      <c r="A396" s="4"/>
      <c r="B396" s="29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29"/>
      <c r="N396" s="29"/>
      <c r="O396" s="29"/>
      <c r="P396" s="32"/>
      <c r="Q396" s="32"/>
      <c r="R396" s="4"/>
      <c r="S396" s="4"/>
      <c r="T396" s="4"/>
      <c r="U396" s="4"/>
      <c r="V396" s="4"/>
    </row>
    <row x14ac:dyDescent="0.25" r="397" customHeight="1" ht="12.75">
      <c r="A397" s="4"/>
      <c r="B397" s="29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29"/>
      <c r="N397" s="29"/>
      <c r="O397" s="29"/>
      <c r="P397" s="32"/>
      <c r="Q397" s="32"/>
      <c r="R397" s="4"/>
      <c r="S397" s="4"/>
      <c r="T397" s="4"/>
      <c r="U397" s="4"/>
      <c r="V397" s="4"/>
    </row>
    <row x14ac:dyDescent="0.25" r="398" customHeight="1" ht="12.75">
      <c r="A398" s="4"/>
      <c r="B398" s="29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29"/>
      <c r="N398" s="29"/>
      <c r="O398" s="29"/>
      <c r="P398" s="32"/>
      <c r="Q398" s="32"/>
      <c r="R398" s="4"/>
      <c r="S398" s="4"/>
      <c r="T398" s="4"/>
      <c r="U398" s="4"/>
      <c r="V398" s="4"/>
    </row>
    <row x14ac:dyDescent="0.25" r="399" customHeight="1" ht="12.75">
      <c r="A399" s="4"/>
      <c r="B399" s="29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29"/>
      <c r="N399" s="29"/>
      <c r="O399" s="29"/>
      <c r="P399" s="32"/>
      <c r="Q399" s="32"/>
      <c r="R399" s="4"/>
      <c r="S399" s="4"/>
      <c r="T399" s="4"/>
      <c r="U399" s="4"/>
      <c r="V399" s="4"/>
    </row>
    <row x14ac:dyDescent="0.25" r="400" customHeight="1" ht="12.75">
      <c r="A400" s="4"/>
      <c r="B400" s="29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29"/>
      <c r="N400" s="29"/>
      <c r="O400" s="29"/>
      <c r="P400" s="32"/>
      <c r="Q400" s="32"/>
      <c r="R400" s="4"/>
      <c r="S400" s="4"/>
      <c r="T400" s="4"/>
      <c r="U400" s="4"/>
      <c r="V400" s="4"/>
    </row>
    <row x14ac:dyDescent="0.25" r="401" customHeight="1" ht="12.75">
      <c r="A401" s="4"/>
      <c r="B401" s="29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29"/>
      <c r="N401" s="29"/>
      <c r="O401" s="29"/>
      <c r="P401" s="32"/>
      <c r="Q401" s="32"/>
      <c r="R401" s="4"/>
      <c r="S401" s="4"/>
      <c r="T401" s="4"/>
      <c r="U401" s="4"/>
      <c r="V401" s="4"/>
    </row>
    <row x14ac:dyDescent="0.25" r="402" customHeight="1" ht="12.75">
      <c r="A402" s="4"/>
      <c r="B402" s="29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29"/>
      <c r="N402" s="29"/>
      <c r="O402" s="29"/>
      <c r="P402" s="32"/>
      <c r="Q402" s="32"/>
      <c r="R402" s="4"/>
      <c r="S402" s="4"/>
      <c r="T402" s="4"/>
      <c r="U402" s="4"/>
      <c r="V402" s="4"/>
    </row>
    <row x14ac:dyDescent="0.25" r="403" customHeight="1" ht="12.75">
      <c r="A403" s="4"/>
      <c r="B403" s="29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29"/>
      <c r="N403" s="29"/>
      <c r="O403" s="29"/>
      <c r="P403" s="32"/>
      <c r="Q403" s="32"/>
      <c r="R403" s="4"/>
      <c r="S403" s="4"/>
      <c r="T403" s="4"/>
      <c r="U403" s="4"/>
      <c r="V403" s="4"/>
    </row>
    <row x14ac:dyDescent="0.25" r="404" customHeight="1" ht="12.75">
      <c r="A404" s="4"/>
      <c r="B404" s="29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29"/>
      <c r="N404" s="29"/>
      <c r="O404" s="29"/>
      <c r="P404" s="32"/>
      <c r="Q404" s="32"/>
      <c r="R404" s="4"/>
      <c r="S404" s="4"/>
      <c r="T404" s="4"/>
      <c r="U404" s="4"/>
      <c r="V404" s="4"/>
    </row>
    <row x14ac:dyDescent="0.25" r="405" customHeight="1" ht="12.75">
      <c r="A405" s="4"/>
      <c r="B405" s="29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29"/>
      <c r="N405" s="29"/>
      <c r="O405" s="29"/>
      <c r="P405" s="32"/>
      <c r="Q405" s="32"/>
      <c r="R405" s="4"/>
      <c r="S405" s="4"/>
      <c r="T405" s="4"/>
      <c r="U405" s="4"/>
      <c r="V405" s="4"/>
    </row>
    <row x14ac:dyDescent="0.25" r="406" customHeight="1" ht="12.75">
      <c r="A406" s="4"/>
      <c r="B406" s="29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29"/>
      <c r="N406" s="29"/>
      <c r="O406" s="29"/>
      <c r="P406" s="32"/>
      <c r="Q406" s="32"/>
      <c r="R406" s="4"/>
      <c r="S406" s="4"/>
      <c r="T406" s="4"/>
      <c r="U406" s="4"/>
      <c r="V406" s="4"/>
    </row>
    <row x14ac:dyDescent="0.25" r="407" customHeight="1" ht="12.75">
      <c r="A407" s="4"/>
      <c r="B407" s="29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29"/>
      <c r="N407" s="29"/>
      <c r="O407" s="29"/>
      <c r="P407" s="32"/>
      <c r="Q407" s="32"/>
      <c r="R407" s="4"/>
      <c r="S407" s="4"/>
      <c r="T407" s="4"/>
      <c r="U407" s="4"/>
      <c r="V407" s="4"/>
    </row>
    <row x14ac:dyDescent="0.25" r="408" customHeight="1" ht="12.75">
      <c r="A408" s="4"/>
      <c r="B408" s="29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29"/>
      <c r="N408" s="29"/>
      <c r="O408" s="29"/>
      <c r="P408" s="32"/>
      <c r="Q408" s="32"/>
      <c r="R408" s="4"/>
      <c r="S408" s="4"/>
      <c r="T408" s="4"/>
      <c r="U408" s="4"/>
      <c r="V408" s="4"/>
    </row>
    <row x14ac:dyDescent="0.25" r="409" customHeight="1" ht="12.75">
      <c r="A409" s="4"/>
      <c r="B409" s="29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29"/>
      <c r="N409" s="29"/>
      <c r="O409" s="29"/>
      <c r="P409" s="32"/>
      <c r="Q409" s="32"/>
      <c r="R409" s="4"/>
      <c r="S409" s="4"/>
      <c r="T409" s="4"/>
      <c r="U409" s="4"/>
      <c r="V409" s="4"/>
    </row>
    <row x14ac:dyDescent="0.25" r="410" customHeight="1" ht="12.75">
      <c r="A410" s="4"/>
      <c r="B410" s="29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29"/>
      <c r="N410" s="29"/>
      <c r="O410" s="29"/>
      <c r="P410" s="32"/>
      <c r="Q410" s="32"/>
      <c r="R410" s="4"/>
      <c r="S410" s="4"/>
      <c r="T410" s="4"/>
      <c r="U410" s="4"/>
      <c r="V410" s="4"/>
    </row>
    <row x14ac:dyDescent="0.25" r="411" customHeight="1" ht="12.75">
      <c r="A411" s="4"/>
      <c r="B411" s="29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29"/>
      <c r="N411" s="29"/>
      <c r="O411" s="29"/>
      <c r="P411" s="32"/>
      <c r="Q411" s="32"/>
      <c r="R411" s="4"/>
      <c r="S411" s="4"/>
      <c r="T411" s="4"/>
      <c r="U411" s="4"/>
      <c r="V411" s="4"/>
    </row>
    <row x14ac:dyDescent="0.25" r="412" customHeight="1" ht="12.75">
      <c r="A412" s="4"/>
      <c r="B412" s="29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29"/>
      <c r="N412" s="29"/>
      <c r="O412" s="29"/>
      <c r="P412" s="32"/>
      <c r="Q412" s="32"/>
      <c r="R412" s="4"/>
      <c r="S412" s="4"/>
      <c r="T412" s="4"/>
      <c r="U412" s="4"/>
      <c r="V412" s="4"/>
    </row>
    <row x14ac:dyDescent="0.25" r="413" customHeight="1" ht="12.75">
      <c r="A413" s="4"/>
      <c r="B413" s="29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29"/>
      <c r="N413" s="29"/>
      <c r="O413" s="29"/>
      <c r="P413" s="32"/>
      <c r="Q413" s="32"/>
      <c r="R413" s="4"/>
      <c r="S413" s="4"/>
      <c r="T413" s="4"/>
      <c r="U413" s="4"/>
      <c r="V413" s="4"/>
    </row>
    <row x14ac:dyDescent="0.25" r="414" customHeight="1" ht="12.75">
      <c r="A414" s="4"/>
      <c r="B414" s="29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29"/>
      <c r="N414" s="29"/>
      <c r="O414" s="29"/>
      <c r="P414" s="32"/>
      <c r="Q414" s="32"/>
      <c r="R414" s="4"/>
      <c r="S414" s="4"/>
      <c r="T414" s="4"/>
      <c r="U414" s="4"/>
      <c r="V414" s="4"/>
    </row>
    <row x14ac:dyDescent="0.25" r="415" customHeight="1" ht="12.75">
      <c r="A415" s="4"/>
      <c r="B415" s="29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29"/>
      <c r="N415" s="29"/>
      <c r="O415" s="29"/>
      <c r="P415" s="32"/>
      <c r="Q415" s="32"/>
      <c r="R415" s="4"/>
      <c r="S415" s="4"/>
      <c r="T415" s="4"/>
      <c r="U415" s="4"/>
      <c r="V415" s="4"/>
    </row>
    <row x14ac:dyDescent="0.25" r="416" customHeight="1" ht="12.75">
      <c r="A416" s="4"/>
      <c r="B416" s="29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29"/>
      <c r="N416" s="29"/>
      <c r="O416" s="29"/>
      <c r="P416" s="32"/>
      <c r="Q416" s="32"/>
      <c r="R416" s="4"/>
      <c r="S416" s="4"/>
      <c r="T416" s="4"/>
      <c r="U416" s="4"/>
      <c r="V416" s="4"/>
    </row>
    <row x14ac:dyDescent="0.25" r="417" customHeight="1" ht="12.75">
      <c r="A417" s="4"/>
      <c r="B417" s="29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29"/>
      <c r="N417" s="29"/>
      <c r="O417" s="29"/>
      <c r="P417" s="32"/>
      <c r="Q417" s="32"/>
      <c r="R417" s="4"/>
      <c r="S417" s="4"/>
      <c r="T417" s="4"/>
      <c r="U417" s="4"/>
      <c r="V417" s="4"/>
    </row>
    <row x14ac:dyDescent="0.25" r="418" customHeight="1" ht="12.75">
      <c r="A418" s="4"/>
      <c r="B418" s="29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29"/>
      <c r="N418" s="29"/>
      <c r="O418" s="29"/>
      <c r="P418" s="32"/>
      <c r="Q418" s="32"/>
      <c r="R418" s="4"/>
      <c r="S418" s="4"/>
      <c r="T418" s="4"/>
      <c r="U418" s="4"/>
      <c r="V418" s="4"/>
    </row>
    <row x14ac:dyDescent="0.25" r="419" customHeight="1" ht="12.75">
      <c r="A419" s="4"/>
      <c r="B419" s="29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29"/>
      <c r="N419" s="29"/>
      <c r="O419" s="29"/>
      <c r="P419" s="32"/>
      <c r="Q419" s="32"/>
      <c r="R419" s="4"/>
      <c r="S419" s="4"/>
      <c r="T419" s="4"/>
      <c r="U419" s="4"/>
      <c r="V419" s="4"/>
    </row>
    <row x14ac:dyDescent="0.25" r="420" customHeight="1" ht="12.75">
      <c r="A420" s="4"/>
      <c r="B420" s="29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29"/>
      <c r="N420" s="29"/>
      <c r="O420" s="29"/>
      <c r="P420" s="32"/>
      <c r="Q420" s="32"/>
      <c r="R420" s="4"/>
      <c r="S420" s="4"/>
      <c r="T420" s="4"/>
      <c r="U420" s="4"/>
      <c r="V420" s="4"/>
    </row>
    <row x14ac:dyDescent="0.25" r="421" customHeight="1" ht="12.75">
      <c r="A421" s="4"/>
      <c r="B421" s="29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29"/>
      <c r="N421" s="29"/>
      <c r="O421" s="29"/>
      <c r="P421" s="32"/>
      <c r="Q421" s="32"/>
      <c r="R421" s="4"/>
      <c r="S421" s="4"/>
      <c r="T421" s="4"/>
      <c r="U421" s="4"/>
      <c r="V421" s="4"/>
    </row>
    <row x14ac:dyDescent="0.25" r="422" customHeight="1" ht="12.75">
      <c r="A422" s="4"/>
      <c r="B422" s="29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29"/>
      <c r="N422" s="29"/>
      <c r="O422" s="29"/>
      <c r="P422" s="32"/>
      <c r="Q422" s="32"/>
      <c r="R422" s="4"/>
      <c r="S422" s="4"/>
      <c r="T422" s="4"/>
      <c r="U422" s="4"/>
      <c r="V422" s="4"/>
    </row>
    <row x14ac:dyDescent="0.25" r="423" customHeight="1" ht="12.75">
      <c r="A423" s="4"/>
      <c r="B423" s="29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29"/>
      <c r="N423" s="29"/>
      <c r="O423" s="29"/>
      <c r="P423" s="32"/>
      <c r="Q423" s="32"/>
      <c r="R423" s="4"/>
      <c r="S423" s="4"/>
      <c r="T423" s="4"/>
      <c r="U423" s="4"/>
      <c r="V423" s="4"/>
    </row>
    <row x14ac:dyDescent="0.25" r="424" customHeight="1" ht="12.75">
      <c r="A424" s="4"/>
      <c r="B424" s="29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29"/>
      <c r="N424" s="29"/>
      <c r="O424" s="29"/>
      <c r="P424" s="32"/>
      <c r="Q424" s="32"/>
      <c r="R424" s="4"/>
      <c r="S424" s="4"/>
      <c r="T424" s="4"/>
      <c r="U424" s="4"/>
      <c r="V424" s="4"/>
    </row>
    <row x14ac:dyDescent="0.25" r="425" customHeight="1" ht="12.75">
      <c r="A425" s="4"/>
      <c r="B425" s="29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29"/>
      <c r="N425" s="29"/>
      <c r="O425" s="29"/>
      <c r="P425" s="32"/>
      <c r="Q425" s="32"/>
      <c r="R425" s="4"/>
      <c r="S425" s="4"/>
      <c r="T425" s="4"/>
      <c r="U425" s="4"/>
      <c r="V425" s="4"/>
    </row>
    <row x14ac:dyDescent="0.25" r="426" customHeight="1" ht="12.75">
      <c r="A426" s="4"/>
      <c r="B426" s="29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29"/>
      <c r="N426" s="29"/>
      <c r="O426" s="29"/>
      <c r="P426" s="32"/>
      <c r="Q426" s="32"/>
      <c r="R426" s="4"/>
      <c r="S426" s="4"/>
      <c r="T426" s="4"/>
      <c r="U426" s="4"/>
      <c r="V426" s="4"/>
    </row>
    <row x14ac:dyDescent="0.25" r="427" customHeight="1" ht="12.75">
      <c r="A427" s="4"/>
      <c r="B427" s="29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29"/>
      <c r="N427" s="29"/>
      <c r="O427" s="29"/>
      <c r="P427" s="32"/>
      <c r="Q427" s="32"/>
      <c r="R427" s="4"/>
      <c r="S427" s="4"/>
      <c r="T427" s="4"/>
      <c r="U427" s="4"/>
      <c r="V427" s="4"/>
    </row>
    <row x14ac:dyDescent="0.25" r="428" customHeight="1" ht="12.75">
      <c r="A428" s="4"/>
      <c r="B428" s="29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29"/>
      <c r="N428" s="29"/>
      <c r="O428" s="29"/>
      <c r="P428" s="32"/>
      <c r="Q428" s="32"/>
      <c r="R428" s="4"/>
      <c r="S428" s="4"/>
      <c r="T428" s="4"/>
      <c r="U428" s="4"/>
      <c r="V428" s="4"/>
    </row>
    <row x14ac:dyDescent="0.25" r="429" customHeight="1" ht="12.75">
      <c r="A429" s="4"/>
      <c r="B429" s="29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29"/>
      <c r="N429" s="29"/>
      <c r="O429" s="29"/>
      <c r="P429" s="32"/>
      <c r="Q429" s="32"/>
      <c r="R429" s="4"/>
      <c r="S429" s="4"/>
      <c r="T429" s="4"/>
      <c r="U429" s="4"/>
      <c r="V429" s="4"/>
    </row>
    <row x14ac:dyDescent="0.25" r="430" customHeight="1" ht="12.75">
      <c r="A430" s="4"/>
      <c r="B430" s="29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29"/>
      <c r="N430" s="29"/>
      <c r="O430" s="29"/>
      <c r="P430" s="32"/>
      <c r="Q430" s="32"/>
      <c r="R430" s="4"/>
      <c r="S430" s="4"/>
      <c r="T430" s="4"/>
      <c r="U430" s="4"/>
      <c r="V430" s="4"/>
    </row>
    <row x14ac:dyDescent="0.25" r="431" customHeight="1" ht="12.75">
      <c r="A431" s="4"/>
      <c r="B431" s="29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29"/>
      <c r="N431" s="29"/>
      <c r="O431" s="29"/>
      <c r="P431" s="32"/>
      <c r="Q431" s="32"/>
      <c r="R431" s="4"/>
      <c r="S431" s="4"/>
      <c r="T431" s="4"/>
      <c r="U431" s="4"/>
      <c r="V431" s="4"/>
    </row>
    <row x14ac:dyDescent="0.25" r="432" customHeight="1" ht="12.75">
      <c r="A432" s="4"/>
      <c r="B432" s="29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29"/>
      <c r="N432" s="29"/>
      <c r="O432" s="29"/>
      <c r="P432" s="32"/>
      <c r="Q432" s="32"/>
      <c r="R432" s="4"/>
      <c r="S432" s="4"/>
      <c r="T432" s="4"/>
      <c r="U432" s="4"/>
      <c r="V432" s="4"/>
    </row>
    <row x14ac:dyDescent="0.25" r="433" customHeight="1" ht="12.75">
      <c r="A433" s="4"/>
      <c r="B433" s="29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29"/>
      <c r="N433" s="29"/>
      <c r="O433" s="29"/>
      <c r="P433" s="32"/>
      <c r="Q433" s="32"/>
      <c r="R433" s="4"/>
      <c r="S433" s="4"/>
      <c r="T433" s="4"/>
      <c r="U433" s="4"/>
      <c r="V433" s="4"/>
    </row>
    <row x14ac:dyDescent="0.25" r="434" customHeight="1" ht="12.75">
      <c r="A434" s="4"/>
      <c r="B434" s="29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29"/>
      <c r="N434" s="29"/>
      <c r="O434" s="29"/>
      <c r="P434" s="32"/>
      <c r="Q434" s="32"/>
      <c r="R434" s="4"/>
      <c r="S434" s="4"/>
      <c r="T434" s="4"/>
      <c r="U434" s="4"/>
      <c r="V434" s="4"/>
    </row>
    <row x14ac:dyDescent="0.25" r="435" customHeight="1" ht="12.75">
      <c r="A435" s="4"/>
      <c r="B435" s="29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29"/>
      <c r="N435" s="29"/>
      <c r="O435" s="29"/>
      <c r="P435" s="32"/>
      <c r="Q435" s="32"/>
      <c r="R435" s="4"/>
      <c r="S435" s="4"/>
      <c r="T435" s="4"/>
      <c r="U435" s="4"/>
      <c r="V435" s="4"/>
    </row>
    <row x14ac:dyDescent="0.25" r="436" customHeight="1" ht="12.75">
      <c r="A436" s="4"/>
      <c r="B436" s="29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29"/>
      <c r="N436" s="29"/>
      <c r="O436" s="29"/>
      <c r="P436" s="32"/>
      <c r="Q436" s="32"/>
      <c r="R436" s="4"/>
      <c r="S436" s="4"/>
      <c r="T436" s="4"/>
      <c r="U436" s="4"/>
      <c r="V436" s="4"/>
    </row>
    <row x14ac:dyDescent="0.25" r="437" customHeight="1" ht="12.75">
      <c r="A437" s="4"/>
      <c r="B437" s="29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29"/>
      <c r="N437" s="29"/>
      <c r="O437" s="29"/>
      <c r="P437" s="32"/>
      <c r="Q437" s="32"/>
      <c r="R437" s="4"/>
      <c r="S437" s="4"/>
      <c r="T437" s="4"/>
      <c r="U437" s="4"/>
      <c r="V437" s="4"/>
    </row>
    <row x14ac:dyDescent="0.25" r="438" customHeight="1" ht="12.75">
      <c r="A438" s="4"/>
      <c r="B438" s="29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29"/>
      <c r="N438" s="29"/>
      <c r="O438" s="29"/>
      <c r="P438" s="32"/>
      <c r="Q438" s="32"/>
      <c r="R438" s="4"/>
      <c r="S438" s="4"/>
      <c r="T438" s="4"/>
      <c r="U438" s="4"/>
      <c r="V438" s="4"/>
    </row>
    <row x14ac:dyDescent="0.25" r="439" customHeight="1" ht="12.75">
      <c r="A439" s="4"/>
      <c r="B439" s="29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29"/>
      <c r="N439" s="29"/>
      <c r="O439" s="29"/>
      <c r="P439" s="32"/>
      <c r="Q439" s="32"/>
      <c r="R439" s="4"/>
      <c r="S439" s="4"/>
      <c r="T439" s="4"/>
      <c r="U439" s="4"/>
      <c r="V439" s="4"/>
    </row>
    <row x14ac:dyDescent="0.25" r="440" customHeight="1" ht="12.75">
      <c r="A440" s="4"/>
      <c r="B440" s="29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29"/>
      <c r="N440" s="29"/>
      <c r="O440" s="29"/>
      <c r="P440" s="32"/>
      <c r="Q440" s="32"/>
      <c r="R440" s="4"/>
      <c r="S440" s="4"/>
      <c r="T440" s="4"/>
      <c r="U440" s="4"/>
      <c r="V440" s="4"/>
    </row>
    <row x14ac:dyDescent="0.25" r="441" customHeight="1" ht="12.75">
      <c r="A441" s="4"/>
      <c r="B441" s="29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29"/>
      <c r="N441" s="29"/>
      <c r="O441" s="29"/>
      <c r="P441" s="32"/>
      <c r="Q441" s="32"/>
      <c r="R441" s="4"/>
      <c r="S441" s="4"/>
      <c r="T441" s="4"/>
      <c r="U441" s="4"/>
      <c r="V441" s="4"/>
    </row>
    <row x14ac:dyDescent="0.25" r="442" customHeight="1" ht="12.75">
      <c r="A442" s="4"/>
      <c r="B442" s="29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29"/>
      <c r="N442" s="29"/>
      <c r="O442" s="29"/>
      <c r="P442" s="32"/>
      <c r="Q442" s="32"/>
      <c r="R442" s="4"/>
      <c r="S442" s="4"/>
      <c r="T442" s="4"/>
      <c r="U442" s="4"/>
      <c r="V442" s="4"/>
    </row>
    <row x14ac:dyDescent="0.25" r="443" customHeight="1" ht="12.75">
      <c r="A443" s="4"/>
      <c r="B443" s="29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29"/>
      <c r="N443" s="29"/>
      <c r="O443" s="29"/>
      <c r="P443" s="32"/>
      <c r="Q443" s="32"/>
      <c r="R443" s="4"/>
      <c r="S443" s="4"/>
      <c r="T443" s="4"/>
      <c r="U443" s="4"/>
      <c r="V443" s="4"/>
    </row>
    <row x14ac:dyDescent="0.25" r="444" customHeight="1" ht="12.75">
      <c r="A444" s="4"/>
      <c r="B444" s="29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29"/>
      <c r="N444" s="29"/>
      <c r="O444" s="29"/>
      <c r="P444" s="32"/>
      <c r="Q444" s="32"/>
      <c r="R444" s="4"/>
      <c r="S444" s="4"/>
      <c r="T444" s="4"/>
      <c r="U444" s="4"/>
      <c r="V444" s="4"/>
    </row>
    <row x14ac:dyDescent="0.25" r="445" customHeight="1" ht="12.75">
      <c r="A445" s="4"/>
      <c r="B445" s="29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29"/>
      <c r="N445" s="29"/>
      <c r="O445" s="29"/>
      <c r="P445" s="32"/>
      <c r="Q445" s="32"/>
      <c r="R445" s="4"/>
      <c r="S445" s="4"/>
      <c r="T445" s="4"/>
      <c r="U445" s="4"/>
      <c r="V445" s="4"/>
    </row>
    <row x14ac:dyDescent="0.25" r="446" customHeight="1" ht="12.75">
      <c r="A446" s="4"/>
      <c r="B446" s="29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29"/>
      <c r="N446" s="29"/>
      <c r="O446" s="29"/>
      <c r="P446" s="32"/>
      <c r="Q446" s="32"/>
      <c r="R446" s="4"/>
      <c r="S446" s="4"/>
      <c r="T446" s="4"/>
      <c r="U446" s="4"/>
      <c r="V446" s="4"/>
    </row>
    <row x14ac:dyDescent="0.25" r="447" customHeight="1" ht="12.75">
      <c r="A447" s="4"/>
      <c r="B447" s="29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29"/>
      <c r="N447" s="29"/>
      <c r="O447" s="29"/>
      <c r="P447" s="32"/>
      <c r="Q447" s="32"/>
      <c r="R447" s="4"/>
      <c r="S447" s="4"/>
      <c r="T447" s="4"/>
      <c r="U447" s="4"/>
      <c r="V447" s="4"/>
    </row>
    <row x14ac:dyDescent="0.25" r="448" customHeight="1" ht="12.75">
      <c r="A448" s="4"/>
      <c r="B448" s="29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29"/>
      <c r="N448" s="29"/>
      <c r="O448" s="29"/>
      <c r="P448" s="32"/>
      <c r="Q448" s="32"/>
      <c r="R448" s="4"/>
      <c r="S448" s="4"/>
      <c r="T448" s="4"/>
      <c r="U448" s="4"/>
      <c r="V448" s="4"/>
    </row>
    <row x14ac:dyDescent="0.25" r="449" customHeight="1" ht="12.75">
      <c r="A449" s="4"/>
      <c r="B449" s="29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29"/>
      <c r="N449" s="29"/>
      <c r="O449" s="29"/>
      <c r="P449" s="32"/>
      <c r="Q449" s="32"/>
      <c r="R449" s="4"/>
      <c r="S449" s="4"/>
      <c r="T449" s="4"/>
      <c r="U449" s="4"/>
      <c r="V449" s="4"/>
    </row>
    <row x14ac:dyDescent="0.25" r="450" customHeight="1" ht="12.75">
      <c r="A450" s="4"/>
      <c r="B450" s="29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29"/>
      <c r="N450" s="29"/>
      <c r="O450" s="29"/>
      <c r="P450" s="32"/>
      <c r="Q450" s="32"/>
      <c r="R450" s="4"/>
      <c r="S450" s="4"/>
      <c r="T450" s="4"/>
      <c r="U450" s="4"/>
      <c r="V450" s="4"/>
    </row>
    <row x14ac:dyDescent="0.25" r="451" customHeight="1" ht="12.75">
      <c r="A451" s="4"/>
      <c r="B451" s="29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29"/>
      <c r="N451" s="29"/>
      <c r="O451" s="29"/>
      <c r="P451" s="32"/>
      <c r="Q451" s="32"/>
      <c r="R451" s="4"/>
      <c r="S451" s="4"/>
      <c r="T451" s="4"/>
      <c r="U451" s="4"/>
      <c r="V451" s="4"/>
    </row>
    <row x14ac:dyDescent="0.25" r="452" customHeight="1" ht="12.75">
      <c r="A452" s="4"/>
      <c r="B452" s="29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29"/>
      <c r="N452" s="29"/>
      <c r="O452" s="29"/>
      <c r="P452" s="32"/>
      <c r="Q452" s="32"/>
      <c r="R452" s="4"/>
      <c r="S452" s="4"/>
      <c r="T452" s="4"/>
      <c r="U452" s="4"/>
      <c r="V452" s="4"/>
    </row>
    <row x14ac:dyDescent="0.25" r="453" customHeight="1" ht="12.75">
      <c r="A453" s="4"/>
      <c r="B453" s="29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29"/>
      <c r="N453" s="29"/>
      <c r="O453" s="29"/>
      <c r="P453" s="32"/>
      <c r="Q453" s="32"/>
      <c r="R453" s="4"/>
      <c r="S453" s="4"/>
      <c r="T453" s="4"/>
      <c r="U453" s="4"/>
      <c r="V453" s="4"/>
    </row>
    <row x14ac:dyDescent="0.25" r="454" customHeight="1" ht="12.75">
      <c r="A454" s="4"/>
      <c r="B454" s="29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29"/>
      <c r="N454" s="29"/>
      <c r="O454" s="29"/>
      <c r="P454" s="32"/>
      <c r="Q454" s="32"/>
      <c r="R454" s="4"/>
      <c r="S454" s="4"/>
      <c r="T454" s="4"/>
      <c r="U454" s="4"/>
      <c r="V454" s="4"/>
    </row>
    <row x14ac:dyDescent="0.25" r="455" customHeight="1" ht="12.75">
      <c r="A455" s="4"/>
      <c r="B455" s="29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29"/>
      <c r="N455" s="29"/>
      <c r="O455" s="29"/>
      <c r="P455" s="32"/>
      <c r="Q455" s="32"/>
      <c r="R455" s="4"/>
      <c r="S455" s="4"/>
      <c r="T455" s="4"/>
      <c r="U455" s="4"/>
      <c r="V455" s="4"/>
    </row>
    <row x14ac:dyDescent="0.25" r="456" customHeight="1" ht="12.75">
      <c r="A456" s="4"/>
      <c r="B456" s="29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29"/>
      <c r="N456" s="29"/>
      <c r="O456" s="29"/>
      <c r="P456" s="32"/>
      <c r="Q456" s="32"/>
      <c r="R456" s="4"/>
      <c r="S456" s="4"/>
      <c r="T456" s="4"/>
      <c r="U456" s="4"/>
      <c r="V456" s="4"/>
    </row>
    <row x14ac:dyDescent="0.25" r="457" customHeight="1" ht="12.75">
      <c r="A457" s="4"/>
      <c r="B457" s="29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29"/>
      <c r="N457" s="29"/>
      <c r="O457" s="29"/>
      <c r="P457" s="32"/>
      <c r="Q457" s="32"/>
      <c r="R457" s="4"/>
      <c r="S457" s="4"/>
      <c r="T457" s="4"/>
      <c r="U457" s="4"/>
      <c r="V457" s="4"/>
    </row>
    <row x14ac:dyDescent="0.25" r="458" customHeight="1" ht="12.75">
      <c r="A458" s="4"/>
      <c r="B458" s="29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29"/>
      <c r="N458" s="29"/>
      <c r="O458" s="29"/>
      <c r="P458" s="32"/>
      <c r="Q458" s="32"/>
      <c r="R458" s="4"/>
      <c r="S458" s="4"/>
      <c r="T458" s="4"/>
      <c r="U458" s="4"/>
      <c r="V458" s="4"/>
    </row>
    <row x14ac:dyDescent="0.25" r="459" customHeight="1" ht="12.75">
      <c r="A459" s="4"/>
      <c r="B459" s="29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29"/>
      <c r="N459" s="29"/>
      <c r="O459" s="29"/>
      <c r="P459" s="32"/>
      <c r="Q459" s="32"/>
      <c r="R459" s="4"/>
      <c r="S459" s="4"/>
      <c r="T459" s="4"/>
      <c r="U459" s="4"/>
      <c r="V459" s="4"/>
    </row>
    <row x14ac:dyDescent="0.25" r="460" customHeight="1" ht="12.75">
      <c r="A460" s="4"/>
      <c r="B460" s="29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29"/>
      <c r="N460" s="29"/>
      <c r="O460" s="29"/>
      <c r="P460" s="32"/>
      <c r="Q460" s="32"/>
      <c r="R460" s="4"/>
      <c r="S460" s="4"/>
      <c r="T460" s="4"/>
      <c r="U460" s="4"/>
      <c r="V460" s="4"/>
    </row>
    <row x14ac:dyDescent="0.25" r="461" customHeight="1" ht="12.75">
      <c r="A461" s="4"/>
      <c r="B461" s="29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29"/>
      <c r="N461" s="29"/>
      <c r="O461" s="29"/>
      <c r="P461" s="32"/>
      <c r="Q461" s="32"/>
      <c r="R461" s="4"/>
      <c r="S461" s="4"/>
      <c r="T461" s="4"/>
      <c r="U461" s="4"/>
      <c r="V461" s="4"/>
    </row>
    <row x14ac:dyDescent="0.25" r="462" customHeight="1" ht="12.75">
      <c r="A462" s="4"/>
      <c r="B462" s="29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29"/>
      <c r="N462" s="29"/>
      <c r="O462" s="29"/>
      <c r="P462" s="32"/>
      <c r="Q462" s="32"/>
      <c r="R462" s="4"/>
      <c r="S462" s="4"/>
      <c r="T462" s="4"/>
      <c r="U462" s="4"/>
      <c r="V462" s="4"/>
    </row>
    <row x14ac:dyDescent="0.25" r="463" customHeight="1" ht="12.75">
      <c r="A463" s="4"/>
      <c r="B463" s="29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29"/>
      <c r="N463" s="29"/>
      <c r="O463" s="29"/>
      <c r="P463" s="32"/>
      <c r="Q463" s="32"/>
      <c r="R463" s="4"/>
      <c r="S463" s="4"/>
      <c r="T463" s="4"/>
      <c r="U463" s="4"/>
      <c r="V463" s="4"/>
    </row>
    <row x14ac:dyDescent="0.25" r="464" customHeight="1" ht="12.75">
      <c r="A464" s="4"/>
      <c r="B464" s="29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29"/>
      <c r="N464" s="29"/>
      <c r="O464" s="29"/>
      <c r="P464" s="32"/>
      <c r="Q464" s="32"/>
      <c r="R464" s="4"/>
      <c r="S464" s="4"/>
      <c r="T464" s="4"/>
      <c r="U464" s="4"/>
      <c r="V464" s="4"/>
    </row>
    <row x14ac:dyDescent="0.25" r="465" customHeight="1" ht="12.75">
      <c r="A465" s="4"/>
      <c r="B465" s="29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29"/>
      <c r="N465" s="29"/>
      <c r="O465" s="29"/>
      <c r="P465" s="32"/>
      <c r="Q465" s="32"/>
      <c r="R465" s="4"/>
      <c r="S465" s="4"/>
      <c r="T465" s="4"/>
      <c r="U465" s="4"/>
      <c r="V465" s="4"/>
    </row>
    <row x14ac:dyDescent="0.25" r="466" customHeight="1" ht="12.75">
      <c r="A466" s="4"/>
      <c r="B466" s="29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29"/>
      <c r="N466" s="29"/>
      <c r="O466" s="29"/>
      <c r="P466" s="32"/>
      <c r="Q466" s="32"/>
      <c r="R466" s="4"/>
      <c r="S466" s="4"/>
      <c r="T466" s="4"/>
      <c r="U466" s="4"/>
      <c r="V466" s="4"/>
    </row>
    <row x14ac:dyDescent="0.25" r="467" customHeight="1" ht="12.75">
      <c r="A467" s="4"/>
      <c r="B467" s="29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29"/>
      <c r="N467" s="29"/>
      <c r="O467" s="29"/>
      <c r="P467" s="32"/>
      <c r="Q467" s="32"/>
      <c r="R467" s="4"/>
      <c r="S467" s="4"/>
      <c r="T467" s="4"/>
      <c r="U467" s="4"/>
      <c r="V467" s="4"/>
    </row>
    <row x14ac:dyDescent="0.25" r="468" customHeight="1" ht="12.75">
      <c r="A468" s="4"/>
      <c r="B468" s="29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29"/>
      <c r="N468" s="29"/>
      <c r="O468" s="29"/>
      <c r="P468" s="32"/>
      <c r="Q468" s="32"/>
      <c r="R468" s="4"/>
      <c r="S468" s="4"/>
      <c r="T468" s="4"/>
      <c r="U468" s="4"/>
      <c r="V468" s="4"/>
    </row>
    <row x14ac:dyDescent="0.25" r="469" customHeight="1" ht="12.75">
      <c r="A469" s="4"/>
      <c r="B469" s="29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29"/>
      <c r="N469" s="29"/>
      <c r="O469" s="29"/>
      <c r="P469" s="32"/>
      <c r="Q469" s="32"/>
      <c r="R469" s="4"/>
      <c r="S469" s="4"/>
      <c r="T469" s="4"/>
      <c r="U469" s="4"/>
      <c r="V469" s="4"/>
    </row>
    <row x14ac:dyDescent="0.25" r="470" customHeight="1" ht="12.75">
      <c r="A470" s="4"/>
      <c r="B470" s="29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29"/>
      <c r="N470" s="29"/>
      <c r="O470" s="29"/>
      <c r="P470" s="32"/>
      <c r="Q470" s="32"/>
      <c r="R470" s="4"/>
      <c r="S470" s="4"/>
      <c r="T470" s="4"/>
      <c r="U470" s="4"/>
      <c r="V470" s="4"/>
    </row>
    <row x14ac:dyDescent="0.25" r="471" customHeight="1" ht="12.75">
      <c r="A471" s="4"/>
      <c r="B471" s="29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29"/>
      <c r="N471" s="29"/>
      <c r="O471" s="29"/>
      <c r="P471" s="32"/>
      <c r="Q471" s="32"/>
      <c r="R471" s="4"/>
      <c r="S471" s="4"/>
      <c r="T471" s="4"/>
      <c r="U471" s="4"/>
      <c r="V471" s="4"/>
    </row>
    <row x14ac:dyDescent="0.25" r="472" customHeight="1" ht="12.75">
      <c r="A472" s="4"/>
      <c r="B472" s="29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29"/>
      <c r="N472" s="29"/>
      <c r="O472" s="29"/>
      <c r="P472" s="32"/>
      <c r="Q472" s="32"/>
      <c r="R472" s="4"/>
      <c r="S472" s="4"/>
      <c r="T472" s="4"/>
      <c r="U472" s="4"/>
      <c r="V472" s="4"/>
    </row>
    <row x14ac:dyDescent="0.25" r="473" customHeight="1" ht="12.75">
      <c r="A473" s="4"/>
      <c r="B473" s="29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29"/>
      <c r="N473" s="29"/>
      <c r="O473" s="29"/>
      <c r="P473" s="32"/>
      <c r="Q473" s="32"/>
      <c r="R473" s="4"/>
      <c r="S473" s="4"/>
      <c r="T473" s="4"/>
      <c r="U473" s="4"/>
      <c r="V473" s="4"/>
    </row>
    <row x14ac:dyDescent="0.25" r="474" customHeight="1" ht="12.75">
      <c r="A474" s="4"/>
      <c r="B474" s="29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29"/>
      <c r="N474" s="29"/>
      <c r="O474" s="29"/>
      <c r="P474" s="32"/>
      <c r="Q474" s="32"/>
      <c r="R474" s="4"/>
      <c r="S474" s="4"/>
      <c r="T474" s="4"/>
      <c r="U474" s="4"/>
      <c r="V474" s="4"/>
    </row>
    <row x14ac:dyDescent="0.25" r="475" customHeight="1" ht="12.75">
      <c r="A475" s="4"/>
      <c r="B475" s="29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29"/>
      <c r="N475" s="29"/>
      <c r="O475" s="29"/>
      <c r="P475" s="32"/>
      <c r="Q475" s="32"/>
      <c r="R475" s="4"/>
      <c r="S475" s="4"/>
      <c r="T475" s="4"/>
      <c r="U475" s="4"/>
      <c r="V475" s="4"/>
    </row>
    <row x14ac:dyDescent="0.25" r="476" customHeight="1" ht="12.75">
      <c r="A476" s="4"/>
      <c r="B476" s="29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29"/>
      <c r="N476" s="29"/>
      <c r="O476" s="29"/>
      <c r="P476" s="32"/>
      <c r="Q476" s="32"/>
      <c r="R476" s="4"/>
      <c r="S476" s="4"/>
      <c r="T476" s="4"/>
      <c r="U476" s="4"/>
      <c r="V476" s="4"/>
    </row>
    <row x14ac:dyDescent="0.25" r="477" customHeight="1" ht="12.75">
      <c r="A477" s="4"/>
      <c r="B477" s="29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29"/>
      <c r="N477" s="29"/>
      <c r="O477" s="29"/>
      <c r="P477" s="32"/>
      <c r="Q477" s="32"/>
      <c r="R477" s="4"/>
      <c r="S477" s="4"/>
      <c r="T477" s="4"/>
      <c r="U477" s="4"/>
      <c r="V477" s="4"/>
    </row>
    <row x14ac:dyDescent="0.25" r="478" customHeight="1" ht="12.75">
      <c r="A478" s="4"/>
      <c r="B478" s="29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29"/>
      <c r="N478" s="29"/>
      <c r="O478" s="29"/>
      <c r="P478" s="32"/>
      <c r="Q478" s="32"/>
      <c r="R478" s="4"/>
      <c r="S478" s="4"/>
      <c r="T478" s="4"/>
      <c r="U478" s="4"/>
      <c r="V478" s="4"/>
    </row>
    <row x14ac:dyDescent="0.25" r="479" customHeight="1" ht="12.75">
      <c r="A479" s="4"/>
      <c r="B479" s="29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29"/>
      <c r="N479" s="29"/>
      <c r="O479" s="29"/>
      <c r="P479" s="32"/>
      <c r="Q479" s="32"/>
      <c r="R479" s="4"/>
      <c r="S479" s="4"/>
      <c r="T479" s="4"/>
      <c r="U479" s="4"/>
      <c r="V479" s="4"/>
    </row>
    <row x14ac:dyDescent="0.25" r="480" customHeight="1" ht="12.75">
      <c r="A480" s="4"/>
      <c r="B480" s="29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29"/>
      <c r="N480" s="29"/>
      <c r="O480" s="29"/>
      <c r="P480" s="32"/>
      <c r="Q480" s="32"/>
      <c r="R480" s="4"/>
      <c r="S480" s="4"/>
      <c r="T480" s="4"/>
      <c r="U480" s="4"/>
      <c r="V480" s="4"/>
    </row>
    <row x14ac:dyDescent="0.25" r="481" customHeight="1" ht="12.75">
      <c r="A481" s="4"/>
      <c r="B481" s="29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29"/>
      <c r="N481" s="29"/>
      <c r="O481" s="29"/>
      <c r="P481" s="32"/>
      <c r="Q481" s="32"/>
      <c r="R481" s="4"/>
      <c r="S481" s="4"/>
      <c r="T481" s="4"/>
      <c r="U481" s="4"/>
      <c r="V481" s="4"/>
    </row>
    <row x14ac:dyDescent="0.25" r="482" customHeight="1" ht="12.75">
      <c r="A482" s="4"/>
      <c r="B482" s="29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29"/>
      <c r="N482" s="29"/>
      <c r="O482" s="29"/>
      <c r="P482" s="32"/>
      <c r="Q482" s="32"/>
      <c r="R482" s="4"/>
      <c r="S482" s="4"/>
      <c r="T482" s="4"/>
      <c r="U482" s="4"/>
      <c r="V482" s="4"/>
    </row>
    <row x14ac:dyDescent="0.25" r="483" customHeight="1" ht="12.75">
      <c r="A483" s="4"/>
      <c r="B483" s="29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29"/>
      <c r="N483" s="29"/>
      <c r="O483" s="29"/>
      <c r="P483" s="32"/>
      <c r="Q483" s="32"/>
      <c r="R483" s="4"/>
      <c r="S483" s="4"/>
      <c r="T483" s="4"/>
      <c r="U483" s="4"/>
      <c r="V483" s="4"/>
    </row>
    <row x14ac:dyDescent="0.25" r="484" customHeight="1" ht="12.75">
      <c r="A484" s="4"/>
      <c r="B484" s="29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29"/>
      <c r="N484" s="29"/>
      <c r="O484" s="29"/>
      <c r="P484" s="32"/>
      <c r="Q484" s="32"/>
      <c r="R484" s="4"/>
      <c r="S484" s="4"/>
      <c r="T484" s="4"/>
      <c r="U484" s="4"/>
      <c r="V484" s="4"/>
    </row>
    <row x14ac:dyDescent="0.25" r="485" customHeight="1" ht="12.75">
      <c r="A485" s="4"/>
      <c r="B485" s="29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29"/>
      <c r="N485" s="29"/>
      <c r="O485" s="29"/>
      <c r="P485" s="32"/>
      <c r="Q485" s="32"/>
      <c r="R485" s="4"/>
      <c r="S485" s="4"/>
      <c r="T485" s="4"/>
      <c r="U485" s="4"/>
      <c r="V485" s="4"/>
    </row>
    <row x14ac:dyDescent="0.25" r="486" customHeight="1" ht="12.75">
      <c r="A486" s="4"/>
      <c r="B486" s="29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29"/>
      <c r="N486" s="29"/>
      <c r="O486" s="29"/>
      <c r="P486" s="32"/>
      <c r="Q486" s="32"/>
      <c r="R486" s="4"/>
      <c r="S486" s="4"/>
      <c r="T486" s="4"/>
      <c r="U486" s="4"/>
      <c r="V486" s="4"/>
    </row>
    <row x14ac:dyDescent="0.25" r="487" customHeight="1" ht="12.75">
      <c r="A487" s="4"/>
      <c r="B487" s="29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29"/>
      <c r="N487" s="29"/>
      <c r="O487" s="29"/>
      <c r="P487" s="32"/>
      <c r="Q487" s="32"/>
      <c r="R487" s="4"/>
      <c r="S487" s="4"/>
      <c r="T487" s="4"/>
      <c r="U487" s="4"/>
      <c r="V487" s="4"/>
    </row>
    <row x14ac:dyDescent="0.25" r="488" customHeight="1" ht="12.75">
      <c r="A488" s="4"/>
      <c r="B488" s="29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29"/>
      <c r="N488" s="29"/>
      <c r="O488" s="29"/>
      <c r="P488" s="32"/>
      <c r="Q488" s="32"/>
      <c r="R488" s="4"/>
      <c r="S488" s="4"/>
      <c r="T488" s="4"/>
      <c r="U488" s="4"/>
      <c r="V488" s="4"/>
    </row>
    <row x14ac:dyDescent="0.25" r="489" customHeight="1" ht="12.75">
      <c r="A489" s="4"/>
      <c r="B489" s="29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29"/>
      <c r="N489" s="29"/>
      <c r="O489" s="29"/>
      <c r="P489" s="32"/>
      <c r="Q489" s="32"/>
      <c r="R489" s="4"/>
      <c r="S489" s="4"/>
      <c r="T489" s="4"/>
      <c r="U489" s="4"/>
      <c r="V489" s="4"/>
    </row>
    <row x14ac:dyDescent="0.25" r="490" customHeight="1" ht="12.75">
      <c r="A490" s="4"/>
      <c r="B490" s="29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29"/>
      <c r="N490" s="29"/>
      <c r="O490" s="29"/>
      <c r="P490" s="32"/>
      <c r="Q490" s="32"/>
      <c r="R490" s="4"/>
      <c r="S490" s="4"/>
      <c r="T490" s="4"/>
      <c r="U490" s="4"/>
      <c r="V490" s="4"/>
    </row>
    <row x14ac:dyDescent="0.25" r="491" customHeight="1" ht="12.75">
      <c r="A491" s="4"/>
      <c r="B491" s="29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29"/>
      <c r="N491" s="29"/>
      <c r="O491" s="29"/>
      <c r="P491" s="32"/>
      <c r="Q491" s="32"/>
      <c r="R491" s="4"/>
      <c r="S491" s="4"/>
      <c r="T491" s="4"/>
      <c r="U491" s="4"/>
      <c r="V491" s="4"/>
    </row>
    <row x14ac:dyDescent="0.25" r="492" customHeight="1" ht="12.75">
      <c r="A492" s="4"/>
      <c r="B492" s="29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29"/>
      <c r="N492" s="29"/>
      <c r="O492" s="29"/>
      <c r="P492" s="32"/>
      <c r="Q492" s="32"/>
      <c r="R492" s="4"/>
      <c r="S492" s="4"/>
      <c r="T492" s="4"/>
      <c r="U492" s="4"/>
      <c r="V492" s="4"/>
    </row>
    <row x14ac:dyDescent="0.25" r="493" customHeight="1" ht="12.75">
      <c r="A493" s="4"/>
      <c r="B493" s="29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29"/>
      <c r="N493" s="29"/>
      <c r="O493" s="29"/>
      <c r="P493" s="32"/>
      <c r="Q493" s="32"/>
      <c r="R493" s="4"/>
      <c r="S493" s="4"/>
      <c r="T493" s="4"/>
      <c r="U493" s="4"/>
      <c r="V493" s="4"/>
    </row>
    <row x14ac:dyDescent="0.25" r="494" customHeight="1" ht="12.75">
      <c r="A494" s="4"/>
      <c r="B494" s="29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29"/>
      <c r="N494" s="29"/>
      <c r="O494" s="29"/>
      <c r="P494" s="32"/>
      <c r="Q494" s="32"/>
      <c r="R494" s="4"/>
      <c r="S494" s="4"/>
      <c r="T494" s="4"/>
      <c r="U494" s="4"/>
      <c r="V494" s="4"/>
    </row>
    <row x14ac:dyDescent="0.25" r="495" customHeight="1" ht="12.75">
      <c r="A495" s="4"/>
      <c r="B495" s="29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29"/>
      <c r="N495" s="29"/>
      <c r="O495" s="29"/>
      <c r="P495" s="32"/>
      <c r="Q495" s="32"/>
      <c r="R495" s="4"/>
      <c r="S495" s="4"/>
      <c r="T495" s="4"/>
      <c r="U495" s="4"/>
      <c r="V495" s="4"/>
    </row>
    <row x14ac:dyDescent="0.25" r="496" customHeight="1" ht="12.75">
      <c r="A496" s="4"/>
      <c r="B496" s="29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29"/>
      <c r="N496" s="29"/>
      <c r="O496" s="29"/>
      <c r="P496" s="32"/>
      <c r="Q496" s="32"/>
      <c r="R496" s="4"/>
      <c r="S496" s="4"/>
      <c r="T496" s="4"/>
      <c r="U496" s="4"/>
      <c r="V496" s="4"/>
    </row>
    <row x14ac:dyDescent="0.25" r="497" customHeight="1" ht="12.75">
      <c r="A497" s="4"/>
      <c r="B497" s="29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29"/>
      <c r="N497" s="29"/>
      <c r="O497" s="29"/>
      <c r="P497" s="32"/>
      <c r="Q497" s="32"/>
      <c r="R497" s="4"/>
      <c r="S497" s="4"/>
      <c r="T497" s="4"/>
      <c r="U497" s="4"/>
      <c r="V497" s="4"/>
    </row>
    <row x14ac:dyDescent="0.25" r="498" customHeight="1" ht="12.75">
      <c r="A498" s="4"/>
      <c r="B498" s="29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29"/>
      <c r="N498" s="29"/>
      <c r="O498" s="29"/>
      <c r="P498" s="32"/>
      <c r="Q498" s="32"/>
      <c r="R498" s="4"/>
      <c r="S498" s="4"/>
      <c r="T498" s="4"/>
      <c r="U498" s="4"/>
      <c r="V498" s="4"/>
    </row>
    <row x14ac:dyDescent="0.25" r="499" customHeight="1" ht="12.75">
      <c r="A499" s="4"/>
      <c r="B499" s="29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29"/>
      <c r="N499" s="29"/>
      <c r="O499" s="29"/>
      <c r="P499" s="32"/>
      <c r="Q499" s="32"/>
      <c r="R499" s="4"/>
      <c r="S499" s="4"/>
      <c r="T499" s="4"/>
      <c r="U499" s="4"/>
      <c r="V499" s="4"/>
    </row>
    <row x14ac:dyDescent="0.25" r="500" customHeight="1" ht="12.75">
      <c r="A500" s="4"/>
      <c r="B500" s="29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29"/>
      <c r="N500" s="29"/>
      <c r="O500" s="29"/>
      <c r="P500" s="32"/>
      <c r="Q500" s="32"/>
      <c r="R500" s="4"/>
      <c r="S500" s="4"/>
      <c r="T500" s="4"/>
      <c r="U500" s="4"/>
      <c r="V500" s="4"/>
    </row>
    <row x14ac:dyDescent="0.25" r="501" customHeight="1" ht="12.75">
      <c r="A501" s="4"/>
      <c r="B501" s="29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29"/>
      <c r="N501" s="29"/>
      <c r="O501" s="29"/>
      <c r="P501" s="32"/>
      <c r="Q501" s="32"/>
      <c r="R501" s="4"/>
      <c r="S501" s="4"/>
      <c r="T501" s="4"/>
      <c r="U501" s="4"/>
      <c r="V501" s="4"/>
    </row>
    <row x14ac:dyDescent="0.25" r="502" customHeight="1" ht="12.75">
      <c r="A502" s="4"/>
      <c r="B502" s="29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29"/>
      <c r="N502" s="29"/>
      <c r="O502" s="29"/>
      <c r="P502" s="32"/>
      <c r="Q502" s="32"/>
      <c r="R502" s="4"/>
      <c r="S502" s="4"/>
      <c r="T502" s="4"/>
      <c r="U502" s="4"/>
      <c r="V502" s="4"/>
    </row>
    <row x14ac:dyDescent="0.25" r="503" customHeight="1" ht="12.75">
      <c r="A503" s="4"/>
      <c r="B503" s="29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29"/>
      <c r="N503" s="29"/>
      <c r="O503" s="29"/>
      <c r="P503" s="32"/>
      <c r="Q503" s="32"/>
      <c r="R503" s="4"/>
      <c r="S503" s="4"/>
      <c r="T503" s="4"/>
      <c r="U503" s="4"/>
      <c r="V503" s="4"/>
    </row>
    <row x14ac:dyDescent="0.25" r="504" customHeight="1" ht="12.75">
      <c r="A504" s="4"/>
      <c r="B504" s="29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29"/>
      <c r="N504" s="29"/>
      <c r="O504" s="29"/>
      <c r="P504" s="32"/>
      <c r="Q504" s="32"/>
      <c r="R504" s="4"/>
      <c r="S504" s="4"/>
      <c r="T504" s="4"/>
      <c r="U504" s="4"/>
      <c r="V504" s="4"/>
    </row>
    <row x14ac:dyDescent="0.25" r="505" customHeight="1" ht="12.75">
      <c r="A505" s="4"/>
      <c r="B505" s="29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29"/>
      <c r="N505" s="29"/>
      <c r="O505" s="29"/>
      <c r="P505" s="32"/>
      <c r="Q505" s="32"/>
      <c r="R505" s="4"/>
      <c r="S505" s="4"/>
      <c r="T505" s="4"/>
      <c r="U505" s="4"/>
      <c r="V505" s="4"/>
    </row>
    <row x14ac:dyDescent="0.25" r="506" customHeight="1" ht="12.75">
      <c r="A506" s="4"/>
      <c r="B506" s="29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29"/>
      <c r="N506" s="29"/>
      <c r="O506" s="29"/>
      <c r="P506" s="32"/>
      <c r="Q506" s="32"/>
      <c r="R506" s="4"/>
      <c r="S506" s="4"/>
      <c r="T506" s="4"/>
      <c r="U506" s="4"/>
      <c r="V506" s="4"/>
    </row>
    <row x14ac:dyDescent="0.25" r="507" customHeight="1" ht="12.75">
      <c r="A507" s="4"/>
      <c r="B507" s="29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29"/>
      <c r="N507" s="29"/>
      <c r="O507" s="29"/>
      <c r="P507" s="32"/>
      <c r="Q507" s="32"/>
      <c r="R507" s="4"/>
      <c r="S507" s="4"/>
      <c r="T507" s="4"/>
      <c r="U507" s="4"/>
      <c r="V507" s="4"/>
    </row>
    <row x14ac:dyDescent="0.25" r="508" customHeight="1" ht="12.75">
      <c r="A508" s="4"/>
      <c r="B508" s="29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29"/>
      <c r="N508" s="29"/>
      <c r="O508" s="29"/>
      <c r="P508" s="32"/>
      <c r="Q508" s="32"/>
      <c r="R508" s="4"/>
      <c r="S508" s="4"/>
      <c r="T508" s="4"/>
      <c r="U508" s="4"/>
      <c r="V508" s="4"/>
    </row>
    <row x14ac:dyDescent="0.25" r="509" customHeight="1" ht="12.75">
      <c r="A509" s="4"/>
      <c r="B509" s="29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29"/>
      <c r="N509" s="29"/>
      <c r="O509" s="29"/>
      <c r="P509" s="32"/>
      <c r="Q509" s="32"/>
      <c r="R509" s="4"/>
      <c r="S509" s="4"/>
      <c r="T509" s="4"/>
      <c r="U509" s="4"/>
      <c r="V509" s="4"/>
    </row>
    <row x14ac:dyDescent="0.25" r="510" customHeight="1" ht="12.75">
      <c r="A510" s="4"/>
      <c r="B510" s="29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29"/>
      <c r="N510" s="29"/>
      <c r="O510" s="29"/>
      <c r="P510" s="32"/>
      <c r="Q510" s="32"/>
      <c r="R510" s="4"/>
      <c r="S510" s="4"/>
      <c r="T510" s="4"/>
      <c r="U510" s="4"/>
      <c r="V510" s="4"/>
    </row>
    <row x14ac:dyDescent="0.25" r="511" customHeight="1" ht="12.75">
      <c r="A511" s="4"/>
      <c r="B511" s="29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29"/>
      <c r="N511" s="29"/>
      <c r="O511" s="29"/>
      <c r="P511" s="32"/>
      <c r="Q511" s="32"/>
      <c r="R511" s="4"/>
      <c r="S511" s="4"/>
      <c r="T511" s="4"/>
      <c r="U511" s="4"/>
      <c r="V511" s="4"/>
    </row>
    <row x14ac:dyDescent="0.25" r="512" customHeight="1" ht="12.75">
      <c r="A512" s="4"/>
      <c r="B512" s="29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29"/>
      <c r="N512" s="29"/>
      <c r="O512" s="29"/>
      <c r="P512" s="32"/>
      <c r="Q512" s="32"/>
      <c r="R512" s="4"/>
      <c r="S512" s="4"/>
      <c r="T512" s="4"/>
      <c r="U512" s="4"/>
      <c r="V512" s="4"/>
    </row>
    <row x14ac:dyDescent="0.25" r="513" customHeight="1" ht="12.75">
      <c r="A513" s="4"/>
      <c r="B513" s="29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29"/>
      <c r="N513" s="29"/>
      <c r="O513" s="29"/>
      <c r="P513" s="32"/>
      <c r="Q513" s="32"/>
      <c r="R513" s="4"/>
      <c r="S513" s="4"/>
      <c r="T513" s="4"/>
      <c r="U513" s="4"/>
      <c r="V513" s="4"/>
    </row>
    <row x14ac:dyDescent="0.25" r="514" customHeight="1" ht="12.75">
      <c r="A514" s="4"/>
      <c r="B514" s="29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29"/>
      <c r="N514" s="29"/>
      <c r="O514" s="29"/>
      <c r="P514" s="32"/>
      <c r="Q514" s="32"/>
      <c r="R514" s="4"/>
      <c r="S514" s="4"/>
      <c r="T514" s="4"/>
      <c r="U514" s="4"/>
      <c r="V514" s="4"/>
    </row>
    <row x14ac:dyDescent="0.25" r="515" customHeight="1" ht="12.75">
      <c r="A515" s="4"/>
      <c r="B515" s="29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29"/>
      <c r="N515" s="29"/>
      <c r="O515" s="29"/>
      <c r="P515" s="32"/>
      <c r="Q515" s="32"/>
      <c r="R515" s="4"/>
      <c r="S515" s="4"/>
      <c r="T515" s="4"/>
      <c r="U515" s="4"/>
      <c r="V515" s="4"/>
    </row>
    <row x14ac:dyDescent="0.25" r="516" customHeight="1" ht="12.75">
      <c r="A516" s="4"/>
      <c r="B516" s="29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29"/>
      <c r="N516" s="29"/>
      <c r="O516" s="29"/>
      <c r="P516" s="32"/>
      <c r="Q516" s="32"/>
      <c r="R516" s="4"/>
      <c r="S516" s="4"/>
      <c r="T516" s="4"/>
      <c r="U516" s="4"/>
      <c r="V516" s="4"/>
    </row>
    <row x14ac:dyDescent="0.25" r="517" customHeight="1" ht="12.75">
      <c r="A517" s="4"/>
      <c r="B517" s="29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29"/>
      <c r="N517" s="29"/>
      <c r="O517" s="29"/>
      <c r="P517" s="32"/>
      <c r="Q517" s="32"/>
      <c r="R517" s="4"/>
      <c r="S517" s="4"/>
      <c r="T517" s="4"/>
      <c r="U517" s="4"/>
      <c r="V517" s="4"/>
    </row>
    <row x14ac:dyDescent="0.25" r="518" customHeight="1" ht="12.75">
      <c r="A518" s="4"/>
      <c r="B518" s="29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29"/>
      <c r="N518" s="29"/>
      <c r="O518" s="29"/>
      <c r="P518" s="32"/>
      <c r="Q518" s="32"/>
      <c r="R518" s="4"/>
      <c r="S518" s="4"/>
      <c r="T518" s="4"/>
      <c r="U518" s="4"/>
      <c r="V518" s="4"/>
    </row>
    <row x14ac:dyDescent="0.25" r="519" customHeight="1" ht="12.75">
      <c r="A519" s="4"/>
      <c r="B519" s="29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29"/>
      <c r="N519" s="29"/>
      <c r="O519" s="29"/>
      <c r="P519" s="32"/>
      <c r="Q519" s="32"/>
      <c r="R519" s="4"/>
      <c r="S519" s="4"/>
      <c r="T519" s="4"/>
      <c r="U519" s="4"/>
      <c r="V519" s="4"/>
    </row>
    <row x14ac:dyDescent="0.25" r="520" customHeight="1" ht="12.75">
      <c r="A520" s="4"/>
      <c r="B520" s="29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29"/>
      <c r="N520" s="29"/>
      <c r="O520" s="29"/>
      <c r="P520" s="32"/>
      <c r="Q520" s="32"/>
      <c r="R520" s="4"/>
      <c r="S520" s="4"/>
      <c r="T520" s="4"/>
      <c r="U520" s="4"/>
      <c r="V520" s="4"/>
    </row>
    <row x14ac:dyDescent="0.25" r="521" customHeight="1" ht="12.75">
      <c r="A521" s="4"/>
      <c r="B521" s="29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29"/>
      <c r="N521" s="29"/>
      <c r="O521" s="29"/>
      <c r="P521" s="32"/>
      <c r="Q521" s="32"/>
      <c r="R521" s="4"/>
      <c r="S521" s="4"/>
      <c r="T521" s="4"/>
      <c r="U521" s="4"/>
      <c r="V521" s="4"/>
    </row>
    <row x14ac:dyDescent="0.25" r="522" customHeight="1" ht="12.75">
      <c r="A522" s="4"/>
      <c r="B522" s="29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29"/>
      <c r="N522" s="29"/>
      <c r="O522" s="29"/>
      <c r="P522" s="32"/>
      <c r="Q522" s="32"/>
      <c r="R522" s="4"/>
      <c r="S522" s="4"/>
      <c r="T522" s="4"/>
      <c r="U522" s="4"/>
      <c r="V522" s="4"/>
    </row>
    <row x14ac:dyDescent="0.25" r="523" customHeight="1" ht="12.75">
      <c r="A523" s="4"/>
      <c r="B523" s="29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29"/>
      <c r="N523" s="29"/>
      <c r="O523" s="29"/>
      <c r="P523" s="32"/>
      <c r="Q523" s="32"/>
      <c r="R523" s="4"/>
      <c r="S523" s="4"/>
      <c r="T523" s="4"/>
      <c r="U523" s="4"/>
      <c r="V523" s="4"/>
    </row>
    <row x14ac:dyDescent="0.25" r="524" customHeight="1" ht="12.75">
      <c r="A524" s="4"/>
      <c r="B524" s="29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29"/>
      <c r="N524" s="29"/>
      <c r="O524" s="29"/>
      <c r="P524" s="32"/>
      <c r="Q524" s="32"/>
      <c r="R524" s="4"/>
      <c r="S524" s="4"/>
      <c r="T524" s="4"/>
      <c r="U524" s="4"/>
      <c r="V524" s="4"/>
    </row>
    <row x14ac:dyDescent="0.25" r="525" customHeight="1" ht="12.75">
      <c r="A525" s="4"/>
      <c r="B525" s="29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29"/>
      <c r="N525" s="29"/>
      <c r="O525" s="29"/>
      <c r="P525" s="32"/>
      <c r="Q525" s="32"/>
      <c r="R525" s="4"/>
      <c r="S525" s="4"/>
      <c r="T525" s="4"/>
      <c r="U525" s="4"/>
      <c r="V525" s="4"/>
    </row>
    <row x14ac:dyDescent="0.25" r="526" customHeight="1" ht="12.75">
      <c r="A526" s="4"/>
      <c r="B526" s="29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29"/>
      <c r="N526" s="29"/>
      <c r="O526" s="29"/>
      <c r="P526" s="32"/>
      <c r="Q526" s="32"/>
      <c r="R526" s="4"/>
      <c r="S526" s="4"/>
      <c r="T526" s="4"/>
      <c r="U526" s="4"/>
      <c r="V526" s="4"/>
    </row>
    <row x14ac:dyDescent="0.25" r="527" customHeight="1" ht="12.75">
      <c r="A527" s="4"/>
      <c r="B527" s="29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29"/>
      <c r="N527" s="29"/>
      <c r="O527" s="29"/>
      <c r="P527" s="32"/>
      <c r="Q527" s="32"/>
      <c r="R527" s="4"/>
      <c r="S527" s="4"/>
      <c r="T527" s="4"/>
      <c r="U527" s="4"/>
      <c r="V527" s="4"/>
    </row>
    <row x14ac:dyDescent="0.25" r="528" customHeight="1" ht="12.75">
      <c r="A528" s="4"/>
      <c r="B528" s="29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29"/>
      <c r="N528" s="29"/>
      <c r="O528" s="29"/>
      <c r="P528" s="32"/>
      <c r="Q528" s="32"/>
      <c r="R528" s="4"/>
      <c r="S528" s="4"/>
      <c r="T528" s="4"/>
      <c r="U528" s="4"/>
      <c r="V528" s="4"/>
    </row>
    <row x14ac:dyDescent="0.25" r="529" customHeight="1" ht="12.75">
      <c r="A529" s="4"/>
      <c r="B529" s="29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29"/>
      <c r="N529" s="29"/>
      <c r="O529" s="29"/>
      <c r="P529" s="32"/>
      <c r="Q529" s="32"/>
      <c r="R529" s="4"/>
      <c r="S529" s="4"/>
      <c r="T529" s="4"/>
      <c r="U529" s="4"/>
      <c r="V529" s="4"/>
    </row>
    <row x14ac:dyDescent="0.25" r="530" customHeight="1" ht="12.75">
      <c r="A530" s="4"/>
      <c r="B530" s="29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29"/>
      <c r="N530" s="29"/>
      <c r="O530" s="29"/>
      <c r="P530" s="32"/>
      <c r="Q530" s="32"/>
      <c r="R530" s="4"/>
      <c r="S530" s="4"/>
      <c r="T530" s="4"/>
      <c r="U530" s="4"/>
      <c r="V530" s="4"/>
    </row>
    <row x14ac:dyDescent="0.25" r="531" customHeight="1" ht="12.75">
      <c r="A531" s="4"/>
      <c r="B531" s="29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29"/>
      <c r="N531" s="29"/>
      <c r="O531" s="29"/>
      <c r="P531" s="32"/>
      <c r="Q531" s="32"/>
      <c r="R531" s="4"/>
      <c r="S531" s="4"/>
      <c r="T531" s="4"/>
      <c r="U531" s="4"/>
      <c r="V531" s="4"/>
    </row>
    <row x14ac:dyDescent="0.25" r="532" customHeight="1" ht="12.75">
      <c r="A532" s="4"/>
      <c r="B532" s="29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29"/>
      <c r="N532" s="29"/>
      <c r="O532" s="29"/>
      <c r="P532" s="32"/>
      <c r="Q532" s="32"/>
      <c r="R532" s="4"/>
      <c r="S532" s="4"/>
      <c r="T532" s="4"/>
      <c r="U532" s="4"/>
      <c r="V532" s="4"/>
    </row>
    <row x14ac:dyDescent="0.25" r="533" customHeight="1" ht="12.75">
      <c r="A533" s="4"/>
      <c r="B533" s="29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29"/>
      <c r="N533" s="29"/>
      <c r="O533" s="29"/>
      <c r="P533" s="32"/>
      <c r="Q533" s="32"/>
      <c r="R533" s="4"/>
      <c r="S533" s="4"/>
      <c r="T533" s="4"/>
      <c r="U533" s="4"/>
      <c r="V533" s="4"/>
    </row>
    <row x14ac:dyDescent="0.25" r="534" customHeight="1" ht="12.75">
      <c r="A534" s="4"/>
      <c r="B534" s="29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29"/>
      <c r="N534" s="29"/>
      <c r="O534" s="29"/>
      <c r="P534" s="32"/>
      <c r="Q534" s="32"/>
      <c r="R534" s="4"/>
      <c r="S534" s="4"/>
      <c r="T534" s="4"/>
      <c r="U534" s="4"/>
      <c r="V534" s="4"/>
    </row>
    <row x14ac:dyDescent="0.25" r="535" customHeight="1" ht="12.75">
      <c r="A535" s="4"/>
      <c r="B535" s="29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29"/>
      <c r="N535" s="29"/>
      <c r="O535" s="29"/>
      <c r="P535" s="32"/>
      <c r="Q535" s="32"/>
      <c r="R535" s="4"/>
      <c r="S535" s="4"/>
      <c r="T535" s="4"/>
      <c r="U535" s="4"/>
      <c r="V535" s="4"/>
    </row>
    <row x14ac:dyDescent="0.25" r="536" customHeight="1" ht="12.75">
      <c r="A536" s="4"/>
      <c r="B536" s="29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29"/>
      <c r="N536" s="29"/>
      <c r="O536" s="29"/>
      <c r="P536" s="32"/>
      <c r="Q536" s="32"/>
      <c r="R536" s="4"/>
      <c r="S536" s="4"/>
      <c r="T536" s="4"/>
      <c r="U536" s="4"/>
      <c r="V536" s="4"/>
    </row>
    <row x14ac:dyDescent="0.25" r="537" customHeight="1" ht="12.75">
      <c r="A537" s="4"/>
      <c r="B537" s="29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29"/>
      <c r="N537" s="29"/>
      <c r="O537" s="29"/>
      <c r="P537" s="32"/>
      <c r="Q537" s="32"/>
      <c r="R537" s="4"/>
      <c r="S537" s="4"/>
      <c r="T537" s="4"/>
      <c r="U537" s="4"/>
      <c r="V537" s="4"/>
    </row>
    <row x14ac:dyDescent="0.25" r="538" customHeight="1" ht="12.75">
      <c r="A538" s="4"/>
      <c r="B538" s="29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29"/>
      <c r="N538" s="29"/>
      <c r="O538" s="29"/>
      <c r="P538" s="32"/>
      <c r="Q538" s="32"/>
      <c r="R538" s="4"/>
      <c r="S538" s="4"/>
      <c r="T538" s="4"/>
      <c r="U538" s="4"/>
      <c r="V538" s="4"/>
    </row>
    <row x14ac:dyDescent="0.25" r="539" customHeight="1" ht="12.75">
      <c r="A539" s="4"/>
      <c r="B539" s="29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29"/>
      <c r="N539" s="29"/>
      <c r="O539" s="29"/>
      <c r="P539" s="32"/>
      <c r="Q539" s="32"/>
      <c r="R539" s="4"/>
      <c r="S539" s="4"/>
      <c r="T539" s="4"/>
      <c r="U539" s="4"/>
      <c r="V539" s="4"/>
    </row>
    <row x14ac:dyDescent="0.25" r="540" customHeight="1" ht="12.75">
      <c r="A540" s="4"/>
      <c r="B540" s="29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29"/>
      <c r="N540" s="29"/>
      <c r="O540" s="29"/>
      <c r="P540" s="32"/>
      <c r="Q540" s="32"/>
      <c r="R540" s="4"/>
      <c r="S540" s="4"/>
      <c r="T540" s="4"/>
      <c r="U540" s="4"/>
      <c r="V540" s="4"/>
    </row>
    <row x14ac:dyDescent="0.25" r="541" customHeight="1" ht="12.75">
      <c r="A541" s="4"/>
      <c r="B541" s="29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29"/>
      <c r="N541" s="29"/>
      <c r="O541" s="29"/>
      <c r="P541" s="32"/>
      <c r="Q541" s="32"/>
      <c r="R541" s="4"/>
      <c r="S541" s="4"/>
      <c r="T541" s="4"/>
      <c r="U541" s="4"/>
      <c r="V541" s="4"/>
    </row>
    <row x14ac:dyDescent="0.25" r="542" customHeight="1" ht="12.75">
      <c r="A542" s="4"/>
      <c r="B542" s="29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29"/>
      <c r="N542" s="29"/>
      <c r="O542" s="29"/>
      <c r="P542" s="32"/>
      <c r="Q542" s="32"/>
      <c r="R542" s="4"/>
      <c r="S542" s="4"/>
      <c r="T542" s="4"/>
      <c r="U542" s="4"/>
      <c r="V542" s="4"/>
    </row>
    <row x14ac:dyDescent="0.25" r="543" customHeight="1" ht="12.75">
      <c r="A543" s="4"/>
      <c r="B543" s="29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29"/>
      <c r="N543" s="29"/>
      <c r="O543" s="29"/>
      <c r="P543" s="32"/>
      <c r="Q543" s="32"/>
      <c r="R543" s="4"/>
      <c r="S543" s="4"/>
      <c r="T543" s="4"/>
      <c r="U543" s="4"/>
      <c r="V543" s="4"/>
    </row>
    <row x14ac:dyDescent="0.25" r="544" customHeight="1" ht="12.75">
      <c r="A544" s="4"/>
      <c r="B544" s="29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29"/>
      <c r="N544" s="29"/>
      <c r="O544" s="29"/>
      <c r="P544" s="32"/>
      <c r="Q544" s="32"/>
      <c r="R544" s="4"/>
      <c r="S544" s="4"/>
      <c r="T544" s="4"/>
      <c r="U544" s="4"/>
      <c r="V544" s="4"/>
    </row>
    <row x14ac:dyDescent="0.25" r="545" customHeight="1" ht="12.75">
      <c r="A545" s="4"/>
      <c r="B545" s="29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29"/>
      <c r="N545" s="29"/>
      <c r="O545" s="29"/>
      <c r="P545" s="32"/>
      <c r="Q545" s="32"/>
      <c r="R545" s="4"/>
      <c r="S545" s="4"/>
      <c r="T545" s="4"/>
      <c r="U545" s="4"/>
      <c r="V545" s="4"/>
    </row>
    <row x14ac:dyDescent="0.25" r="546" customHeight="1" ht="12.75">
      <c r="A546" s="4"/>
      <c r="B546" s="29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29"/>
      <c r="N546" s="29"/>
      <c r="O546" s="29"/>
      <c r="P546" s="32"/>
      <c r="Q546" s="32"/>
      <c r="R546" s="4"/>
      <c r="S546" s="4"/>
      <c r="T546" s="4"/>
      <c r="U546" s="4"/>
      <c r="V546" s="4"/>
    </row>
    <row x14ac:dyDescent="0.25" r="547" customHeight="1" ht="12.75">
      <c r="A547" s="4"/>
      <c r="B547" s="29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29"/>
      <c r="N547" s="29"/>
      <c r="O547" s="29"/>
      <c r="P547" s="32"/>
      <c r="Q547" s="32"/>
      <c r="R547" s="4"/>
      <c r="S547" s="4"/>
      <c r="T547" s="4"/>
      <c r="U547" s="4"/>
      <c r="V547" s="4"/>
    </row>
    <row x14ac:dyDescent="0.25" r="548" customHeight="1" ht="12.75">
      <c r="A548" s="4"/>
      <c r="B548" s="29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29"/>
      <c r="N548" s="29"/>
      <c r="O548" s="29"/>
      <c r="P548" s="32"/>
      <c r="Q548" s="32"/>
      <c r="R548" s="4"/>
      <c r="S548" s="4"/>
      <c r="T548" s="4"/>
      <c r="U548" s="4"/>
      <c r="V548" s="4"/>
    </row>
    <row x14ac:dyDescent="0.25" r="549" customHeight="1" ht="12.75">
      <c r="A549" s="4"/>
      <c r="B549" s="29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29"/>
      <c r="N549" s="29"/>
      <c r="O549" s="29"/>
      <c r="P549" s="32"/>
      <c r="Q549" s="32"/>
      <c r="R549" s="4"/>
      <c r="S549" s="4"/>
      <c r="T549" s="4"/>
      <c r="U549" s="4"/>
      <c r="V549" s="4"/>
    </row>
    <row x14ac:dyDescent="0.25" r="550" customHeight="1" ht="12.75">
      <c r="A550" s="4"/>
      <c r="B550" s="29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29"/>
      <c r="N550" s="29"/>
      <c r="O550" s="29"/>
      <c r="P550" s="32"/>
      <c r="Q550" s="32"/>
      <c r="R550" s="4"/>
      <c r="S550" s="4"/>
      <c r="T550" s="4"/>
      <c r="U550" s="4"/>
      <c r="V550" s="4"/>
    </row>
    <row x14ac:dyDescent="0.25" r="551" customHeight="1" ht="12.75">
      <c r="A551" s="4"/>
      <c r="B551" s="29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29"/>
      <c r="N551" s="29"/>
      <c r="O551" s="29"/>
      <c r="P551" s="32"/>
      <c r="Q551" s="32"/>
      <c r="R551" s="4"/>
      <c r="S551" s="4"/>
      <c r="T551" s="4"/>
      <c r="U551" s="4"/>
      <c r="V551" s="4"/>
    </row>
    <row x14ac:dyDescent="0.25" r="552" customHeight="1" ht="12.75">
      <c r="A552" s="4"/>
      <c r="B552" s="29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29"/>
      <c r="N552" s="29"/>
      <c r="O552" s="29"/>
      <c r="P552" s="32"/>
      <c r="Q552" s="32"/>
      <c r="R552" s="4"/>
      <c r="S552" s="4"/>
      <c r="T552" s="4"/>
      <c r="U552" s="4"/>
      <c r="V552" s="4"/>
    </row>
    <row x14ac:dyDescent="0.25" r="553" customHeight="1" ht="12.75">
      <c r="A553" s="4"/>
      <c r="B553" s="29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29"/>
      <c r="N553" s="29"/>
      <c r="O553" s="29"/>
      <c r="P553" s="32"/>
      <c r="Q553" s="32"/>
      <c r="R553" s="4"/>
      <c r="S553" s="4"/>
      <c r="T553" s="4"/>
      <c r="U553" s="4"/>
      <c r="V553" s="4"/>
    </row>
    <row x14ac:dyDescent="0.25" r="554" customHeight="1" ht="12.75">
      <c r="A554" s="4"/>
      <c r="B554" s="29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29"/>
      <c r="N554" s="29"/>
      <c r="O554" s="29"/>
      <c r="P554" s="32"/>
      <c r="Q554" s="32"/>
      <c r="R554" s="4"/>
      <c r="S554" s="4"/>
      <c r="T554" s="4"/>
      <c r="U554" s="4"/>
      <c r="V554" s="4"/>
    </row>
    <row x14ac:dyDescent="0.25" r="555" customHeight="1" ht="12.75">
      <c r="A555" s="4"/>
      <c r="B555" s="29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29"/>
      <c r="N555" s="29"/>
      <c r="O555" s="29"/>
      <c r="P555" s="32"/>
      <c r="Q555" s="32"/>
      <c r="R555" s="4"/>
      <c r="S555" s="4"/>
      <c r="T555" s="4"/>
      <c r="U555" s="4"/>
      <c r="V555" s="4"/>
    </row>
    <row x14ac:dyDescent="0.25" r="556" customHeight="1" ht="12.75">
      <c r="A556" s="4"/>
      <c r="B556" s="29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29"/>
      <c r="N556" s="29"/>
      <c r="O556" s="29"/>
      <c r="P556" s="32"/>
      <c r="Q556" s="32"/>
      <c r="R556" s="4"/>
      <c r="S556" s="4"/>
      <c r="T556" s="4"/>
      <c r="U556" s="4"/>
      <c r="V556" s="4"/>
    </row>
    <row x14ac:dyDescent="0.25" r="557" customHeight="1" ht="12.75">
      <c r="A557" s="4"/>
      <c r="B557" s="29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29"/>
      <c r="N557" s="29"/>
      <c r="O557" s="29"/>
      <c r="P557" s="32"/>
      <c r="Q557" s="32"/>
      <c r="R557" s="4"/>
      <c r="S557" s="4"/>
      <c r="T557" s="4"/>
      <c r="U557" s="4"/>
      <c r="V557" s="4"/>
    </row>
    <row x14ac:dyDescent="0.25" r="558" customHeight="1" ht="12.75">
      <c r="A558" s="4"/>
      <c r="B558" s="29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29"/>
      <c r="N558" s="29"/>
      <c r="O558" s="29"/>
      <c r="P558" s="32"/>
      <c r="Q558" s="32"/>
      <c r="R558" s="4"/>
      <c r="S558" s="4"/>
      <c r="T558" s="4"/>
      <c r="U558" s="4"/>
      <c r="V558" s="4"/>
    </row>
    <row x14ac:dyDescent="0.25" r="559" customHeight="1" ht="12.75">
      <c r="A559" s="4"/>
      <c r="B559" s="29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29"/>
      <c r="N559" s="29"/>
      <c r="O559" s="29"/>
      <c r="P559" s="32"/>
      <c r="Q559" s="32"/>
      <c r="R559" s="4"/>
      <c r="S559" s="4"/>
      <c r="T559" s="4"/>
      <c r="U559" s="4"/>
      <c r="V559" s="4"/>
    </row>
    <row x14ac:dyDescent="0.25" r="560" customHeight="1" ht="12.75">
      <c r="A560" s="4"/>
      <c r="B560" s="29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29"/>
      <c r="N560" s="29"/>
      <c r="O560" s="29"/>
      <c r="P560" s="32"/>
      <c r="Q560" s="32"/>
      <c r="R560" s="4"/>
      <c r="S560" s="4"/>
      <c r="T560" s="4"/>
      <c r="U560" s="4"/>
      <c r="V560" s="4"/>
    </row>
    <row x14ac:dyDescent="0.25" r="561" customHeight="1" ht="12.75">
      <c r="A561" s="4"/>
      <c r="B561" s="29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29"/>
      <c r="N561" s="29"/>
      <c r="O561" s="29"/>
      <c r="P561" s="32"/>
      <c r="Q561" s="32"/>
      <c r="R561" s="4"/>
      <c r="S561" s="4"/>
      <c r="T561" s="4"/>
      <c r="U561" s="4"/>
      <c r="V561" s="4"/>
    </row>
    <row x14ac:dyDescent="0.25" r="562" customHeight="1" ht="12.75">
      <c r="A562" s="4"/>
      <c r="B562" s="29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29"/>
      <c r="N562" s="29"/>
      <c r="O562" s="29"/>
      <c r="P562" s="32"/>
      <c r="Q562" s="32"/>
      <c r="R562" s="4"/>
      <c r="S562" s="4"/>
      <c r="T562" s="4"/>
      <c r="U562" s="4"/>
      <c r="V562" s="4"/>
    </row>
    <row x14ac:dyDescent="0.25" r="563" customHeight="1" ht="12.75">
      <c r="A563" s="4"/>
      <c r="B563" s="29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29"/>
      <c r="N563" s="29"/>
      <c r="O563" s="29"/>
      <c r="P563" s="32"/>
      <c r="Q563" s="32"/>
      <c r="R563" s="4"/>
      <c r="S563" s="4"/>
      <c r="T563" s="4"/>
      <c r="U563" s="4"/>
      <c r="V563" s="4"/>
    </row>
    <row x14ac:dyDescent="0.25" r="564" customHeight="1" ht="12.75">
      <c r="A564" s="4"/>
      <c r="B564" s="29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29"/>
      <c r="N564" s="29"/>
      <c r="O564" s="29"/>
      <c r="P564" s="32"/>
      <c r="Q564" s="32"/>
      <c r="R564" s="4"/>
      <c r="S564" s="4"/>
      <c r="T564" s="4"/>
      <c r="U564" s="4"/>
      <c r="V564" s="4"/>
    </row>
    <row x14ac:dyDescent="0.25" r="565" customHeight="1" ht="12.75">
      <c r="A565" s="4"/>
      <c r="B565" s="29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29"/>
      <c r="N565" s="29"/>
      <c r="O565" s="29"/>
      <c r="P565" s="32"/>
      <c r="Q565" s="32"/>
      <c r="R565" s="4"/>
      <c r="S565" s="4"/>
      <c r="T565" s="4"/>
      <c r="U565" s="4"/>
      <c r="V565" s="4"/>
    </row>
    <row x14ac:dyDescent="0.25" r="566" customHeight="1" ht="12.75">
      <c r="A566" s="4"/>
      <c r="B566" s="29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29"/>
      <c r="N566" s="29"/>
      <c r="O566" s="29"/>
      <c r="P566" s="32"/>
      <c r="Q566" s="32"/>
      <c r="R566" s="4"/>
      <c r="S566" s="4"/>
      <c r="T566" s="4"/>
      <c r="U566" s="4"/>
      <c r="V566" s="4"/>
    </row>
    <row x14ac:dyDescent="0.25" r="567" customHeight="1" ht="12.75">
      <c r="A567" s="4"/>
      <c r="B567" s="29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29"/>
      <c r="N567" s="29"/>
      <c r="O567" s="29"/>
      <c r="P567" s="32"/>
      <c r="Q567" s="32"/>
      <c r="R567" s="4"/>
      <c r="S567" s="4"/>
      <c r="T567" s="4"/>
      <c r="U567" s="4"/>
      <c r="V567" s="4"/>
    </row>
    <row x14ac:dyDescent="0.25" r="568" customHeight="1" ht="12.75">
      <c r="A568" s="4"/>
      <c r="B568" s="29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29"/>
      <c r="N568" s="29"/>
      <c r="O568" s="29"/>
      <c r="P568" s="32"/>
      <c r="Q568" s="32"/>
      <c r="R568" s="4"/>
      <c r="S568" s="4"/>
      <c r="T568" s="4"/>
      <c r="U568" s="4"/>
      <c r="V568" s="4"/>
    </row>
    <row x14ac:dyDescent="0.25" r="569" customHeight="1" ht="12.75">
      <c r="A569" s="4"/>
      <c r="B569" s="29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29"/>
      <c r="N569" s="29"/>
      <c r="O569" s="29"/>
      <c r="P569" s="32"/>
      <c r="Q569" s="32"/>
      <c r="R569" s="4"/>
      <c r="S569" s="4"/>
      <c r="T569" s="4"/>
      <c r="U569" s="4"/>
      <c r="V569" s="4"/>
    </row>
    <row x14ac:dyDescent="0.25" r="570" customHeight="1" ht="12.75">
      <c r="A570" s="4"/>
      <c r="B570" s="29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29"/>
      <c r="N570" s="29"/>
      <c r="O570" s="29"/>
      <c r="P570" s="32"/>
      <c r="Q570" s="32"/>
      <c r="R570" s="4"/>
      <c r="S570" s="4"/>
      <c r="T570" s="4"/>
      <c r="U570" s="4"/>
      <c r="V570" s="4"/>
    </row>
    <row x14ac:dyDescent="0.25" r="571" customHeight="1" ht="12.75">
      <c r="A571" s="4"/>
      <c r="B571" s="29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29"/>
      <c r="N571" s="29"/>
      <c r="O571" s="29"/>
      <c r="P571" s="32"/>
      <c r="Q571" s="32"/>
      <c r="R571" s="4"/>
      <c r="S571" s="4"/>
      <c r="T571" s="4"/>
      <c r="U571" s="4"/>
      <c r="V571" s="4"/>
    </row>
    <row x14ac:dyDescent="0.25" r="572" customHeight="1" ht="12.75">
      <c r="A572" s="4"/>
      <c r="B572" s="29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29"/>
      <c r="N572" s="29"/>
      <c r="O572" s="29"/>
      <c r="P572" s="32"/>
      <c r="Q572" s="32"/>
      <c r="R572" s="4"/>
      <c r="S572" s="4"/>
      <c r="T572" s="4"/>
      <c r="U572" s="4"/>
      <c r="V572" s="4"/>
    </row>
    <row x14ac:dyDescent="0.25" r="573" customHeight="1" ht="12.75">
      <c r="A573" s="4"/>
      <c r="B573" s="29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29"/>
      <c r="N573" s="29"/>
      <c r="O573" s="29"/>
      <c r="P573" s="32"/>
      <c r="Q573" s="32"/>
      <c r="R573" s="4"/>
      <c r="S573" s="4"/>
      <c r="T573" s="4"/>
      <c r="U573" s="4"/>
      <c r="V573" s="4"/>
    </row>
    <row x14ac:dyDescent="0.25" r="574" customHeight="1" ht="12.75">
      <c r="A574" s="4"/>
      <c r="B574" s="29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29"/>
      <c r="N574" s="29"/>
      <c r="O574" s="29"/>
      <c r="P574" s="32"/>
      <c r="Q574" s="32"/>
      <c r="R574" s="4"/>
      <c r="S574" s="4"/>
      <c r="T574" s="4"/>
      <c r="U574" s="4"/>
      <c r="V574" s="4"/>
    </row>
    <row x14ac:dyDescent="0.25" r="575" customHeight="1" ht="12.75">
      <c r="A575" s="4"/>
      <c r="B575" s="29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29"/>
      <c r="N575" s="29"/>
      <c r="O575" s="29"/>
      <c r="P575" s="32"/>
      <c r="Q575" s="32"/>
      <c r="R575" s="4"/>
      <c r="S575" s="4"/>
      <c r="T575" s="4"/>
      <c r="U575" s="4"/>
      <c r="V575" s="4"/>
    </row>
    <row x14ac:dyDescent="0.25" r="576" customHeight="1" ht="12.75">
      <c r="A576" s="4"/>
      <c r="B576" s="29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29"/>
      <c r="N576" s="29"/>
      <c r="O576" s="29"/>
      <c r="P576" s="32"/>
      <c r="Q576" s="32"/>
      <c r="R576" s="4"/>
      <c r="S576" s="4"/>
      <c r="T576" s="4"/>
      <c r="U576" s="4"/>
      <c r="V576" s="4"/>
    </row>
    <row x14ac:dyDescent="0.25" r="577" customHeight="1" ht="12.75">
      <c r="A577" s="4"/>
      <c r="B577" s="29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29"/>
      <c r="N577" s="29"/>
      <c r="O577" s="29"/>
      <c r="P577" s="32"/>
      <c r="Q577" s="32"/>
      <c r="R577" s="4"/>
      <c r="S577" s="4"/>
      <c r="T577" s="4"/>
      <c r="U577" s="4"/>
      <c r="V577" s="4"/>
    </row>
    <row x14ac:dyDescent="0.25" r="578" customHeight="1" ht="12.75">
      <c r="A578" s="4"/>
      <c r="B578" s="29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29"/>
      <c r="N578" s="29"/>
      <c r="O578" s="29"/>
      <c r="P578" s="32"/>
      <c r="Q578" s="32"/>
      <c r="R578" s="4"/>
      <c r="S578" s="4"/>
      <c r="T578" s="4"/>
      <c r="U578" s="4"/>
      <c r="V578" s="4"/>
    </row>
    <row x14ac:dyDescent="0.25" r="579" customHeight="1" ht="12.75">
      <c r="A579" s="4"/>
      <c r="B579" s="29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29"/>
      <c r="N579" s="29"/>
      <c r="O579" s="29"/>
      <c r="P579" s="32"/>
      <c r="Q579" s="32"/>
      <c r="R579" s="4"/>
      <c r="S579" s="4"/>
      <c r="T579" s="4"/>
      <c r="U579" s="4"/>
      <c r="V579" s="4"/>
    </row>
    <row x14ac:dyDescent="0.25" r="580" customHeight="1" ht="12.75">
      <c r="A580" s="4"/>
      <c r="B580" s="29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29"/>
      <c r="N580" s="29"/>
      <c r="O580" s="29"/>
      <c r="P580" s="32"/>
      <c r="Q580" s="32"/>
      <c r="R580" s="4"/>
      <c r="S580" s="4"/>
      <c r="T580" s="4"/>
      <c r="U580" s="4"/>
      <c r="V580" s="4"/>
    </row>
    <row x14ac:dyDescent="0.25" r="581" customHeight="1" ht="12.75">
      <c r="A581" s="4"/>
      <c r="B581" s="29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29"/>
      <c r="N581" s="29"/>
      <c r="O581" s="29"/>
      <c r="P581" s="32"/>
      <c r="Q581" s="32"/>
      <c r="R581" s="4"/>
      <c r="S581" s="4"/>
      <c r="T581" s="4"/>
      <c r="U581" s="4"/>
      <c r="V581" s="4"/>
    </row>
    <row x14ac:dyDescent="0.25" r="582" customHeight="1" ht="12.75">
      <c r="A582" s="4"/>
      <c r="B582" s="29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29"/>
      <c r="N582" s="29"/>
      <c r="O582" s="29"/>
      <c r="P582" s="32"/>
      <c r="Q582" s="32"/>
      <c r="R582" s="4"/>
      <c r="S582" s="4"/>
      <c r="T582" s="4"/>
      <c r="U582" s="4"/>
      <c r="V582" s="4"/>
    </row>
    <row x14ac:dyDescent="0.25" r="583" customHeight="1" ht="12.75">
      <c r="A583" s="4"/>
      <c r="B583" s="29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29"/>
      <c r="N583" s="29"/>
      <c r="O583" s="29"/>
      <c r="P583" s="32"/>
      <c r="Q583" s="32"/>
      <c r="R583" s="4"/>
      <c r="S583" s="4"/>
      <c r="T583" s="4"/>
      <c r="U583" s="4"/>
      <c r="V583" s="4"/>
    </row>
    <row x14ac:dyDescent="0.25" r="584" customHeight="1" ht="12.75">
      <c r="A584" s="4"/>
      <c r="B584" s="29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29"/>
      <c r="N584" s="29"/>
      <c r="O584" s="29"/>
      <c r="P584" s="32"/>
      <c r="Q584" s="32"/>
      <c r="R584" s="4"/>
      <c r="S584" s="4"/>
      <c r="T584" s="4"/>
      <c r="U584" s="4"/>
      <c r="V584" s="4"/>
    </row>
    <row x14ac:dyDescent="0.25" r="585" customHeight="1" ht="12.75">
      <c r="A585" s="4"/>
      <c r="B585" s="29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29"/>
      <c r="N585" s="29"/>
      <c r="O585" s="29"/>
      <c r="P585" s="32"/>
      <c r="Q585" s="32"/>
      <c r="R585" s="4"/>
      <c r="S585" s="4"/>
      <c r="T585" s="4"/>
      <c r="U585" s="4"/>
      <c r="V585" s="4"/>
    </row>
    <row x14ac:dyDescent="0.25" r="586" customHeight="1" ht="12.75">
      <c r="A586" s="4"/>
      <c r="B586" s="29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29"/>
      <c r="N586" s="29"/>
      <c r="O586" s="29"/>
      <c r="P586" s="32"/>
      <c r="Q586" s="32"/>
      <c r="R586" s="4"/>
      <c r="S586" s="4"/>
      <c r="T586" s="4"/>
      <c r="U586" s="4"/>
      <c r="V586" s="4"/>
    </row>
    <row x14ac:dyDescent="0.25" r="587" customHeight="1" ht="12.75">
      <c r="A587" s="4"/>
      <c r="B587" s="29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29"/>
      <c r="N587" s="29"/>
      <c r="O587" s="29"/>
      <c r="P587" s="32"/>
      <c r="Q587" s="32"/>
      <c r="R587" s="4"/>
      <c r="S587" s="4"/>
      <c r="T587" s="4"/>
      <c r="U587" s="4"/>
      <c r="V587" s="4"/>
    </row>
    <row x14ac:dyDescent="0.25" r="588" customHeight="1" ht="12.75">
      <c r="A588" s="4"/>
      <c r="B588" s="29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29"/>
      <c r="N588" s="29"/>
      <c r="O588" s="29"/>
      <c r="P588" s="32"/>
      <c r="Q588" s="32"/>
      <c r="R588" s="4"/>
      <c r="S588" s="4"/>
      <c r="T588" s="4"/>
      <c r="U588" s="4"/>
      <c r="V588" s="4"/>
    </row>
    <row x14ac:dyDescent="0.25" r="589" customHeight="1" ht="12.75">
      <c r="A589" s="4"/>
      <c r="B589" s="29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29"/>
      <c r="N589" s="29"/>
      <c r="O589" s="29"/>
      <c r="P589" s="32"/>
      <c r="Q589" s="32"/>
      <c r="R589" s="4"/>
      <c r="S589" s="4"/>
      <c r="T589" s="4"/>
      <c r="U589" s="4"/>
      <c r="V589" s="4"/>
    </row>
    <row x14ac:dyDescent="0.25" r="590" customHeight="1" ht="12.75">
      <c r="A590" s="4"/>
      <c r="B590" s="29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29"/>
      <c r="N590" s="29"/>
      <c r="O590" s="29"/>
      <c r="P590" s="32"/>
      <c r="Q590" s="32"/>
      <c r="R590" s="4"/>
      <c r="S590" s="4"/>
      <c r="T590" s="4"/>
      <c r="U590" s="4"/>
      <c r="V590" s="4"/>
    </row>
    <row x14ac:dyDescent="0.25" r="591" customHeight="1" ht="12.75">
      <c r="A591" s="4"/>
      <c r="B591" s="29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29"/>
      <c r="N591" s="29"/>
      <c r="O591" s="29"/>
      <c r="P591" s="32"/>
      <c r="Q591" s="32"/>
      <c r="R591" s="4"/>
      <c r="S591" s="4"/>
      <c r="T591" s="4"/>
      <c r="U591" s="4"/>
      <c r="V591" s="4"/>
    </row>
    <row x14ac:dyDescent="0.25" r="592" customHeight="1" ht="12.75">
      <c r="A592" s="4"/>
      <c r="B592" s="29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29"/>
      <c r="N592" s="29"/>
      <c r="O592" s="29"/>
      <c r="P592" s="32"/>
      <c r="Q592" s="32"/>
      <c r="R592" s="4"/>
      <c r="S592" s="4"/>
      <c r="T592" s="4"/>
      <c r="U592" s="4"/>
      <c r="V592" s="4"/>
    </row>
    <row x14ac:dyDescent="0.25" r="593" customHeight="1" ht="12.75">
      <c r="A593" s="4"/>
      <c r="B593" s="29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29"/>
      <c r="N593" s="29"/>
      <c r="O593" s="29"/>
      <c r="P593" s="32"/>
      <c r="Q593" s="32"/>
      <c r="R593" s="4"/>
      <c r="S593" s="4"/>
      <c r="T593" s="4"/>
      <c r="U593" s="4"/>
      <c r="V593" s="4"/>
    </row>
    <row x14ac:dyDescent="0.25" r="594" customHeight="1" ht="12.75">
      <c r="A594" s="4"/>
      <c r="B594" s="29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29"/>
      <c r="N594" s="29"/>
      <c r="O594" s="29"/>
      <c r="P594" s="32"/>
      <c r="Q594" s="32"/>
      <c r="R594" s="4"/>
      <c r="S594" s="4"/>
      <c r="T594" s="4"/>
      <c r="U594" s="4"/>
      <c r="V594" s="4"/>
    </row>
    <row x14ac:dyDescent="0.25" r="595" customHeight="1" ht="12.75">
      <c r="A595" s="4"/>
      <c r="B595" s="29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29"/>
      <c r="N595" s="29"/>
      <c r="O595" s="29"/>
      <c r="P595" s="32"/>
      <c r="Q595" s="32"/>
      <c r="R595" s="4"/>
      <c r="S595" s="4"/>
      <c r="T595" s="4"/>
      <c r="U595" s="4"/>
      <c r="V595" s="4"/>
    </row>
    <row x14ac:dyDescent="0.25" r="596" customHeight="1" ht="12.75">
      <c r="A596" s="4"/>
      <c r="B596" s="29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29"/>
      <c r="N596" s="29"/>
      <c r="O596" s="29"/>
      <c r="P596" s="32"/>
      <c r="Q596" s="32"/>
      <c r="R596" s="4"/>
      <c r="S596" s="4"/>
      <c r="T596" s="4"/>
      <c r="U596" s="4"/>
      <c r="V596" s="4"/>
    </row>
    <row x14ac:dyDescent="0.25" r="597" customHeight="1" ht="12.75">
      <c r="A597" s="4"/>
      <c r="B597" s="29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29"/>
      <c r="N597" s="29"/>
      <c r="O597" s="29"/>
      <c r="P597" s="32"/>
      <c r="Q597" s="32"/>
      <c r="R597" s="4"/>
      <c r="S597" s="4"/>
      <c r="T597" s="4"/>
      <c r="U597" s="4"/>
      <c r="V597" s="4"/>
    </row>
    <row x14ac:dyDescent="0.25" r="598" customHeight="1" ht="12.75">
      <c r="A598" s="4"/>
      <c r="B598" s="29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29"/>
      <c r="N598" s="29"/>
      <c r="O598" s="29"/>
      <c r="P598" s="32"/>
      <c r="Q598" s="32"/>
      <c r="R598" s="4"/>
      <c r="S598" s="4"/>
      <c r="T598" s="4"/>
      <c r="U598" s="4"/>
      <c r="V598" s="4"/>
    </row>
    <row x14ac:dyDescent="0.25" r="599" customHeight="1" ht="12.75">
      <c r="A599" s="4"/>
      <c r="B599" s="29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29"/>
      <c r="N599" s="29"/>
      <c r="O599" s="29"/>
      <c r="P599" s="32"/>
      <c r="Q599" s="32"/>
      <c r="R599" s="4"/>
      <c r="S599" s="4"/>
      <c r="T599" s="4"/>
      <c r="U599" s="4"/>
      <c r="V599" s="4"/>
    </row>
    <row x14ac:dyDescent="0.25" r="600" customHeight="1" ht="12.75">
      <c r="A600" s="4"/>
      <c r="B600" s="29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29"/>
      <c r="N600" s="29"/>
      <c r="O600" s="29"/>
      <c r="P600" s="32"/>
      <c r="Q600" s="32"/>
      <c r="R600" s="4"/>
      <c r="S600" s="4"/>
      <c r="T600" s="4"/>
      <c r="U600" s="4"/>
      <c r="V600" s="4"/>
    </row>
    <row x14ac:dyDescent="0.25" r="601" customHeight="1" ht="12.75">
      <c r="A601" s="4"/>
      <c r="B601" s="29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29"/>
      <c r="N601" s="29"/>
      <c r="O601" s="29"/>
      <c r="P601" s="32"/>
      <c r="Q601" s="32"/>
      <c r="R601" s="4"/>
      <c r="S601" s="4"/>
      <c r="T601" s="4"/>
      <c r="U601" s="4"/>
      <c r="V601" s="4"/>
    </row>
    <row x14ac:dyDescent="0.25" r="602" customHeight="1" ht="12.75">
      <c r="A602" s="4"/>
      <c r="B602" s="29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29"/>
      <c r="N602" s="29"/>
      <c r="O602" s="29"/>
      <c r="P602" s="32"/>
      <c r="Q602" s="32"/>
      <c r="R602" s="4"/>
      <c r="S602" s="4"/>
      <c r="T602" s="4"/>
      <c r="U602" s="4"/>
      <c r="V602" s="4"/>
    </row>
    <row x14ac:dyDescent="0.25" r="603" customHeight="1" ht="12.75">
      <c r="A603" s="4"/>
      <c r="B603" s="29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29"/>
      <c r="N603" s="29"/>
      <c r="O603" s="29"/>
      <c r="P603" s="32"/>
      <c r="Q603" s="32"/>
      <c r="R603" s="4"/>
      <c r="S603" s="4"/>
      <c r="T603" s="4"/>
      <c r="U603" s="4"/>
      <c r="V603" s="4"/>
    </row>
    <row x14ac:dyDescent="0.25" r="604" customHeight="1" ht="12.75">
      <c r="A604" s="4"/>
      <c r="B604" s="29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29"/>
      <c r="N604" s="29"/>
      <c r="O604" s="29"/>
      <c r="P604" s="32"/>
      <c r="Q604" s="32"/>
      <c r="R604" s="4"/>
      <c r="S604" s="4"/>
      <c r="T604" s="4"/>
      <c r="U604" s="4"/>
      <c r="V604" s="4"/>
    </row>
    <row x14ac:dyDescent="0.25" r="605" customHeight="1" ht="12.75">
      <c r="A605" s="4"/>
      <c r="B605" s="29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29"/>
      <c r="N605" s="29"/>
      <c r="O605" s="29"/>
      <c r="P605" s="32"/>
      <c r="Q605" s="32"/>
      <c r="R605" s="4"/>
      <c r="S605" s="4"/>
      <c r="T605" s="4"/>
      <c r="U605" s="4"/>
      <c r="V605" s="4"/>
    </row>
    <row x14ac:dyDescent="0.25" r="606" customHeight="1" ht="12.75">
      <c r="A606" s="4"/>
      <c r="B606" s="29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29"/>
      <c r="N606" s="29"/>
      <c r="O606" s="29"/>
      <c r="P606" s="32"/>
      <c r="Q606" s="32"/>
      <c r="R606" s="4"/>
      <c r="S606" s="4"/>
      <c r="T606" s="4"/>
      <c r="U606" s="4"/>
      <c r="V606" s="4"/>
    </row>
    <row x14ac:dyDescent="0.25" r="607" customHeight="1" ht="12.75">
      <c r="A607" s="4"/>
      <c r="B607" s="29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29"/>
      <c r="N607" s="29"/>
      <c r="O607" s="29"/>
      <c r="P607" s="32"/>
      <c r="Q607" s="32"/>
      <c r="R607" s="4"/>
      <c r="S607" s="4"/>
      <c r="T607" s="4"/>
      <c r="U607" s="4"/>
      <c r="V607" s="4"/>
    </row>
    <row x14ac:dyDescent="0.25" r="608" customHeight="1" ht="12.75">
      <c r="A608" s="4"/>
      <c r="B608" s="29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29"/>
      <c r="N608" s="29"/>
      <c r="O608" s="29"/>
      <c r="P608" s="32"/>
      <c r="Q608" s="32"/>
      <c r="R608" s="4"/>
      <c r="S608" s="4"/>
      <c r="T608" s="4"/>
      <c r="U608" s="4"/>
      <c r="V608" s="4"/>
    </row>
    <row x14ac:dyDescent="0.25" r="609" customHeight="1" ht="12.75">
      <c r="A609" s="4"/>
      <c r="B609" s="29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29"/>
      <c r="N609" s="29"/>
      <c r="O609" s="29"/>
      <c r="P609" s="32"/>
      <c r="Q609" s="32"/>
      <c r="R609" s="4"/>
      <c r="S609" s="4"/>
      <c r="T609" s="4"/>
      <c r="U609" s="4"/>
      <c r="V609" s="4"/>
    </row>
    <row x14ac:dyDescent="0.25" r="610" customHeight="1" ht="12.75">
      <c r="A610" s="4"/>
      <c r="B610" s="29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29"/>
      <c r="N610" s="29"/>
      <c r="O610" s="29"/>
      <c r="P610" s="32"/>
      <c r="Q610" s="32"/>
      <c r="R610" s="4"/>
      <c r="S610" s="4"/>
      <c r="T610" s="4"/>
      <c r="U610" s="4"/>
      <c r="V610" s="4"/>
    </row>
    <row x14ac:dyDescent="0.25" r="611" customHeight="1" ht="12.75">
      <c r="A611" s="4"/>
      <c r="B611" s="29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29"/>
      <c r="N611" s="29"/>
      <c r="O611" s="29"/>
      <c r="P611" s="32"/>
      <c r="Q611" s="32"/>
      <c r="R611" s="4"/>
      <c r="S611" s="4"/>
      <c r="T611" s="4"/>
      <c r="U611" s="4"/>
      <c r="V611" s="4"/>
    </row>
    <row x14ac:dyDescent="0.25" r="612" customHeight="1" ht="12.75">
      <c r="A612" s="4"/>
      <c r="B612" s="29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29"/>
      <c r="N612" s="29"/>
      <c r="O612" s="29"/>
      <c r="P612" s="32"/>
      <c r="Q612" s="32"/>
      <c r="R612" s="4"/>
      <c r="S612" s="4"/>
      <c r="T612" s="4"/>
      <c r="U612" s="4"/>
      <c r="V612" s="4"/>
    </row>
    <row x14ac:dyDescent="0.25" r="613" customHeight="1" ht="12.75">
      <c r="A613" s="4"/>
      <c r="B613" s="29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29"/>
      <c r="N613" s="29"/>
      <c r="O613" s="29"/>
      <c r="P613" s="32"/>
      <c r="Q613" s="32"/>
      <c r="R613" s="4"/>
      <c r="S613" s="4"/>
      <c r="T613" s="4"/>
      <c r="U613" s="4"/>
      <c r="V613" s="4"/>
    </row>
    <row x14ac:dyDescent="0.25" r="614" customHeight="1" ht="12.75">
      <c r="A614" s="4"/>
      <c r="B614" s="29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29"/>
      <c r="N614" s="29"/>
      <c r="O614" s="29"/>
      <c r="P614" s="32"/>
      <c r="Q614" s="32"/>
      <c r="R614" s="4"/>
      <c r="S614" s="4"/>
      <c r="T614" s="4"/>
      <c r="U614" s="4"/>
      <c r="V614" s="4"/>
    </row>
    <row x14ac:dyDescent="0.25" r="615" customHeight="1" ht="12.75">
      <c r="A615" s="4"/>
      <c r="B615" s="29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29"/>
      <c r="N615" s="29"/>
      <c r="O615" s="29"/>
      <c r="P615" s="32"/>
      <c r="Q615" s="32"/>
      <c r="R615" s="4"/>
      <c r="S615" s="4"/>
      <c r="T615" s="4"/>
      <c r="U615" s="4"/>
      <c r="V615" s="4"/>
    </row>
    <row x14ac:dyDescent="0.25" r="616" customHeight="1" ht="12.75">
      <c r="A616" s="4"/>
      <c r="B616" s="29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29"/>
      <c r="N616" s="29"/>
      <c r="O616" s="29"/>
      <c r="P616" s="32"/>
      <c r="Q616" s="32"/>
      <c r="R616" s="4"/>
      <c r="S616" s="4"/>
      <c r="T616" s="4"/>
      <c r="U616" s="4"/>
      <c r="V616" s="4"/>
    </row>
    <row x14ac:dyDescent="0.25" r="617" customHeight="1" ht="12.75">
      <c r="A617" s="4"/>
      <c r="B617" s="29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29"/>
      <c r="N617" s="29"/>
      <c r="O617" s="29"/>
      <c r="P617" s="32"/>
      <c r="Q617" s="32"/>
      <c r="R617" s="4"/>
      <c r="S617" s="4"/>
      <c r="T617" s="4"/>
      <c r="U617" s="4"/>
      <c r="V617" s="4"/>
    </row>
    <row x14ac:dyDescent="0.25" r="618" customHeight="1" ht="12.75">
      <c r="A618" s="4"/>
      <c r="B618" s="29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29"/>
      <c r="N618" s="29"/>
      <c r="O618" s="29"/>
      <c r="P618" s="32"/>
      <c r="Q618" s="32"/>
      <c r="R618" s="4"/>
      <c r="S618" s="4"/>
      <c r="T618" s="4"/>
      <c r="U618" s="4"/>
      <c r="V618" s="4"/>
    </row>
    <row x14ac:dyDescent="0.25" r="619" customHeight="1" ht="12.75">
      <c r="A619" s="4"/>
      <c r="B619" s="29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29"/>
      <c r="N619" s="29"/>
      <c r="O619" s="29"/>
      <c r="P619" s="32"/>
      <c r="Q619" s="32"/>
      <c r="R619" s="4"/>
      <c r="S619" s="4"/>
      <c r="T619" s="4"/>
      <c r="U619" s="4"/>
      <c r="V619" s="4"/>
    </row>
    <row x14ac:dyDescent="0.25" r="620" customHeight="1" ht="12.75">
      <c r="A620" s="4"/>
      <c r="B620" s="29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29"/>
      <c r="N620" s="29"/>
      <c r="O620" s="29"/>
      <c r="P620" s="32"/>
      <c r="Q620" s="32"/>
      <c r="R620" s="4"/>
      <c r="S620" s="4"/>
      <c r="T620" s="4"/>
      <c r="U620" s="4"/>
      <c r="V620" s="4"/>
    </row>
    <row x14ac:dyDescent="0.25" r="621" customHeight="1" ht="12.75">
      <c r="A621" s="4"/>
      <c r="B621" s="29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29"/>
      <c r="N621" s="29"/>
      <c r="O621" s="29"/>
      <c r="P621" s="32"/>
      <c r="Q621" s="32"/>
      <c r="R621" s="4"/>
      <c r="S621" s="4"/>
      <c r="T621" s="4"/>
      <c r="U621" s="4"/>
      <c r="V621" s="4"/>
    </row>
    <row x14ac:dyDescent="0.25" r="622" customHeight="1" ht="12.75">
      <c r="A622" s="4"/>
      <c r="B622" s="29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29"/>
      <c r="N622" s="29"/>
      <c r="O622" s="29"/>
      <c r="P622" s="32"/>
      <c r="Q622" s="32"/>
      <c r="R622" s="4"/>
      <c r="S622" s="4"/>
      <c r="T622" s="4"/>
      <c r="U622" s="4"/>
      <c r="V622" s="4"/>
    </row>
    <row x14ac:dyDescent="0.25" r="623" customHeight="1" ht="12.75">
      <c r="A623" s="4"/>
      <c r="B623" s="29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29"/>
      <c r="N623" s="29"/>
      <c r="O623" s="29"/>
      <c r="P623" s="32"/>
      <c r="Q623" s="32"/>
      <c r="R623" s="4"/>
      <c r="S623" s="4"/>
      <c r="T623" s="4"/>
      <c r="U623" s="4"/>
      <c r="V623" s="4"/>
    </row>
    <row x14ac:dyDescent="0.25" r="624" customHeight="1" ht="12.75">
      <c r="A624" s="4"/>
      <c r="B624" s="29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29"/>
      <c r="N624" s="29"/>
      <c r="O624" s="29"/>
      <c r="P624" s="32"/>
      <c r="Q624" s="32"/>
      <c r="R624" s="4"/>
      <c r="S624" s="4"/>
      <c r="T624" s="4"/>
      <c r="U624" s="4"/>
      <c r="V624" s="4"/>
    </row>
    <row x14ac:dyDescent="0.25" r="625" customHeight="1" ht="12.75">
      <c r="A625" s="4"/>
      <c r="B625" s="29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29"/>
      <c r="N625" s="29"/>
      <c r="O625" s="29"/>
      <c r="P625" s="32"/>
      <c r="Q625" s="32"/>
      <c r="R625" s="4"/>
      <c r="S625" s="4"/>
      <c r="T625" s="4"/>
      <c r="U625" s="4"/>
      <c r="V625" s="4"/>
    </row>
    <row x14ac:dyDescent="0.25" r="626" customHeight="1" ht="12.75">
      <c r="A626" s="4"/>
      <c r="B626" s="29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29"/>
      <c r="N626" s="29"/>
      <c r="O626" s="29"/>
      <c r="P626" s="32"/>
      <c r="Q626" s="32"/>
      <c r="R626" s="4"/>
      <c r="S626" s="4"/>
      <c r="T626" s="4"/>
      <c r="U626" s="4"/>
      <c r="V626" s="4"/>
    </row>
    <row x14ac:dyDescent="0.25" r="627" customHeight="1" ht="12.75">
      <c r="A627" s="4"/>
      <c r="B627" s="29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29"/>
      <c r="N627" s="29"/>
      <c r="O627" s="29"/>
      <c r="P627" s="32"/>
      <c r="Q627" s="32"/>
      <c r="R627" s="4"/>
      <c r="S627" s="4"/>
      <c r="T627" s="4"/>
      <c r="U627" s="4"/>
      <c r="V627" s="4"/>
    </row>
    <row x14ac:dyDescent="0.25" r="628" customHeight="1" ht="12.75">
      <c r="A628" s="4"/>
      <c r="B628" s="29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29"/>
      <c r="N628" s="29"/>
      <c r="O628" s="29"/>
      <c r="P628" s="32"/>
      <c r="Q628" s="32"/>
      <c r="R628" s="4"/>
      <c r="S628" s="4"/>
      <c r="T628" s="4"/>
      <c r="U628" s="4"/>
      <c r="V628" s="4"/>
    </row>
    <row x14ac:dyDescent="0.25" r="629" customHeight="1" ht="12.75">
      <c r="A629" s="4"/>
      <c r="B629" s="29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29"/>
      <c r="N629" s="29"/>
      <c r="O629" s="29"/>
      <c r="P629" s="32"/>
      <c r="Q629" s="32"/>
      <c r="R629" s="4"/>
      <c r="S629" s="4"/>
      <c r="T629" s="4"/>
      <c r="U629" s="4"/>
      <c r="V629" s="4"/>
    </row>
    <row x14ac:dyDescent="0.25" r="630" customHeight="1" ht="12.75">
      <c r="A630" s="4"/>
      <c r="B630" s="29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29"/>
      <c r="N630" s="29"/>
      <c r="O630" s="29"/>
      <c r="P630" s="32"/>
      <c r="Q630" s="32"/>
      <c r="R630" s="4"/>
      <c r="S630" s="4"/>
      <c r="T630" s="4"/>
      <c r="U630" s="4"/>
      <c r="V630" s="4"/>
    </row>
    <row x14ac:dyDescent="0.25" r="631" customHeight="1" ht="12.75">
      <c r="A631" s="4"/>
      <c r="B631" s="29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29"/>
      <c r="N631" s="29"/>
      <c r="O631" s="29"/>
      <c r="P631" s="32"/>
      <c r="Q631" s="32"/>
      <c r="R631" s="4"/>
      <c r="S631" s="4"/>
      <c r="T631" s="4"/>
      <c r="U631" s="4"/>
      <c r="V631" s="4"/>
    </row>
    <row x14ac:dyDescent="0.25" r="632" customHeight="1" ht="12.75">
      <c r="A632" s="4"/>
      <c r="B632" s="29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29"/>
      <c r="N632" s="29"/>
      <c r="O632" s="29"/>
      <c r="P632" s="32"/>
      <c r="Q632" s="32"/>
      <c r="R632" s="4"/>
      <c r="S632" s="4"/>
      <c r="T632" s="4"/>
      <c r="U632" s="4"/>
      <c r="V632" s="4"/>
    </row>
    <row x14ac:dyDescent="0.25" r="633" customHeight="1" ht="12.75">
      <c r="A633" s="4"/>
      <c r="B633" s="29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29"/>
      <c r="N633" s="29"/>
      <c r="O633" s="29"/>
      <c r="P633" s="32"/>
      <c r="Q633" s="32"/>
      <c r="R633" s="4"/>
      <c r="S633" s="4"/>
      <c r="T633" s="4"/>
      <c r="U633" s="4"/>
      <c r="V633" s="4"/>
    </row>
    <row x14ac:dyDescent="0.25" r="634" customHeight="1" ht="12.75">
      <c r="A634" s="4"/>
      <c r="B634" s="29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29"/>
      <c r="N634" s="29"/>
      <c r="O634" s="29"/>
      <c r="P634" s="32"/>
      <c r="Q634" s="32"/>
      <c r="R634" s="4"/>
      <c r="S634" s="4"/>
      <c r="T634" s="4"/>
      <c r="U634" s="4"/>
      <c r="V634" s="4"/>
    </row>
    <row x14ac:dyDescent="0.25" r="635" customHeight="1" ht="12.75">
      <c r="A635" s="4"/>
      <c r="B635" s="29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29"/>
      <c r="N635" s="29"/>
      <c r="O635" s="29"/>
      <c r="P635" s="32"/>
      <c r="Q635" s="32"/>
      <c r="R635" s="4"/>
      <c r="S635" s="4"/>
      <c r="T635" s="4"/>
      <c r="U635" s="4"/>
      <c r="V635" s="4"/>
    </row>
    <row x14ac:dyDescent="0.25" r="636" customHeight="1" ht="12.75">
      <c r="A636" s="4"/>
      <c r="B636" s="29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29"/>
      <c r="N636" s="29"/>
      <c r="O636" s="29"/>
      <c r="P636" s="32"/>
      <c r="Q636" s="32"/>
      <c r="R636" s="4"/>
      <c r="S636" s="4"/>
      <c r="T636" s="4"/>
      <c r="U636" s="4"/>
      <c r="V636" s="4"/>
    </row>
    <row x14ac:dyDescent="0.25" r="637" customHeight="1" ht="12.75">
      <c r="A637" s="4"/>
      <c r="B637" s="29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29"/>
      <c r="N637" s="29"/>
      <c r="O637" s="29"/>
      <c r="P637" s="32"/>
      <c r="Q637" s="32"/>
      <c r="R637" s="4"/>
      <c r="S637" s="4"/>
      <c r="T637" s="4"/>
      <c r="U637" s="4"/>
      <c r="V637" s="4"/>
    </row>
    <row x14ac:dyDescent="0.25" r="638" customHeight="1" ht="12.75">
      <c r="A638" s="4"/>
      <c r="B638" s="29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29"/>
      <c r="N638" s="29"/>
      <c r="O638" s="29"/>
      <c r="P638" s="32"/>
      <c r="Q638" s="32"/>
      <c r="R638" s="4"/>
      <c r="S638" s="4"/>
      <c r="T638" s="4"/>
      <c r="U638" s="4"/>
      <c r="V638" s="4"/>
    </row>
    <row x14ac:dyDescent="0.25" r="639" customHeight="1" ht="12.75">
      <c r="A639" s="4"/>
      <c r="B639" s="29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29"/>
      <c r="N639" s="29"/>
      <c r="O639" s="29"/>
      <c r="P639" s="32"/>
      <c r="Q639" s="32"/>
      <c r="R639" s="4"/>
      <c r="S639" s="4"/>
      <c r="T639" s="4"/>
      <c r="U639" s="4"/>
      <c r="V639" s="4"/>
    </row>
    <row x14ac:dyDescent="0.25" r="640" customHeight="1" ht="12.75">
      <c r="A640" s="4"/>
      <c r="B640" s="29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29"/>
      <c r="N640" s="29"/>
      <c r="O640" s="29"/>
      <c r="P640" s="32"/>
      <c r="Q640" s="32"/>
      <c r="R640" s="4"/>
      <c r="S640" s="4"/>
      <c r="T640" s="4"/>
      <c r="U640" s="4"/>
      <c r="V640" s="4"/>
    </row>
    <row x14ac:dyDescent="0.25" r="641" customHeight="1" ht="12.75">
      <c r="A641" s="4"/>
      <c r="B641" s="29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29"/>
      <c r="N641" s="29"/>
      <c r="O641" s="29"/>
      <c r="P641" s="32"/>
      <c r="Q641" s="32"/>
      <c r="R641" s="4"/>
      <c r="S641" s="4"/>
      <c r="T641" s="4"/>
      <c r="U641" s="4"/>
      <c r="V641" s="4"/>
    </row>
    <row x14ac:dyDescent="0.25" r="642" customHeight="1" ht="12.75">
      <c r="A642" s="4"/>
      <c r="B642" s="29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29"/>
      <c r="N642" s="29"/>
      <c r="O642" s="29"/>
      <c r="P642" s="32"/>
      <c r="Q642" s="32"/>
      <c r="R642" s="4"/>
      <c r="S642" s="4"/>
      <c r="T642" s="4"/>
      <c r="U642" s="4"/>
      <c r="V642" s="4"/>
    </row>
    <row x14ac:dyDescent="0.25" r="643" customHeight="1" ht="12.75">
      <c r="A643" s="4"/>
      <c r="B643" s="29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29"/>
      <c r="N643" s="29"/>
      <c r="O643" s="29"/>
      <c r="P643" s="32"/>
      <c r="Q643" s="32"/>
      <c r="R643" s="4"/>
      <c r="S643" s="4"/>
      <c r="T643" s="4"/>
      <c r="U643" s="4"/>
      <c r="V643" s="4"/>
    </row>
    <row x14ac:dyDescent="0.25" r="644" customHeight="1" ht="12.75">
      <c r="A644" s="4"/>
      <c r="B644" s="29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29"/>
      <c r="N644" s="29"/>
      <c r="O644" s="29"/>
      <c r="P644" s="32"/>
      <c r="Q644" s="32"/>
      <c r="R644" s="4"/>
      <c r="S644" s="4"/>
      <c r="T644" s="4"/>
      <c r="U644" s="4"/>
      <c r="V644" s="4"/>
    </row>
    <row x14ac:dyDescent="0.25" r="645" customHeight="1" ht="12.75">
      <c r="A645" s="4"/>
      <c r="B645" s="29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29"/>
      <c r="N645" s="29"/>
      <c r="O645" s="29"/>
      <c r="P645" s="32"/>
      <c r="Q645" s="32"/>
      <c r="R645" s="4"/>
      <c r="S645" s="4"/>
      <c r="T645" s="4"/>
      <c r="U645" s="4"/>
      <c r="V645" s="4"/>
    </row>
    <row x14ac:dyDescent="0.25" r="646" customHeight="1" ht="12.75">
      <c r="A646" s="4"/>
      <c r="B646" s="29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29"/>
      <c r="N646" s="29"/>
      <c r="O646" s="29"/>
      <c r="P646" s="32"/>
      <c r="Q646" s="32"/>
      <c r="R646" s="4"/>
      <c r="S646" s="4"/>
      <c r="T646" s="4"/>
      <c r="U646" s="4"/>
      <c r="V646" s="4"/>
    </row>
    <row x14ac:dyDescent="0.25" r="647" customHeight="1" ht="12.75">
      <c r="A647" s="4"/>
      <c r="B647" s="29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29"/>
      <c r="N647" s="29"/>
      <c r="O647" s="29"/>
      <c r="P647" s="32"/>
      <c r="Q647" s="32"/>
      <c r="R647" s="4"/>
      <c r="S647" s="4"/>
      <c r="T647" s="4"/>
      <c r="U647" s="4"/>
      <c r="V647" s="4"/>
    </row>
    <row x14ac:dyDescent="0.25" r="648" customHeight="1" ht="12.75">
      <c r="A648" s="4"/>
      <c r="B648" s="29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29"/>
      <c r="N648" s="29"/>
      <c r="O648" s="29"/>
      <c r="P648" s="32"/>
      <c r="Q648" s="32"/>
      <c r="R648" s="4"/>
      <c r="S648" s="4"/>
      <c r="T648" s="4"/>
      <c r="U648" s="4"/>
      <c r="V648" s="4"/>
    </row>
    <row x14ac:dyDescent="0.25" r="649" customHeight="1" ht="12.75">
      <c r="A649" s="4"/>
      <c r="B649" s="29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29"/>
      <c r="N649" s="29"/>
      <c r="O649" s="29"/>
      <c r="P649" s="32"/>
      <c r="Q649" s="32"/>
      <c r="R649" s="4"/>
      <c r="S649" s="4"/>
      <c r="T649" s="4"/>
      <c r="U649" s="4"/>
      <c r="V649" s="4"/>
    </row>
    <row x14ac:dyDescent="0.25" r="650" customHeight="1" ht="12.75">
      <c r="A650" s="4"/>
      <c r="B650" s="29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29"/>
      <c r="N650" s="29"/>
      <c r="O650" s="29"/>
      <c r="P650" s="32"/>
      <c r="Q650" s="32"/>
      <c r="R650" s="4"/>
      <c r="S650" s="4"/>
      <c r="T650" s="4"/>
      <c r="U650" s="4"/>
      <c r="V650" s="4"/>
    </row>
    <row x14ac:dyDescent="0.25" r="651" customHeight="1" ht="12.75">
      <c r="A651" s="4"/>
      <c r="B651" s="29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29"/>
      <c r="N651" s="29"/>
      <c r="O651" s="29"/>
      <c r="P651" s="32"/>
      <c r="Q651" s="32"/>
      <c r="R651" s="4"/>
      <c r="S651" s="4"/>
      <c r="T651" s="4"/>
      <c r="U651" s="4"/>
      <c r="V651" s="4"/>
    </row>
    <row x14ac:dyDescent="0.25" r="652" customHeight="1" ht="12.75">
      <c r="A652" s="4"/>
      <c r="B652" s="29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29"/>
      <c r="N652" s="29"/>
      <c r="O652" s="29"/>
      <c r="P652" s="32"/>
      <c r="Q652" s="32"/>
      <c r="R652" s="4"/>
      <c r="S652" s="4"/>
      <c r="T652" s="4"/>
      <c r="U652" s="4"/>
      <c r="V652" s="4"/>
    </row>
    <row x14ac:dyDescent="0.25" r="653" customHeight="1" ht="12.75">
      <c r="A653" s="4"/>
      <c r="B653" s="29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29"/>
      <c r="N653" s="29"/>
      <c r="O653" s="29"/>
      <c r="P653" s="32"/>
      <c r="Q653" s="32"/>
      <c r="R653" s="4"/>
      <c r="S653" s="4"/>
      <c r="T653" s="4"/>
      <c r="U653" s="4"/>
      <c r="V653" s="4"/>
    </row>
    <row x14ac:dyDescent="0.25" r="654" customHeight="1" ht="12.75">
      <c r="A654" s="4"/>
      <c r="B654" s="29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29"/>
      <c r="N654" s="29"/>
      <c r="O654" s="29"/>
      <c r="P654" s="32"/>
      <c r="Q654" s="32"/>
      <c r="R654" s="4"/>
      <c r="S654" s="4"/>
      <c r="T654" s="4"/>
      <c r="U654" s="4"/>
      <c r="V654" s="4"/>
    </row>
    <row x14ac:dyDescent="0.25" r="655" customHeight="1" ht="12.75">
      <c r="A655" s="4"/>
      <c r="B655" s="29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29"/>
      <c r="N655" s="29"/>
      <c r="O655" s="29"/>
      <c r="P655" s="32"/>
      <c r="Q655" s="32"/>
      <c r="R655" s="4"/>
      <c r="S655" s="4"/>
      <c r="T655" s="4"/>
      <c r="U655" s="4"/>
      <c r="V655" s="4"/>
    </row>
    <row x14ac:dyDescent="0.25" r="656" customHeight="1" ht="12.75">
      <c r="A656" s="4"/>
      <c r="B656" s="29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29"/>
      <c r="N656" s="29"/>
      <c r="O656" s="29"/>
      <c r="P656" s="32"/>
      <c r="Q656" s="32"/>
      <c r="R656" s="4"/>
      <c r="S656" s="4"/>
      <c r="T656" s="4"/>
      <c r="U656" s="4"/>
      <c r="V656" s="4"/>
    </row>
    <row x14ac:dyDescent="0.25" r="657" customHeight="1" ht="12.75">
      <c r="A657" s="4"/>
      <c r="B657" s="29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29"/>
      <c r="N657" s="29"/>
      <c r="O657" s="29"/>
      <c r="P657" s="32"/>
      <c r="Q657" s="32"/>
      <c r="R657" s="4"/>
      <c r="S657" s="4"/>
      <c r="T657" s="4"/>
      <c r="U657" s="4"/>
      <c r="V657" s="4"/>
    </row>
    <row x14ac:dyDescent="0.25" r="658" customHeight="1" ht="12.75">
      <c r="A658" s="4"/>
      <c r="B658" s="29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29"/>
      <c r="N658" s="29"/>
      <c r="O658" s="29"/>
      <c r="P658" s="32"/>
      <c r="Q658" s="32"/>
      <c r="R658" s="4"/>
      <c r="S658" s="4"/>
      <c r="T658" s="4"/>
      <c r="U658" s="4"/>
      <c r="V658" s="4"/>
    </row>
    <row x14ac:dyDescent="0.25" r="659" customHeight="1" ht="12.75">
      <c r="A659" s="4"/>
      <c r="B659" s="29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29"/>
      <c r="N659" s="29"/>
      <c r="O659" s="29"/>
      <c r="P659" s="32"/>
      <c r="Q659" s="32"/>
      <c r="R659" s="4"/>
      <c r="S659" s="4"/>
      <c r="T659" s="4"/>
      <c r="U659" s="4"/>
      <c r="V659" s="4"/>
    </row>
    <row x14ac:dyDescent="0.25" r="660" customHeight="1" ht="12.75">
      <c r="A660" s="4"/>
      <c r="B660" s="29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29"/>
      <c r="N660" s="29"/>
      <c r="O660" s="29"/>
      <c r="P660" s="32"/>
      <c r="Q660" s="32"/>
      <c r="R660" s="4"/>
      <c r="S660" s="4"/>
      <c r="T660" s="4"/>
      <c r="U660" s="4"/>
      <c r="V660" s="4"/>
    </row>
    <row x14ac:dyDescent="0.25" r="661" customHeight="1" ht="12.75">
      <c r="A661" s="4"/>
      <c r="B661" s="29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29"/>
      <c r="N661" s="29"/>
      <c r="O661" s="29"/>
      <c r="P661" s="32"/>
      <c r="Q661" s="32"/>
      <c r="R661" s="4"/>
      <c r="S661" s="4"/>
      <c r="T661" s="4"/>
      <c r="U661" s="4"/>
      <c r="V661" s="4"/>
    </row>
    <row x14ac:dyDescent="0.25" r="662" customHeight="1" ht="12.75">
      <c r="A662" s="4"/>
      <c r="B662" s="29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29"/>
      <c r="N662" s="29"/>
      <c r="O662" s="29"/>
      <c r="P662" s="32"/>
      <c r="Q662" s="32"/>
      <c r="R662" s="4"/>
      <c r="S662" s="4"/>
      <c r="T662" s="4"/>
      <c r="U662" s="4"/>
      <c r="V662" s="4"/>
    </row>
    <row x14ac:dyDescent="0.25" r="663" customHeight="1" ht="12.75">
      <c r="A663" s="4"/>
      <c r="B663" s="29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29"/>
      <c r="N663" s="29"/>
      <c r="O663" s="29"/>
      <c r="P663" s="32"/>
      <c r="Q663" s="32"/>
      <c r="R663" s="4"/>
      <c r="S663" s="4"/>
      <c r="T663" s="4"/>
      <c r="U663" s="4"/>
      <c r="V663" s="4"/>
    </row>
    <row x14ac:dyDescent="0.25" r="664" customHeight="1" ht="12.75">
      <c r="A664" s="4"/>
      <c r="B664" s="29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29"/>
      <c r="N664" s="29"/>
      <c r="O664" s="29"/>
      <c r="P664" s="32"/>
      <c r="Q664" s="32"/>
      <c r="R664" s="4"/>
      <c r="S664" s="4"/>
      <c r="T664" s="4"/>
      <c r="U664" s="4"/>
      <c r="V664" s="4"/>
    </row>
    <row x14ac:dyDescent="0.25" r="665" customHeight="1" ht="12.75">
      <c r="A665" s="4"/>
      <c r="B665" s="29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29"/>
      <c r="N665" s="29"/>
      <c r="O665" s="29"/>
      <c r="P665" s="32"/>
      <c r="Q665" s="32"/>
      <c r="R665" s="4"/>
      <c r="S665" s="4"/>
      <c r="T665" s="4"/>
      <c r="U665" s="4"/>
      <c r="V665" s="4"/>
    </row>
    <row x14ac:dyDescent="0.25" r="666" customHeight="1" ht="12.75">
      <c r="A666" s="4"/>
      <c r="B666" s="29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29"/>
      <c r="N666" s="29"/>
      <c r="O666" s="29"/>
      <c r="P666" s="32"/>
      <c r="Q666" s="32"/>
      <c r="R666" s="4"/>
      <c r="S666" s="4"/>
      <c r="T666" s="4"/>
      <c r="U666" s="4"/>
      <c r="V666" s="4"/>
    </row>
    <row x14ac:dyDescent="0.25" r="667" customHeight="1" ht="12.75">
      <c r="A667" s="4"/>
      <c r="B667" s="29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29"/>
      <c r="N667" s="29"/>
      <c r="O667" s="29"/>
      <c r="P667" s="32"/>
      <c r="Q667" s="32"/>
      <c r="R667" s="4"/>
      <c r="S667" s="4"/>
      <c r="T667" s="4"/>
      <c r="U667" s="4"/>
      <c r="V667" s="4"/>
    </row>
    <row x14ac:dyDescent="0.25" r="668" customHeight="1" ht="12.75">
      <c r="A668" s="4"/>
      <c r="B668" s="29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29"/>
      <c r="N668" s="29"/>
      <c r="O668" s="29"/>
      <c r="P668" s="32"/>
      <c r="Q668" s="32"/>
      <c r="R668" s="4"/>
      <c r="S668" s="4"/>
      <c r="T668" s="4"/>
      <c r="U668" s="4"/>
      <c r="V668" s="4"/>
    </row>
    <row x14ac:dyDescent="0.25" r="669" customHeight="1" ht="12.75">
      <c r="A669" s="4"/>
      <c r="B669" s="29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29"/>
      <c r="N669" s="29"/>
      <c r="O669" s="29"/>
      <c r="P669" s="32"/>
      <c r="Q669" s="32"/>
      <c r="R669" s="4"/>
      <c r="S669" s="4"/>
      <c r="T669" s="4"/>
      <c r="U669" s="4"/>
      <c r="V669" s="4"/>
    </row>
    <row x14ac:dyDescent="0.25" r="670" customHeight="1" ht="12.75">
      <c r="A670" s="4"/>
      <c r="B670" s="29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29"/>
      <c r="N670" s="29"/>
      <c r="O670" s="29"/>
      <c r="P670" s="32"/>
      <c r="Q670" s="32"/>
      <c r="R670" s="4"/>
      <c r="S670" s="4"/>
      <c r="T670" s="4"/>
      <c r="U670" s="4"/>
      <c r="V670" s="4"/>
    </row>
    <row x14ac:dyDescent="0.25" r="671" customHeight="1" ht="12.75">
      <c r="A671" s="4"/>
      <c r="B671" s="29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29"/>
      <c r="N671" s="29"/>
      <c r="O671" s="29"/>
      <c r="P671" s="32"/>
      <c r="Q671" s="32"/>
      <c r="R671" s="4"/>
      <c r="S671" s="4"/>
      <c r="T671" s="4"/>
      <c r="U671" s="4"/>
      <c r="V671" s="4"/>
    </row>
    <row x14ac:dyDescent="0.25" r="672" customHeight="1" ht="12.75">
      <c r="A672" s="4"/>
      <c r="B672" s="29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29"/>
      <c r="N672" s="29"/>
      <c r="O672" s="29"/>
      <c r="P672" s="32"/>
      <c r="Q672" s="32"/>
      <c r="R672" s="4"/>
      <c r="S672" s="4"/>
      <c r="T672" s="4"/>
      <c r="U672" s="4"/>
      <c r="V672" s="4"/>
    </row>
    <row x14ac:dyDescent="0.25" r="673" customHeight="1" ht="12.75">
      <c r="A673" s="4"/>
      <c r="B673" s="29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29"/>
      <c r="N673" s="29"/>
      <c r="O673" s="29"/>
      <c r="P673" s="32"/>
      <c r="Q673" s="32"/>
      <c r="R673" s="4"/>
      <c r="S673" s="4"/>
      <c r="T673" s="4"/>
      <c r="U673" s="4"/>
      <c r="V673" s="4"/>
    </row>
    <row x14ac:dyDescent="0.25" r="674" customHeight="1" ht="12.75">
      <c r="A674" s="4"/>
      <c r="B674" s="29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29"/>
      <c r="N674" s="29"/>
      <c r="O674" s="29"/>
      <c r="P674" s="32"/>
      <c r="Q674" s="32"/>
      <c r="R674" s="4"/>
      <c r="S674" s="4"/>
      <c r="T674" s="4"/>
      <c r="U674" s="4"/>
      <c r="V674" s="4"/>
    </row>
    <row x14ac:dyDescent="0.25" r="675" customHeight="1" ht="12.75">
      <c r="A675" s="4"/>
      <c r="B675" s="29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29"/>
      <c r="N675" s="29"/>
      <c r="O675" s="29"/>
      <c r="P675" s="32"/>
      <c r="Q675" s="32"/>
      <c r="R675" s="4"/>
      <c r="S675" s="4"/>
      <c r="T675" s="4"/>
      <c r="U675" s="4"/>
      <c r="V675" s="4"/>
    </row>
    <row x14ac:dyDescent="0.25" r="676" customHeight="1" ht="12.75">
      <c r="A676" s="4"/>
      <c r="B676" s="29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29"/>
      <c r="N676" s="29"/>
      <c r="O676" s="29"/>
      <c r="P676" s="32"/>
      <c r="Q676" s="32"/>
      <c r="R676" s="4"/>
      <c r="S676" s="4"/>
      <c r="T676" s="4"/>
      <c r="U676" s="4"/>
      <c r="V676" s="4"/>
    </row>
    <row x14ac:dyDescent="0.25" r="677" customHeight="1" ht="12.75">
      <c r="A677" s="4"/>
      <c r="B677" s="29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29"/>
      <c r="N677" s="29"/>
      <c r="O677" s="29"/>
      <c r="P677" s="32"/>
      <c r="Q677" s="32"/>
      <c r="R677" s="4"/>
      <c r="S677" s="4"/>
      <c r="T677" s="4"/>
      <c r="U677" s="4"/>
      <c r="V677" s="4"/>
    </row>
    <row x14ac:dyDescent="0.25" r="678" customHeight="1" ht="12.75">
      <c r="A678" s="4"/>
      <c r="B678" s="29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29"/>
      <c r="N678" s="29"/>
      <c r="O678" s="29"/>
      <c r="P678" s="32"/>
      <c r="Q678" s="32"/>
      <c r="R678" s="4"/>
      <c r="S678" s="4"/>
      <c r="T678" s="4"/>
      <c r="U678" s="4"/>
      <c r="V678" s="4"/>
    </row>
    <row x14ac:dyDescent="0.25" r="679" customHeight="1" ht="12.75">
      <c r="A679" s="4"/>
      <c r="B679" s="29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29"/>
      <c r="N679" s="29"/>
      <c r="O679" s="29"/>
      <c r="P679" s="32"/>
      <c r="Q679" s="32"/>
      <c r="R679" s="4"/>
      <c r="S679" s="4"/>
      <c r="T679" s="4"/>
      <c r="U679" s="4"/>
      <c r="V679" s="4"/>
    </row>
    <row x14ac:dyDescent="0.25" r="680" customHeight="1" ht="12.75">
      <c r="A680" s="4"/>
      <c r="B680" s="29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29"/>
      <c r="N680" s="29"/>
      <c r="O680" s="29"/>
      <c r="P680" s="32"/>
      <c r="Q680" s="32"/>
      <c r="R680" s="4"/>
      <c r="S680" s="4"/>
      <c r="T680" s="4"/>
      <c r="U680" s="4"/>
      <c r="V680" s="4"/>
    </row>
    <row x14ac:dyDescent="0.25" r="681" customHeight="1" ht="12.75">
      <c r="A681" s="4"/>
      <c r="B681" s="29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29"/>
      <c r="N681" s="29"/>
      <c r="O681" s="29"/>
      <c r="P681" s="32"/>
      <c r="Q681" s="32"/>
      <c r="R681" s="4"/>
      <c r="S681" s="4"/>
      <c r="T681" s="4"/>
      <c r="U681" s="4"/>
      <c r="V681" s="4"/>
    </row>
    <row x14ac:dyDescent="0.25" r="682" customHeight="1" ht="12.75">
      <c r="A682" s="4"/>
      <c r="B682" s="29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29"/>
      <c r="N682" s="29"/>
      <c r="O682" s="29"/>
      <c r="P682" s="32"/>
      <c r="Q682" s="32"/>
      <c r="R682" s="4"/>
      <c r="S682" s="4"/>
      <c r="T682" s="4"/>
      <c r="U682" s="4"/>
      <c r="V682" s="4"/>
    </row>
    <row x14ac:dyDescent="0.25" r="683" customHeight="1" ht="12.75">
      <c r="A683" s="4"/>
      <c r="B683" s="29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29"/>
      <c r="N683" s="29"/>
      <c r="O683" s="29"/>
      <c r="P683" s="32"/>
      <c r="Q683" s="32"/>
      <c r="R683" s="4"/>
      <c r="S683" s="4"/>
      <c r="T683" s="4"/>
      <c r="U683" s="4"/>
      <c r="V683" s="4"/>
    </row>
    <row x14ac:dyDescent="0.25" r="684" customHeight="1" ht="12.75">
      <c r="A684" s="4"/>
      <c r="B684" s="29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29"/>
      <c r="N684" s="29"/>
      <c r="O684" s="29"/>
      <c r="P684" s="32"/>
      <c r="Q684" s="32"/>
      <c r="R684" s="4"/>
      <c r="S684" s="4"/>
      <c r="T684" s="4"/>
      <c r="U684" s="4"/>
      <c r="V684" s="4"/>
    </row>
    <row x14ac:dyDescent="0.25" r="685" customHeight="1" ht="12.75">
      <c r="A685" s="4"/>
      <c r="B685" s="29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29"/>
      <c r="N685" s="29"/>
      <c r="O685" s="29"/>
      <c r="P685" s="32"/>
      <c r="Q685" s="32"/>
      <c r="R685" s="4"/>
      <c r="S685" s="4"/>
      <c r="T685" s="4"/>
      <c r="U685" s="4"/>
      <c r="V685" s="4"/>
    </row>
    <row x14ac:dyDescent="0.25" r="686" customHeight="1" ht="12.75">
      <c r="A686" s="4"/>
      <c r="B686" s="29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29"/>
      <c r="N686" s="29"/>
      <c r="O686" s="29"/>
      <c r="P686" s="32"/>
      <c r="Q686" s="32"/>
      <c r="R686" s="4"/>
      <c r="S686" s="4"/>
      <c r="T686" s="4"/>
      <c r="U686" s="4"/>
      <c r="V686" s="4"/>
    </row>
    <row x14ac:dyDescent="0.25" r="687" customHeight="1" ht="12.75">
      <c r="A687" s="4"/>
      <c r="B687" s="29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29"/>
      <c r="N687" s="29"/>
      <c r="O687" s="29"/>
      <c r="P687" s="32"/>
      <c r="Q687" s="32"/>
      <c r="R687" s="4"/>
      <c r="S687" s="4"/>
      <c r="T687" s="4"/>
      <c r="U687" s="4"/>
      <c r="V687" s="4"/>
    </row>
    <row x14ac:dyDescent="0.25" r="688" customHeight="1" ht="12.75">
      <c r="A688" s="4"/>
      <c r="B688" s="29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29"/>
      <c r="N688" s="29"/>
      <c r="O688" s="29"/>
      <c r="P688" s="32"/>
      <c r="Q688" s="32"/>
      <c r="R688" s="4"/>
      <c r="S688" s="4"/>
      <c r="T688" s="4"/>
      <c r="U688" s="4"/>
      <c r="V688" s="4"/>
    </row>
    <row x14ac:dyDescent="0.25" r="689" customHeight="1" ht="12.75">
      <c r="A689" s="4"/>
      <c r="B689" s="29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29"/>
      <c r="N689" s="29"/>
      <c r="O689" s="29"/>
      <c r="P689" s="32"/>
      <c r="Q689" s="32"/>
      <c r="R689" s="4"/>
      <c r="S689" s="4"/>
      <c r="T689" s="4"/>
      <c r="U689" s="4"/>
      <c r="V689" s="4"/>
    </row>
    <row x14ac:dyDescent="0.25" r="690" customHeight="1" ht="12.75">
      <c r="A690" s="4"/>
      <c r="B690" s="29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29"/>
      <c r="N690" s="29"/>
      <c r="O690" s="29"/>
      <c r="P690" s="32"/>
      <c r="Q690" s="32"/>
      <c r="R690" s="4"/>
      <c r="S690" s="4"/>
      <c r="T690" s="4"/>
      <c r="U690" s="4"/>
      <c r="V690" s="4"/>
    </row>
    <row x14ac:dyDescent="0.25" r="691" customHeight="1" ht="12.75">
      <c r="A691" s="4"/>
      <c r="B691" s="29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29"/>
      <c r="N691" s="29"/>
      <c r="O691" s="29"/>
      <c r="P691" s="32"/>
      <c r="Q691" s="32"/>
      <c r="R691" s="4"/>
      <c r="S691" s="4"/>
      <c r="T691" s="4"/>
      <c r="U691" s="4"/>
      <c r="V691" s="4"/>
    </row>
    <row x14ac:dyDescent="0.25" r="692" customHeight="1" ht="12.75">
      <c r="A692" s="4"/>
      <c r="B692" s="29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29"/>
      <c r="N692" s="29"/>
      <c r="O692" s="29"/>
      <c r="P692" s="32"/>
      <c r="Q692" s="32"/>
      <c r="R692" s="4"/>
      <c r="S692" s="4"/>
      <c r="T692" s="4"/>
      <c r="U692" s="4"/>
      <c r="V692" s="4"/>
    </row>
    <row x14ac:dyDescent="0.25" r="693" customHeight="1" ht="12.75">
      <c r="A693" s="4"/>
      <c r="B693" s="29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29"/>
      <c r="N693" s="29"/>
      <c r="O693" s="29"/>
      <c r="P693" s="32"/>
      <c r="Q693" s="32"/>
      <c r="R693" s="4"/>
      <c r="S693" s="4"/>
      <c r="T693" s="4"/>
      <c r="U693" s="4"/>
      <c r="V693" s="4"/>
    </row>
    <row x14ac:dyDescent="0.25" r="694" customHeight="1" ht="12.75">
      <c r="A694" s="4"/>
      <c r="B694" s="29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29"/>
      <c r="N694" s="29"/>
      <c r="O694" s="29"/>
      <c r="P694" s="32"/>
      <c r="Q694" s="32"/>
      <c r="R694" s="4"/>
      <c r="S694" s="4"/>
      <c r="T694" s="4"/>
      <c r="U694" s="4"/>
      <c r="V694" s="4"/>
    </row>
    <row x14ac:dyDescent="0.25" r="695" customHeight="1" ht="12.75">
      <c r="A695" s="4"/>
      <c r="B695" s="29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29"/>
      <c r="N695" s="29"/>
      <c r="O695" s="29"/>
      <c r="P695" s="32"/>
      <c r="Q695" s="32"/>
      <c r="R695" s="4"/>
      <c r="S695" s="4"/>
      <c r="T695" s="4"/>
      <c r="U695" s="4"/>
      <c r="V695" s="4"/>
    </row>
    <row x14ac:dyDescent="0.25" r="696" customHeight="1" ht="12.75">
      <c r="A696" s="4"/>
      <c r="B696" s="29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29"/>
      <c r="N696" s="29"/>
      <c r="O696" s="29"/>
      <c r="P696" s="32"/>
      <c r="Q696" s="32"/>
      <c r="R696" s="4"/>
      <c r="S696" s="4"/>
      <c r="T696" s="4"/>
      <c r="U696" s="4"/>
      <c r="V696" s="4"/>
    </row>
    <row x14ac:dyDescent="0.25" r="697" customHeight="1" ht="12.75">
      <c r="A697" s="4"/>
      <c r="B697" s="29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29"/>
      <c r="N697" s="29"/>
      <c r="O697" s="29"/>
      <c r="P697" s="32"/>
      <c r="Q697" s="32"/>
      <c r="R697" s="4"/>
      <c r="S697" s="4"/>
      <c r="T697" s="4"/>
      <c r="U697" s="4"/>
      <c r="V697" s="4"/>
    </row>
    <row x14ac:dyDescent="0.25" r="698" customHeight="1" ht="12.75">
      <c r="A698" s="4"/>
      <c r="B698" s="29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29"/>
      <c r="N698" s="29"/>
      <c r="O698" s="29"/>
      <c r="P698" s="32"/>
      <c r="Q698" s="32"/>
      <c r="R698" s="4"/>
      <c r="S698" s="4"/>
      <c r="T698" s="4"/>
      <c r="U698" s="4"/>
      <c r="V698" s="4"/>
    </row>
    <row x14ac:dyDescent="0.25" r="699" customHeight="1" ht="12.75">
      <c r="A699" s="4"/>
      <c r="B699" s="29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29"/>
      <c r="N699" s="29"/>
      <c r="O699" s="29"/>
      <c r="P699" s="32"/>
      <c r="Q699" s="32"/>
      <c r="R699" s="4"/>
      <c r="S699" s="4"/>
      <c r="T699" s="4"/>
      <c r="U699" s="4"/>
      <c r="V699" s="4"/>
    </row>
    <row x14ac:dyDescent="0.25" r="700" customHeight="1" ht="12.75">
      <c r="A700" s="4"/>
      <c r="B700" s="29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29"/>
      <c r="N700" s="29"/>
      <c r="O700" s="29"/>
      <c r="P700" s="32"/>
      <c r="Q700" s="32"/>
      <c r="R700" s="4"/>
      <c r="S700" s="4"/>
      <c r="T700" s="4"/>
      <c r="U700" s="4"/>
      <c r="V700" s="4"/>
    </row>
    <row x14ac:dyDescent="0.25" r="701" customHeight="1" ht="12.75">
      <c r="A701" s="4"/>
      <c r="B701" s="29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29"/>
      <c r="N701" s="29"/>
      <c r="O701" s="29"/>
      <c r="P701" s="32"/>
      <c r="Q701" s="32"/>
      <c r="R701" s="4"/>
      <c r="S701" s="4"/>
      <c r="T701" s="4"/>
      <c r="U701" s="4"/>
      <c r="V701" s="4"/>
    </row>
    <row x14ac:dyDescent="0.25" r="702" customHeight="1" ht="12.75">
      <c r="A702" s="4"/>
      <c r="B702" s="29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29"/>
      <c r="N702" s="29"/>
      <c r="O702" s="29"/>
      <c r="P702" s="32"/>
      <c r="Q702" s="32"/>
      <c r="R702" s="4"/>
      <c r="S702" s="4"/>
      <c r="T702" s="4"/>
      <c r="U702" s="4"/>
      <c r="V702" s="4"/>
    </row>
    <row x14ac:dyDescent="0.25" r="703" customHeight="1" ht="12.75">
      <c r="A703" s="4"/>
      <c r="B703" s="29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29"/>
      <c r="N703" s="29"/>
      <c r="O703" s="29"/>
      <c r="P703" s="32"/>
      <c r="Q703" s="32"/>
      <c r="R703" s="4"/>
      <c r="S703" s="4"/>
      <c r="T703" s="4"/>
      <c r="U703" s="4"/>
      <c r="V703" s="4"/>
    </row>
    <row x14ac:dyDescent="0.25" r="704" customHeight="1" ht="12.75">
      <c r="A704" s="4"/>
      <c r="B704" s="29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29"/>
      <c r="N704" s="29"/>
      <c r="O704" s="29"/>
      <c r="P704" s="32"/>
      <c r="Q704" s="32"/>
      <c r="R704" s="4"/>
      <c r="S704" s="4"/>
      <c r="T704" s="4"/>
      <c r="U704" s="4"/>
      <c r="V704" s="4"/>
    </row>
    <row x14ac:dyDescent="0.25" r="705" customHeight="1" ht="12.75">
      <c r="A705" s="4"/>
      <c r="B705" s="29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29"/>
      <c r="N705" s="29"/>
      <c r="O705" s="29"/>
      <c r="P705" s="32"/>
      <c r="Q705" s="32"/>
      <c r="R705" s="4"/>
      <c r="S705" s="4"/>
      <c r="T705" s="4"/>
      <c r="U705" s="4"/>
      <c r="V705" s="4"/>
    </row>
    <row x14ac:dyDescent="0.25" r="706" customHeight="1" ht="12.75">
      <c r="A706" s="4"/>
      <c r="B706" s="29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29"/>
      <c r="N706" s="29"/>
      <c r="O706" s="29"/>
      <c r="P706" s="32"/>
      <c r="Q706" s="32"/>
      <c r="R706" s="4"/>
      <c r="S706" s="4"/>
      <c r="T706" s="4"/>
      <c r="U706" s="4"/>
      <c r="V706" s="4"/>
    </row>
    <row x14ac:dyDescent="0.25" r="707" customHeight="1" ht="12.75">
      <c r="A707" s="4"/>
      <c r="B707" s="29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29"/>
      <c r="N707" s="29"/>
      <c r="O707" s="29"/>
      <c r="P707" s="32"/>
      <c r="Q707" s="32"/>
      <c r="R707" s="4"/>
      <c r="S707" s="4"/>
      <c r="T707" s="4"/>
      <c r="U707" s="4"/>
      <c r="V707" s="4"/>
    </row>
    <row x14ac:dyDescent="0.25" r="708" customHeight="1" ht="12.75">
      <c r="A708" s="4"/>
      <c r="B708" s="29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29"/>
      <c r="N708" s="29"/>
      <c r="O708" s="29"/>
      <c r="P708" s="32"/>
      <c r="Q708" s="32"/>
      <c r="R708" s="4"/>
      <c r="S708" s="4"/>
      <c r="T708" s="4"/>
      <c r="U708" s="4"/>
      <c r="V708" s="4"/>
    </row>
    <row x14ac:dyDescent="0.25" r="709" customHeight="1" ht="12.75">
      <c r="A709" s="4"/>
      <c r="B709" s="29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29"/>
      <c r="N709" s="29"/>
      <c r="O709" s="29"/>
      <c r="P709" s="32"/>
      <c r="Q709" s="32"/>
      <c r="R709" s="4"/>
      <c r="S709" s="4"/>
      <c r="T709" s="4"/>
      <c r="U709" s="4"/>
      <c r="V709" s="4"/>
    </row>
    <row x14ac:dyDescent="0.25" r="710" customHeight="1" ht="12.75">
      <c r="A710" s="4"/>
      <c r="B710" s="29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29"/>
      <c r="N710" s="29"/>
      <c r="O710" s="29"/>
      <c r="P710" s="32"/>
      <c r="Q710" s="32"/>
      <c r="R710" s="4"/>
      <c r="S710" s="4"/>
      <c r="T710" s="4"/>
      <c r="U710" s="4"/>
      <c r="V710" s="4"/>
    </row>
    <row x14ac:dyDescent="0.25" r="711" customHeight="1" ht="12.75">
      <c r="A711" s="4"/>
      <c r="B711" s="29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29"/>
      <c r="N711" s="29"/>
      <c r="O711" s="29"/>
      <c r="P711" s="32"/>
      <c r="Q711" s="32"/>
      <c r="R711" s="4"/>
      <c r="S711" s="4"/>
      <c r="T711" s="4"/>
      <c r="U711" s="4"/>
      <c r="V711" s="4"/>
    </row>
    <row x14ac:dyDescent="0.25" r="712" customHeight="1" ht="12.75">
      <c r="A712" s="4"/>
      <c r="B712" s="29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29"/>
      <c r="N712" s="29"/>
      <c r="O712" s="29"/>
      <c r="P712" s="32"/>
      <c r="Q712" s="32"/>
      <c r="R712" s="4"/>
      <c r="S712" s="4"/>
      <c r="T712" s="4"/>
      <c r="U712" s="4"/>
      <c r="V712" s="4"/>
    </row>
    <row x14ac:dyDescent="0.25" r="713" customHeight="1" ht="12.75">
      <c r="A713" s="4"/>
      <c r="B713" s="29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29"/>
      <c r="N713" s="29"/>
      <c r="O713" s="29"/>
      <c r="P713" s="32"/>
      <c r="Q713" s="32"/>
      <c r="R713" s="4"/>
      <c r="S713" s="4"/>
      <c r="T713" s="4"/>
      <c r="U713" s="4"/>
      <c r="V713" s="4"/>
    </row>
    <row x14ac:dyDescent="0.25" r="714" customHeight="1" ht="12.75">
      <c r="A714" s="4"/>
      <c r="B714" s="29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29"/>
      <c r="N714" s="29"/>
      <c r="O714" s="29"/>
      <c r="P714" s="32"/>
      <c r="Q714" s="32"/>
      <c r="R714" s="4"/>
      <c r="S714" s="4"/>
      <c r="T714" s="4"/>
      <c r="U714" s="4"/>
      <c r="V714" s="4"/>
    </row>
    <row x14ac:dyDescent="0.25" r="715" customHeight="1" ht="12.75">
      <c r="A715" s="4"/>
      <c r="B715" s="29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29"/>
      <c r="N715" s="29"/>
      <c r="O715" s="29"/>
      <c r="P715" s="32"/>
      <c r="Q715" s="32"/>
      <c r="R715" s="4"/>
      <c r="S715" s="4"/>
      <c r="T715" s="4"/>
      <c r="U715" s="4"/>
      <c r="V715" s="4"/>
    </row>
    <row x14ac:dyDescent="0.25" r="716" customHeight="1" ht="12.75">
      <c r="A716" s="4"/>
      <c r="B716" s="29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29"/>
      <c r="N716" s="29"/>
      <c r="O716" s="29"/>
      <c r="P716" s="32"/>
      <c r="Q716" s="32"/>
      <c r="R716" s="4"/>
      <c r="S716" s="4"/>
      <c r="T716" s="4"/>
      <c r="U716" s="4"/>
      <c r="V716" s="4"/>
    </row>
    <row x14ac:dyDescent="0.25" r="717" customHeight="1" ht="12.75">
      <c r="A717" s="4"/>
      <c r="B717" s="29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29"/>
      <c r="N717" s="29"/>
      <c r="O717" s="29"/>
      <c r="P717" s="32"/>
      <c r="Q717" s="32"/>
      <c r="R717" s="4"/>
      <c r="S717" s="4"/>
      <c r="T717" s="4"/>
      <c r="U717" s="4"/>
      <c r="V717" s="4"/>
    </row>
    <row x14ac:dyDescent="0.25" r="718" customHeight="1" ht="12.75">
      <c r="A718" s="4"/>
      <c r="B718" s="29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29"/>
      <c r="N718" s="29"/>
      <c r="O718" s="29"/>
      <c r="P718" s="32"/>
      <c r="Q718" s="32"/>
      <c r="R718" s="4"/>
      <c r="S718" s="4"/>
      <c r="T718" s="4"/>
      <c r="U718" s="4"/>
      <c r="V718" s="4"/>
    </row>
    <row x14ac:dyDescent="0.25" r="719" customHeight="1" ht="12.75">
      <c r="A719" s="4"/>
      <c r="B719" s="29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29"/>
      <c r="N719" s="29"/>
      <c r="O719" s="29"/>
      <c r="P719" s="32"/>
      <c r="Q719" s="32"/>
      <c r="R719" s="4"/>
      <c r="S719" s="4"/>
      <c r="T719" s="4"/>
      <c r="U719" s="4"/>
      <c r="V719" s="4"/>
    </row>
    <row x14ac:dyDescent="0.25" r="720" customHeight="1" ht="12.75">
      <c r="A720" s="4"/>
      <c r="B720" s="29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29"/>
      <c r="N720" s="29"/>
      <c r="O720" s="29"/>
      <c r="P720" s="32"/>
      <c r="Q720" s="32"/>
      <c r="R720" s="4"/>
      <c r="S720" s="4"/>
      <c r="T720" s="4"/>
      <c r="U720" s="4"/>
      <c r="V720" s="4"/>
    </row>
    <row x14ac:dyDescent="0.25" r="721" customHeight="1" ht="12.75">
      <c r="A721" s="4"/>
      <c r="B721" s="29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29"/>
      <c r="N721" s="29"/>
      <c r="O721" s="29"/>
      <c r="P721" s="32"/>
      <c r="Q721" s="32"/>
      <c r="R721" s="4"/>
      <c r="S721" s="4"/>
      <c r="T721" s="4"/>
      <c r="U721" s="4"/>
      <c r="V721" s="4"/>
    </row>
    <row x14ac:dyDescent="0.25" r="722" customHeight="1" ht="12.75">
      <c r="A722" s="4"/>
      <c r="B722" s="29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29"/>
      <c r="N722" s="29"/>
      <c r="O722" s="29"/>
      <c r="P722" s="32"/>
      <c r="Q722" s="32"/>
      <c r="R722" s="4"/>
      <c r="S722" s="4"/>
      <c r="T722" s="4"/>
      <c r="U722" s="4"/>
      <c r="V722" s="4"/>
    </row>
    <row x14ac:dyDescent="0.25" r="723" customHeight="1" ht="12.75">
      <c r="A723" s="4"/>
      <c r="B723" s="29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29"/>
      <c r="N723" s="29"/>
      <c r="O723" s="29"/>
      <c r="P723" s="32"/>
      <c r="Q723" s="32"/>
      <c r="R723" s="4"/>
      <c r="S723" s="4"/>
      <c r="T723" s="4"/>
      <c r="U723" s="4"/>
      <c r="V723" s="4"/>
    </row>
    <row x14ac:dyDescent="0.25" r="724" customHeight="1" ht="12.75">
      <c r="A724" s="4"/>
      <c r="B724" s="29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29"/>
      <c r="N724" s="29"/>
      <c r="O724" s="29"/>
      <c r="P724" s="32"/>
      <c r="Q724" s="32"/>
      <c r="R724" s="4"/>
      <c r="S724" s="4"/>
      <c r="T724" s="4"/>
      <c r="U724" s="4"/>
      <c r="V724" s="4"/>
    </row>
    <row x14ac:dyDescent="0.25" r="725" customHeight="1" ht="12.75">
      <c r="A725" s="4"/>
      <c r="B725" s="29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29"/>
      <c r="N725" s="29"/>
      <c r="O725" s="29"/>
      <c r="P725" s="32"/>
      <c r="Q725" s="32"/>
      <c r="R725" s="4"/>
      <c r="S725" s="4"/>
      <c r="T725" s="4"/>
      <c r="U725" s="4"/>
      <c r="V725" s="4"/>
    </row>
    <row x14ac:dyDescent="0.25" r="726" customHeight="1" ht="12.75">
      <c r="A726" s="4"/>
      <c r="B726" s="29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29"/>
      <c r="N726" s="29"/>
      <c r="O726" s="29"/>
      <c r="P726" s="32"/>
      <c r="Q726" s="32"/>
      <c r="R726" s="4"/>
      <c r="S726" s="4"/>
      <c r="T726" s="4"/>
      <c r="U726" s="4"/>
      <c r="V726" s="4"/>
    </row>
    <row x14ac:dyDescent="0.25" r="727" customHeight="1" ht="12.75">
      <c r="A727" s="4"/>
      <c r="B727" s="29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29"/>
      <c r="N727" s="29"/>
      <c r="O727" s="29"/>
      <c r="P727" s="32"/>
      <c r="Q727" s="32"/>
      <c r="R727" s="4"/>
      <c r="S727" s="4"/>
      <c r="T727" s="4"/>
      <c r="U727" s="4"/>
      <c r="V727" s="4"/>
    </row>
    <row x14ac:dyDescent="0.25" r="728" customHeight="1" ht="12.75">
      <c r="A728" s="4"/>
      <c r="B728" s="29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29"/>
      <c r="N728" s="29"/>
      <c r="O728" s="29"/>
      <c r="P728" s="32"/>
      <c r="Q728" s="32"/>
      <c r="R728" s="4"/>
      <c r="S728" s="4"/>
      <c r="T728" s="4"/>
      <c r="U728" s="4"/>
      <c r="V728" s="4"/>
    </row>
    <row x14ac:dyDescent="0.25" r="729" customHeight="1" ht="12.75">
      <c r="A729" s="4"/>
      <c r="B729" s="29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29"/>
      <c r="N729" s="29"/>
      <c r="O729" s="29"/>
      <c r="P729" s="32"/>
      <c r="Q729" s="32"/>
      <c r="R729" s="4"/>
      <c r="S729" s="4"/>
      <c r="T729" s="4"/>
      <c r="U729" s="4"/>
      <c r="V729" s="4"/>
    </row>
    <row x14ac:dyDescent="0.25" r="730" customHeight="1" ht="12.75">
      <c r="A730" s="4"/>
      <c r="B730" s="29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29"/>
      <c r="N730" s="29"/>
      <c r="O730" s="29"/>
      <c r="P730" s="32"/>
      <c r="Q730" s="32"/>
      <c r="R730" s="4"/>
      <c r="S730" s="4"/>
      <c r="T730" s="4"/>
      <c r="U730" s="4"/>
      <c r="V730" s="4"/>
    </row>
    <row x14ac:dyDescent="0.25" r="731" customHeight="1" ht="12.75">
      <c r="A731" s="4"/>
      <c r="B731" s="29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29"/>
      <c r="N731" s="29"/>
      <c r="O731" s="29"/>
      <c r="P731" s="32"/>
      <c r="Q731" s="32"/>
      <c r="R731" s="4"/>
      <c r="S731" s="4"/>
      <c r="T731" s="4"/>
      <c r="U731" s="4"/>
      <c r="V731" s="4"/>
    </row>
    <row x14ac:dyDescent="0.25" r="732" customHeight="1" ht="12.75">
      <c r="A732" s="4"/>
      <c r="B732" s="29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29"/>
      <c r="N732" s="29"/>
      <c r="O732" s="29"/>
      <c r="P732" s="32"/>
      <c r="Q732" s="32"/>
      <c r="R732" s="4"/>
      <c r="S732" s="4"/>
      <c r="T732" s="4"/>
      <c r="U732" s="4"/>
      <c r="V732" s="4"/>
    </row>
    <row x14ac:dyDescent="0.25" r="733" customHeight="1" ht="12.75">
      <c r="A733" s="4"/>
      <c r="B733" s="29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29"/>
      <c r="N733" s="29"/>
      <c r="O733" s="29"/>
      <c r="P733" s="32"/>
      <c r="Q733" s="32"/>
      <c r="R733" s="4"/>
      <c r="S733" s="4"/>
      <c r="T733" s="4"/>
      <c r="U733" s="4"/>
      <c r="V733" s="4"/>
    </row>
    <row x14ac:dyDescent="0.25" r="734" customHeight="1" ht="12.75">
      <c r="A734" s="4"/>
      <c r="B734" s="29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29"/>
      <c r="N734" s="29"/>
      <c r="O734" s="29"/>
      <c r="P734" s="32"/>
      <c r="Q734" s="32"/>
      <c r="R734" s="4"/>
      <c r="S734" s="4"/>
      <c r="T734" s="4"/>
      <c r="U734" s="4"/>
      <c r="V734" s="4"/>
    </row>
    <row x14ac:dyDescent="0.25" r="735" customHeight="1" ht="12.75">
      <c r="A735" s="4"/>
      <c r="B735" s="29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29"/>
      <c r="N735" s="29"/>
      <c r="O735" s="29"/>
      <c r="P735" s="32"/>
      <c r="Q735" s="32"/>
      <c r="R735" s="4"/>
      <c r="S735" s="4"/>
      <c r="T735" s="4"/>
      <c r="U735" s="4"/>
      <c r="V735" s="4"/>
    </row>
    <row x14ac:dyDescent="0.25" r="736" customHeight="1" ht="12.75">
      <c r="A736" s="4"/>
      <c r="B736" s="29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29"/>
      <c r="N736" s="29"/>
      <c r="O736" s="29"/>
      <c r="P736" s="32"/>
      <c r="Q736" s="32"/>
      <c r="R736" s="4"/>
      <c r="S736" s="4"/>
      <c r="T736" s="4"/>
      <c r="U736" s="4"/>
      <c r="V736" s="4"/>
    </row>
    <row x14ac:dyDescent="0.25" r="737" customHeight="1" ht="12.75">
      <c r="A737" s="4"/>
      <c r="B737" s="29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29"/>
      <c r="N737" s="29"/>
      <c r="O737" s="29"/>
      <c r="P737" s="32"/>
      <c r="Q737" s="32"/>
      <c r="R737" s="4"/>
      <c r="S737" s="4"/>
      <c r="T737" s="4"/>
      <c r="U737" s="4"/>
      <c r="V737" s="4"/>
    </row>
    <row x14ac:dyDescent="0.25" r="738" customHeight="1" ht="12.75">
      <c r="A738" s="4"/>
      <c r="B738" s="29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29"/>
      <c r="N738" s="29"/>
      <c r="O738" s="29"/>
      <c r="P738" s="32"/>
      <c r="Q738" s="32"/>
      <c r="R738" s="4"/>
      <c r="S738" s="4"/>
      <c r="T738" s="4"/>
      <c r="U738" s="4"/>
      <c r="V738" s="4"/>
    </row>
    <row x14ac:dyDescent="0.25" r="739" customHeight="1" ht="12.75">
      <c r="A739" s="4"/>
      <c r="B739" s="29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29"/>
      <c r="N739" s="29"/>
      <c r="O739" s="29"/>
      <c r="P739" s="32"/>
      <c r="Q739" s="32"/>
      <c r="R739" s="4"/>
      <c r="S739" s="4"/>
      <c r="T739" s="4"/>
      <c r="U739" s="4"/>
      <c r="V739" s="4"/>
    </row>
    <row x14ac:dyDescent="0.25" r="740" customHeight="1" ht="12.75">
      <c r="A740" s="4"/>
      <c r="B740" s="29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29"/>
      <c r="N740" s="29"/>
      <c r="O740" s="29"/>
      <c r="P740" s="32"/>
      <c r="Q740" s="32"/>
      <c r="R740" s="4"/>
      <c r="S740" s="4"/>
      <c r="T740" s="4"/>
      <c r="U740" s="4"/>
      <c r="V740" s="4"/>
    </row>
    <row x14ac:dyDescent="0.25" r="741" customHeight="1" ht="12.75">
      <c r="A741" s="4"/>
      <c r="B741" s="29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29"/>
      <c r="N741" s="29"/>
      <c r="O741" s="29"/>
      <c r="P741" s="32"/>
      <c r="Q741" s="32"/>
      <c r="R741" s="4"/>
      <c r="S741" s="4"/>
      <c r="T741" s="4"/>
      <c r="U741" s="4"/>
      <c r="V741" s="4"/>
    </row>
    <row x14ac:dyDescent="0.25" r="742" customHeight="1" ht="12.75">
      <c r="A742" s="4"/>
      <c r="B742" s="29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29"/>
      <c r="N742" s="29"/>
      <c r="O742" s="29"/>
      <c r="P742" s="32"/>
      <c r="Q742" s="32"/>
      <c r="R742" s="4"/>
      <c r="S742" s="4"/>
      <c r="T742" s="4"/>
      <c r="U742" s="4"/>
      <c r="V742" s="4"/>
    </row>
    <row x14ac:dyDescent="0.25" r="743" customHeight="1" ht="12.75">
      <c r="A743" s="4"/>
      <c r="B743" s="29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29"/>
      <c r="N743" s="29"/>
      <c r="O743" s="29"/>
      <c r="P743" s="32"/>
      <c r="Q743" s="32"/>
      <c r="R743" s="4"/>
      <c r="S743" s="4"/>
      <c r="T743" s="4"/>
      <c r="U743" s="4"/>
      <c r="V743" s="4"/>
    </row>
    <row x14ac:dyDescent="0.25" r="744" customHeight="1" ht="12.75">
      <c r="A744" s="4"/>
      <c r="B744" s="29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29"/>
      <c r="N744" s="29"/>
      <c r="O744" s="29"/>
      <c r="P744" s="32"/>
      <c r="Q744" s="32"/>
      <c r="R744" s="4"/>
      <c r="S744" s="4"/>
      <c r="T744" s="4"/>
      <c r="U744" s="4"/>
      <c r="V744" s="4"/>
    </row>
    <row x14ac:dyDescent="0.25" r="745" customHeight="1" ht="12.75">
      <c r="A745" s="4"/>
      <c r="B745" s="29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29"/>
      <c r="N745" s="29"/>
      <c r="O745" s="29"/>
      <c r="P745" s="32"/>
      <c r="Q745" s="32"/>
      <c r="R745" s="4"/>
      <c r="S745" s="4"/>
      <c r="T745" s="4"/>
      <c r="U745" s="4"/>
      <c r="V745" s="4"/>
    </row>
    <row x14ac:dyDescent="0.25" r="746" customHeight="1" ht="12.75">
      <c r="A746" s="4"/>
      <c r="B746" s="29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29"/>
      <c r="N746" s="29"/>
      <c r="O746" s="29"/>
      <c r="P746" s="32"/>
      <c r="Q746" s="32"/>
      <c r="R746" s="4"/>
      <c r="S746" s="4"/>
      <c r="T746" s="4"/>
      <c r="U746" s="4"/>
      <c r="V746" s="4"/>
    </row>
    <row x14ac:dyDescent="0.25" r="747" customHeight="1" ht="12.75">
      <c r="A747" s="4"/>
      <c r="B747" s="29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29"/>
      <c r="N747" s="29"/>
      <c r="O747" s="29"/>
      <c r="P747" s="32"/>
      <c r="Q747" s="32"/>
      <c r="R747" s="4"/>
      <c r="S747" s="4"/>
      <c r="T747" s="4"/>
      <c r="U747" s="4"/>
      <c r="V747" s="4"/>
    </row>
    <row x14ac:dyDescent="0.25" r="748" customHeight="1" ht="12.75">
      <c r="A748" s="4"/>
      <c r="B748" s="29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29"/>
      <c r="N748" s="29"/>
      <c r="O748" s="29"/>
      <c r="P748" s="32"/>
      <c r="Q748" s="32"/>
      <c r="R748" s="4"/>
      <c r="S748" s="4"/>
      <c r="T748" s="4"/>
      <c r="U748" s="4"/>
      <c r="V748" s="4"/>
    </row>
    <row x14ac:dyDescent="0.25" r="749" customHeight="1" ht="12.75">
      <c r="A749" s="4"/>
      <c r="B749" s="29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29"/>
      <c r="N749" s="29"/>
      <c r="O749" s="29"/>
      <c r="P749" s="32"/>
      <c r="Q749" s="32"/>
      <c r="R749" s="4"/>
      <c r="S749" s="4"/>
      <c r="T749" s="4"/>
      <c r="U749" s="4"/>
      <c r="V749" s="4"/>
    </row>
    <row x14ac:dyDescent="0.25" r="750" customHeight="1" ht="12.75">
      <c r="A750" s="4"/>
      <c r="B750" s="29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29"/>
      <c r="N750" s="29"/>
      <c r="O750" s="29"/>
      <c r="P750" s="32"/>
      <c r="Q750" s="32"/>
      <c r="R750" s="4"/>
      <c r="S750" s="4"/>
      <c r="T750" s="4"/>
      <c r="U750" s="4"/>
      <c r="V750" s="4"/>
    </row>
    <row x14ac:dyDescent="0.25" r="751" customHeight="1" ht="12.75">
      <c r="A751" s="4"/>
      <c r="B751" s="29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29"/>
      <c r="N751" s="29"/>
      <c r="O751" s="29"/>
      <c r="P751" s="32"/>
      <c r="Q751" s="32"/>
      <c r="R751" s="4"/>
      <c r="S751" s="4"/>
      <c r="T751" s="4"/>
      <c r="U751" s="4"/>
      <c r="V751" s="4"/>
    </row>
    <row x14ac:dyDescent="0.25" r="752" customHeight="1" ht="12.75">
      <c r="A752" s="4"/>
      <c r="B752" s="29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29"/>
      <c r="N752" s="29"/>
      <c r="O752" s="29"/>
      <c r="P752" s="32"/>
      <c r="Q752" s="32"/>
      <c r="R752" s="4"/>
      <c r="S752" s="4"/>
      <c r="T752" s="4"/>
      <c r="U752" s="4"/>
      <c r="V752" s="4"/>
    </row>
    <row x14ac:dyDescent="0.25" r="753" customHeight="1" ht="12.75">
      <c r="A753" s="4"/>
      <c r="B753" s="29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29"/>
      <c r="N753" s="29"/>
      <c r="O753" s="29"/>
      <c r="P753" s="32"/>
      <c r="Q753" s="32"/>
      <c r="R753" s="4"/>
      <c r="S753" s="4"/>
      <c r="T753" s="4"/>
      <c r="U753" s="4"/>
      <c r="V753" s="4"/>
    </row>
    <row x14ac:dyDescent="0.25" r="754" customHeight="1" ht="12.75">
      <c r="A754" s="4"/>
      <c r="B754" s="29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29"/>
      <c r="N754" s="29"/>
      <c r="O754" s="29"/>
      <c r="P754" s="32"/>
      <c r="Q754" s="32"/>
      <c r="R754" s="4"/>
      <c r="S754" s="4"/>
      <c r="T754" s="4"/>
      <c r="U754" s="4"/>
      <c r="V754" s="4"/>
    </row>
    <row x14ac:dyDescent="0.25" r="755" customHeight="1" ht="12.75">
      <c r="A755" s="4"/>
      <c r="B755" s="29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29"/>
      <c r="N755" s="29"/>
      <c r="O755" s="29"/>
      <c r="P755" s="32"/>
      <c r="Q755" s="32"/>
      <c r="R755" s="4"/>
      <c r="S755" s="4"/>
      <c r="T755" s="4"/>
      <c r="U755" s="4"/>
      <c r="V755" s="4"/>
    </row>
    <row x14ac:dyDescent="0.25" r="756" customHeight="1" ht="12.75">
      <c r="A756" s="4"/>
      <c r="B756" s="29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29"/>
      <c r="N756" s="29"/>
      <c r="O756" s="29"/>
      <c r="P756" s="32"/>
      <c r="Q756" s="32"/>
      <c r="R756" s="4"/>
      <c r="S756" s="4"/>
      <c r="T756" s="4"/>
      <c r="U756" s="4"/>
      <c r="V756" s="4"/>
    </row>
    <row x14ac:dyDescent="0.25" r="757" customHeight="1" ht="12.75">
      <c r="A757" s="4"/>
      <c r="B757" s="29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29"/>
      <c r="N757" s="29"/>
      <c r="O757" s="29"/>
      <c r="P757" s="32"/>
      <c r="Q757" s="32"/>
      <c r="R757" s="4"/>
      <c r="S757" s="4"/>
      <c r="T757" s="4"/>
      <c r="U757" s="4"/>
      <c r="V757" s="4"/>
    </row>
    <row x14ac:dyDescent="0.25" r="758" customHeight="1" ht="12.75">
      <c r="A758" s="4"/>
      <c r="B758" s="29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29"/>
      <c r="N758" s="29"/>
      <c r="O758" s="29"/>
      <c r="P758" s="32"/>
      <c r="Q758" s="32"/>
      <c r="R758" s="4"/>
      <c r="S758" s="4"/>
      <c r="T758" s="4"/>
      <c r="U758" s="4"/>
      <c r="V758" s="4"/>
    </row>
    <row x14ac:dyDescent="0.25" r="759" customHeight="1" ht="12.75">
      <c r="A759" s="4"/>
      <c r="B759" s="29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29"/>
      <c r="N759" s="29"/>
      <c r="O759" s="29"/>
      <c r="P759" s="32"/>
      <c r="Q759" s="32"/>
      <c r="R759" s="4"/>
      <c r="S759" s="4"/>
      <c r="T759" s="4"/>
      <c r="U759" s="4"/>
      <c r="V759" s="4"/>
    </row>
    <row x14ac:dyDescent="0.25" r="760" customHeight="1" ht="12.75">
      <c r="A760" s="4"/>
      <c r="B760" s="29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29"/>
      <c r="N760" s="29"/>
      <c r="O760" s="29"/>
      <c r="P760" s="32"/>
      <c r="Q760" s="32"/>
      <c r="R760" s="4"/>
      <c r="S760" s="4"/>
      <c r="T760" s="4"/>
      <c r="U760" s="4"/>
      <c r="V760" s="4"/>
    </row>
    <row x14ac:dyDescent="0.25" r="761" customHeight="1" ht="12.75">
      <c r="A761" s="4"/>
      <c r="B761" s="29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29"/>
      <c r="N761" s="29"/>
      <c r="O761" s="29"/>
      <c r="P761" s="32"/>
      <c r="Q761" s="32"/>
      <c r="R761" s="4"/>
      <c r="S761" s="4"/>
      <c r="T761" s="4"/>
      <c r="U761" s="4"/>
      <c r="V761" s="4"/>
    </row>
    <row x14ac:dyDescent="0.25" r="762" customHeight="1" ht="12.75">
      <c r="A762" s="4"/>
      <c r="B762" s="29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29"/>
      <c r="N762" s="29"/>
      <c r="O762" s="29"/>
      <c r="P762" s="32"/>
      <c r="Q762" s="32"/>
      <c r="R762" s="4"/>
      <c r="S762" s="4"/>
      <c r="T762" s="4"/>
      <c r="U762" s="4"/>
      <c r="V762" s="4"/>
    </row>
    <row x14ac:dyDescent="0.25" r="763" customHeight="1" ht="12.75">
      <c r="A763" s="4"/>
      <c r="B763" s="29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29"/>
      <c r="N763" s="29"/>
      <c r="O763" s="29"/>
      <c r="P763" s="32"/>
      <c r="Q763" s="32"/>
      <c r="R763" s="4"/>
      <c r="S763" s="4"/>
      <c r="T763" s="4"/>
      <c r="U763" s="4"/>
      <c r="V763" s="4"/>
    </row>
    <row x14ac:dyDescent="0.25" r="764" customHeight="1" ht="12.75">
      <c r="A764" s="4"/>
      <c r="B764" s="29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29"/>
      <c r="N764" s="29"/>
      <c r="O764" s="29"/>
      <c r="P764" s="32"/>
      <c r="Q764" s="32"/>
      <c r="R764" s="4"/>
      <c r="S764" s="4"/>
      <c r="T764" s="4"/>
      <c r="U764" s="4"/>
      <c r="V764" s="4"/>
    </row>
    <row x14ac:dyDescent="0.25" r="765" customHeight="1" ht="12.75">
      <c r="A765" s="4"/>
      <c r="B765" s="29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29"/>
      <c r="N765" s="29"/>
      <c r="O765" s="29"/>
      <c r="P765" s="32"/>
      <c r="Q765" s="32"/>
      <c r="R765" s="4"/>
      <c r="S765" s="4"/>
      <c r="T765" s="4"/>
      <c r="U765" s="4"/>
      <c r="V765" s="4"/>
    </row>
    <row x14ac:dyDescent="0.25" r="766" customHeight="1" ht="12.75">
      <c r="A766" s="4"/>
      <c r="B766" s="29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29"/>
      <c r="N766" s="29"/>
      <c r="O766" s="29"/>
      <c r="P766" s="32"/>
      <c r="Q766" s="32"/>
      <c r="R766" s="4"/>
      <c r="S766" s="4"/>
      <c r="T766" s="4"/>
      <c r="U766" s="4"/>
      <c r="V766" s="4"/>
    </row>
    <row x14ac:dyDescent="0.25" r="767" customHeight="1" ht="12.75">
      <c r="A767" s="4"/>
      <c r="B767" s="29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29"/>
      <c r="N767" s="29"/>
      <c r="O767" s="29"/>
      <c r="P767" s="32"/>
      <c r="Q767" s="32"/>
      <c r="R767" s="4"/>
      <c r="S767" s="4"/>
      <c r="T767" s="4"/>
      <c r="U767" s="4"/>
      <c r="V767" s="4"/>
    </row>
    <row x14ac:dyDescent="0.25" r="768" customHeight="1" ht="12.75">
      <c r="A768" s="4"/>
      <c r="B768" s="29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29"/>
      <c r="N768" s="29"/>
      <c r="O768" s="29"/>
      <c r="P768" s="32"/>
      <c r="Q768" s="32"/>
      <c r="R768" s="4"/>
      <c r="S768" s="4"/>
      <c r="T768" s="4"/>
      <c r="U768" s="4"/>
      <c r="V768" s="4"/>
    </row>
    <row x14ac:dyDescent="0.25" r="769" customHeight="1" ht="12.75">
      <c r="A769" s="4"/>
      <c r="B769" s="29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29"/>
      <c r="N769" s="29"/>
      <c r="O769" s="29"/>
      <c r="P769" s="32"/>
      <c r="Q769" s="32"/>
      <c r="R769" s="4"/>
      <c r="S769" s="4"/>
      <c r="T769" s="4"/>
      <c r="U769" s="4"/>
      <c r="V769" s="4"/>
    </row>
    <row x14ac:dyDescent="0.25" r="770" customHeight="1" ht="12.75">
      <c r="A770" s="4"/>
      <c r="B770" s="29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29"/>
      <c r="N770" s="29"/>
      <c r="O770" s="29"/>
      <c r="P770" s="32"/>
      <c r="Q770" s="32"/>
      <c r="R770" s="4"/>
      <c r="S770" s="4"/>
      <c r="T770" s="4"/>
      <c r="U770" s="4"/>
      <c r="V770" s="4"/>
    </row>
    <row x14ac:dyDescent="0.25" r="771" customHeight="1" ht="12.75">
      <c r="A771" s="4"/>
      <c r="B771" s="29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29"/>
      <c r="N771" s="29"/>
      <c r="O771" s="29"/>
      <c r="P771" s="32"/>
      <c r="Q771" s="32"/>
      <c r="R771" s="4"/>
      <c r="S771" s="4"/>
      <c r="T771" s="4"/>
      <c r="U771" s="4"/>
      <c r="V771" s="4"/>
    </row>
    <row x14ac:dyDescent="0.25" r="772" customHeight="1" ht="12.75">
      <c r="A772" s="4"/>
      <c r="B772" s="29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29"/>
      <c r="N772" s="29"/>
      <c r="O772" s="29"/>
      <c r="P772" s="32"/>
      <c r="Q772" s="32"/>
      <c r="R772" s="4"/>
      <c r="S772" s="4"/>
      <c r="T772" s="4"/>
      <c r="U772" s="4"/>
      <c r="V772" s="4"/>
    </row>
    <row x14ac:dyDescent="0.25" r="773" customHeight="1" ht="12.75">
      <c r="A773" s="4"/>
      <c r="B773" s="29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29"/>
      <c r="N773" s="29"/>
      <c r="O773" s="29"/>
      <c r="P773" s="32"/>
      <c r="Q773" s="32"/>
      <c r="R773" s="4"/>
      <c r="S773" s="4"/>
      <c r="T773" s="4"/>
      <c r="U773" s="4"/>
      <c r="V773" s="4"/>
    </row>
    <row x14ac:dyDescent="0.25" r="774" customHeight="1" ht="12.75">
      <c r="A774" s="4"/>
      <c r="B774" s="29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29"/>
      <c r="N774" s="29"/>
      <c r="O774" s="29"/>
      <c r="P774" s="32"/>
      <c r="Q774" s="32"/>
      <c r="R774" s="4"/>
      <c r="S774" s="4"/>
      <c r="T774" s="4"/>
      <c r="U774" s="4"/>
      <c r="V774" s="4"/>
    </row>
    <row x14ac:dyDescent="0.25" r="775" customHeight="1" ht="12.75">
      <c r="A775" s="4"/>
      <c r="B775" s="29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29"/>
      <c r="N775" s="29"/>
      <c r="O775" s="29"/>
      <c r="P775" s="32"/>
      <c r="Q775" s="32"/>
      <c r="R775" s="4"/>
      <c r="S775" s="4"/>
      <c r="T775" s="4"/>
      <c r="U775" s="4"/>
      <c r="V775" s="4"/>
    </row>
    <row x14ac:dyDescent="0.25" r="776" customHeight="1" ht="12.75">
      <c r="A776" s="4"/>
      <c r="B776" s="29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29"/>
      <c r="N776" s="29"/>
      <c r="O776" s="29"/>
      <c r="P776" s="32"/>
      <c r="Q776" s="32"/>
      <c r="R776" s="4"/>
      <c r="S776" s="4"/>
      <c r="T776" s="4"/>
      <c r="U776" s="4"/>
      <c r="V776" s="4"/>
    </row>
    <row x14ac:dyDescent="0.25" r="777" customHeight="1" ht="12.75">
      <c r="A777" s="4"/>
      <c r="B777" s="29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29"/>
      <c r="N777" s="29"/>
      <c r="O777" s="29"/>
      <c r="P777" s="32"/>
      <c r="Q777" s="32"/>
      <c r="R777" s="4"/>
      <c r="S777" s="4"/>
      <c r="T777" s="4"/>
      <c r="U777" s="4"/>
      <c r="V777" s="4"/>
    </row>
    <row x14ac:dyDescent="0.25" r="778" customHeight="1" ht="12.75">
      <c r="A778" s="4"/>
      <c r="B778" s="29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29"/>
      <c r="N778" s="29"/>
      <c r="O778" s="29"/>
      <c r="P778" s="32"/>
      <c r="Q778" s="32"/>
      <c r="R778" s="4"/>
      <c r="S778" s="4"/>
      <c r="T778" s="4"/>
      <c r="U778" s="4"/>
      <c r="V778" s="4"/>
    </row>
    <row x14ac:dyDescent="0.25" r="779" customHeight="1" ht="12.75">
      <c r="A779" s="4"/>
      <c r="B779" s="29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29"/>
      <c r="N779" s="29"/>
      <c r="O779" s="29"/>
      <c r="P779" s="32"/>
      <c r="Q779" s="32"/>
      <c r="R779" s="4"/>
      <c r="S779" s="4"/>
      <c r="T779" s="4"/>
      <c r="U779" s="4"/>
      <c r="V779" s="4"/>
    </row>
    <row x14ac:dyDescent="0.25" r="780" customHeight="1" ht="12.75">
      <c r="A780" s="4"/>
      <c r="B780" s="29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29"/>
      <c r="N780" s="29"/>
      <c r="O780" s="29"/>
      <c r="P780" s="32"/>
      <c r="Q780" s="32"/>
      <c r="R780" s="4"/>
      <c r="S780" s="4"/>
      <c r="T780" s="4"/>
      <c r="U780" s="4"/>
      <c r="V780" s="4"/>
    </row>
    <row x14ac:dyDescent="0.25" r="781" customHeight="1" ht="12.75">
      <c r="A781" s="4"/>
      <c r="B781" s="29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29"/>
      <c r="N781" s="29"/>
      <c r="O781" s="29"/>
      <c r="P781" s="32"/>
      <c r="Q781" s="32"/>
      <c r="R781" s="4"/>
      <c r="S781" s="4"/>
      <c r="T781" s="4"/>
      <c r="U781" s="4"/>
      <c r="V781" s="4"/>
    </row>
    <row x14ac:dyDescent="0.25" r="782" customHeight="1" ht="12.75">
      <c r="A782" s="4"/>
      <c r="B782" s="29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29"/>
      <c r="N782" s="29"/>
      <c r="O782" s="29"/>
      <c r="P782" s="32"/>
      <c r="Q782" s="32"/>
      <c r="R782" s="4"/>
      <c r="S782" s="4"/>
      <c r="T782" s="4"/>
      <c r="U782" s="4"/>
      <c r="V782" s="4"/>
    </row>
    <row x14ac:dyDescent="0.25" r="783" customHeight="1" ht="12.75">
      <c r="A783" s="4"/>
      <c r="B783" s="29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29"/>
      <c r="N783" s="29"/>
      <c r="O783" s="29"/>
      <c r="P783" s="32"/>
      <c r="Q783" s="32"/>
      <c r="R783" s="4"/>
      <c r="S783" s="4"/>
      <c r="T783" s="4"/>
      <c r="U783" s="4"/>
      <c r="V783" s="4"/>
    </row>
    <row x14ac:dyDescent="0.25" r="784" customHeight="1" ht="12.75">
      <c r="A784" s="4"/>
      <c r="B784" s="29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29"/>
      <c r="N784" s="29"/>
      <c r="O784" s="29"/>
      <c r="P784" s="32"/>
      <c r="Q784" s="32"/>
      <c r="R784" s="4"/>
      <c r="S784" s="4"/>
      <c r="T784" s="4"/>
      <c r="U784" s="4"/>
      <c r="V784" s="4"/>
    </row>
    <row x14ac:dyDescent="0.25" r="785" customHeight="1" ht="12.75">
      <c r="A785" s="4"/>
      <c r="B785" s="29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29"/>
      <c r="N785" s="29"/>
      <c r="O785" s="29"/>
      <c r="P785" s="32"/>
      <c r="Q785" s="32"/>
      <c r="R785" s="4"/>
      <c r="S785" s="4"/>
      <c r="T785" s="4"/>
      <c r="U785" s="4"/>
      <c r="V785" s="4"/>
    </row>
    <row x14ac:dyDescent="0.25" r="786" customHeight="1" ht="12.75">
      <c r="A786" s="4"/>
      <c r="B786" s="29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29"/>
      <c r="N786" s="29"/>
      <c r="O786" s="29"/>
      <c r="P786" s="32"/>
      <c r="Q786" s="32"/>
      <c r="R786" s="4"/>
      <c r="S786" s="4"/>
      <c r="T786" s="4"/>
      <c r="U786" s="4"/>
      <c r="V786" s="4"/>
    </row>
    <row x14ac:dyDescent="0.25" r="787" customHeight="1" ht="12.75">
      <c r="A787" s="4"/>
      <c r="B787" s="29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29"/>
      <c r="N787" s="29"/>
      <c r="O787" s="29"/>
      <c r="P787" s="32"/>
      <c r="Q787" s="32"/>
      <c r="R787" s="4"/>
      <c r="S787" s="4"/>
      <c r="T787" s="4"/>
      <c r="U787" s="4"/>
      <c r="V787" s="4"/>
    </row>
    <row x14ac:dyDescent="0.25" r="788" customHeight="1" ht="12.75">
      <c r="A788" s="4"/>
      <c r="B788" s="29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29"/>
      <c r="N788" s="29"/>
      <c r="O788" s="29"/>
      <c r="P788" s="32"/>
      <c r="Q788" s="32"/>
      <c r="R788" s="4"/>
      <c r="S788" s="4"/>
      <c r="T788" s="4"/>
      <c r="U788" s="4"/>
      <c r="V788" s="4"/>
    </row>
    <row x14ac:dyDescent="0.25" r="789" customHeight="1" ht="12.75">
      <c r="A789" s="4"/>
      <c r="B789" s="29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29"/>
      <c r="N789" s="29"/>
      <c r="O789" s="29"/>
      <c r="P789" s="32"/>
      <c r="Q789" s="32"/>
      <c r="R789" s="4"/>
      <c r="S789" s="4"/>
      <c r="T789" s="4"/>
      <c r="U789" s="4"/>
      <c r="V789" s="4"/>
    </row>
    <row x14ac:dyDescent="0.25" r="790" customHeight="1" ht="12.75">
      <c r="A790" s="4"/>
      <c r="B790" s="29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29"/>
      <c r="N790" s="29"/>
      <c r="O790" s="29"/>
      <c r="P790" s="32"/>
      <c r="Q790" s="32"/>
      <c r="R790" s="4"/>
      <c r="S790" s="4"/>
      <c r="T790" s="4"/>
      <c r="U790" s="4"/>
      <c r="V790" s="4"/>
    </row>
    <row x14ac:dyDescent="0.25" r="791" customHeight="1" ht="12.75">
      <c r="A791" s="4"/>
      <c r="B791" s="29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29"/>
      <c r="N791" s="29"/>
      <c r="O791" s="29"/>
      <c r="P791" s="32"/>
      <c r="Q791" s="32"/>
      <c r="R791" s="4"/>
      <c r="S791" s="4"/>
      <c r="T791" s="4"/>
      <c r="U791" s="4"/>
      <c r="V791" s="4"/>
    </row>
    <row x14ac:dyDescent="0.25" r="792" customHeight="1" ht="12.75">
      <c r="A792" s="4"/>
      <c r="B792" s="29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29"/>
      <c r="N792" s="29"/>
      <c r="O792" s="29"/>
      <c r="P792" s="32"/>
      <c r="Q792" s="32"/>
      <c r="R792" s="4"/>
      <c r="S792" s="4"/>
      <c r="T792" s="4"/>
      <c r="U792" s="4"/>
      <c r="V792" s="4"/>
    </row>
    <row x14ac:dyDescent="0.25" r="793" customHeight="1" ht="12.75">
      <c r="A793" s="4"/>
      <c r="B793" s="29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29"/>
      <c r="N793" s="29"/>
      <c r="O793" s="29"/>
      <c r="P793" s="32"/>
      <c r="Q793" s="32"/>
      <c r="R793" s="4"/>
      <c r="S793" s="4"/>
      <c r="T793" s="4"/>
      <c r="U793" s="4"/>
      <c r="V793" s="4"/>
    </row>
    <row x14ac:dyDescent="0.25" r="794" customHeight="1" ht="12.75">
      <c r="A794" s="4"/>
      <c r="B794" s="29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29"/>
      <c r="N794" s="29"/>
      <c r="O794" s="29"/>
      <c r="P794" s="32"/>
      <c r="Q794" s="32"/>
      <c r="R794" s="4"/>
      <c r="S794" s="4"/>
      <c r="T794" s="4"/>
      <c r="U794" s="4"/>
      <c r="V794" s="4"/>
    </row>
    <row x14ac:dyDescent="0.25" r="795" customHeight="1" ht="12.75">
      <c r="A795" s="4"/>
      <c r="B795" s="29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29"/>
      <c r="N795" s="29"/>
      <c r="O795" s="29"/>
      <c r="P795" s="32"/>
      <c r="Q795" s="32"/>
      <c r="R795" s="4"/>
      <c r="S795" s="4"/>
      <c r="T795" s="4"/>
      <c r="U795" s="4"/>
      <c r="V795" s="4"/>
    </row>
    <row x14ac:dyDescent="0.25" r="796" customHeight="1" ht="12.75">
      <c r="A796" s="4"/>
      <c r="B796" s="29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29"/>
      <c r="N796" s="29"/>
      <c r="O796" s="29"/>
      <c r="P796" s="32"/>
      <c r="Q796" s="32"/>
      <c r="R796" s="4"/>
      <c r="S796" s="4"/>
      <c r="T796" s="4"/>
      <c r="U796" s="4"/>
      <c r="V796" s="4"/>
    </row>
    <row x14ac:dyDescent="0.25" r="797" customHeight="1" ht="12.75">
      <c r="A797" s="4"/>
      <c r="B797" s="29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29"/>
      <c r="N797" s="29"/>
      <c r="O797" s="29"/>
      <c r="P797" s="32"/>
      <c r="Q797" s="32"/>
      <c r="R797" s="4"/>
      <c r="S797" s="4"/>
      <c r="T797" s="4"/>
      <c r="U797" s="4"/>
      <c r="V797" s="4"/>
    </row>
    <row x14ac:dyDescent="0.25" r="798" customHeight="1" ht="12.75">
      <c r="A798" s="4"/>
      <c r="B798" s="29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29"/>
      <c r="N798" s="29"/>
      <c r="O798" s="29"/>
      <c r="P798" s="32"/>
      <c r="Q798" s="32"/>
      <c r="R798" s="4"/>
      <c r="S798" s="4"/>
      <c r="T798" s="4"/>
      <c r="U798" s="4"/>
      <c r="V798" s="4"/>
    </row>
    <row x14ac:dyDescent="0.25" r="799" customHeight="1" ht="12.75">
      <c r="A799" s="4"/>
      <c r="B799" s="29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29"/>
      <c r="N799" s="29"/>
      <c r="O799" s="29"/>
      <c r="P799" s="32"/>
      <c r="Q799" s="32"/>
      <c r="R799" s="4"/>
      <c r="S799" s="4"/>
      <c r="T799" s="4"/>
      <c r="U799" s="4"/>
      <c r="V799" s="4"/>
    </row>
    <row x14ac:dyDescent="0.25" r="800" customHeight="1" ht="12.75">
      <c r="A800" s="4"/>
      <c r="B800" s="29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29"/>
      <c r="N800" s="29"/>
      <c r="O800" s="29"/>
      <c r="P800" s="32"/>
      <c r="Q800" s="32"/>
      <c r="R800" s="4"/>
      <c r="S800" s="4"/>
      <c r="T800" s="4"/>
      <c r="U800" s="4"/>
      <c r="V800" s="4"/>
    </row>
    <row x14ac:dyDescent="0.25" r="801" customHeight="1" ht="12.75">
      <c r="A801" s="4"/>
      <c r="B801" s="29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29"/>
      <c r="N801" s="29"/>
      <c r="O801" s="29"/>
      <c r="P801" s="32"/>
      <c r="Q801" s="32"/>
      <c r="R801" s="4"/>
      <c r="S801" s="4"/>
      <c r="T801" s="4"/>
      <c r="U801" s="4"/>
      <c r="V801" s="4"/>
    </row>
    <row x14ac:dyDescent="0.25" r="802" customHeight="1" ht="12.75">
      <c r="A802" s="4"/>
      <c r="B802" s="29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29"/>
      <c r="N802" s="29"/>
      <c r="O802" s="29"/>
      <c r="P802" s="32"/>
      <c r="Q802" s="32"/>
      <c r="R802" s="4"/>
      <c r="S802" s="4"/>
      <c r="T802" s="4"/>
      <c r="U802" s="4"/>
      <c r="V802" s="4"/>
    </row>
    <row x14ac:dyDescent="0.25" r="803" customHeight="1" ht="12.75">
      <c r="A803" s="4"/>
      <c r="B803" s="29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29"/>
      <c r="N803" s="29"/>
      <c r="O803" s="29"/>
      <c r="P803" s="32"/>
      <c r="Q803" s="32"/>
      <c r="R803" s="4"/>
      <c r="S803" s="4"/>
      <c r="T803" s="4"/>
      <c r="U803" s="4"/>
      <c r="V803" s="4"/>
    </row>
    <row x14ac:dyDescent="0.25" r="804" customHeight="1" ht="12.75">
      <c r="A804" s="4"/>
      <c r="B804" s="29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29"/>
      <c r="N804" s="29"/>
      <c r="O804" s="29"/>
      <c r="P804" s="32"/>
      <c r="Q804" s="32"/>
      <c r="R804" s="4"/>
      <c r="S804" s="4"/>
      <c r="T804" s="4"/>
      <c r="U804" s="4"/>
      <c r="V804" s="4"/>
    </row>
    <row x14ac:dyDescent="0.25" r="805" customHeight="1" ht="12.75">
      <c r="A805" s="4"/>
      <c r="B805" s="29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29"/>
      <c r="N805" s="29"/>
      <c r="O805" s="29"/>
      <c r="P805" s="32"/>
      <c r="Q805" s="32"/>
      <c r="R805" s="4"/>
      <c r="S805" s="4"/>
      <c r="T805" s="4"/>
      <c r="U805" s="4"/>
      <c r="V805" s="4"/>
    </row>
    <row x14ac:dyDescent="0.25" r="806" customHeight="1" ht="12.75">
      <c r="A806" s="4"/>
      <c r="B806" s="29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29"/>
      <c r="N806" s="29"/>
      <c r="O806" s="29"/>
      <c r="P806" s="32"/>
      <c r="Q806" s="32"/>
      <c r="R806" s="4"/>
      <c r="S806" s="4"/>
      <c r="T806" s="4"/>
      <c r="U806" s="4"/>
      <c r="V806" s="4"/>
    </row>
    <row x14ac:dyDescent="0.25" r="807" customHeight="1" ht="12.75">
      <c r="A807" s="4"/>
      <c r="B807" s="29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29"/>
      <c r="N807" s="29"/>
      <c r="O807" s="29"/>
      <c r="P807" s="32"/>
      <c r="Q807" s="32"/>
      <c r="R807" s="4"/>
      <c r="S807" s="4"/>
      <c r="T807" s="4"/>
      <c r="U807" s="4"/>
      <c r="V807" s="4"/>
    </row>
    <row x14ac:dyDescent="0.25" r="808" customHeight="1" ht="12.75">
      <c r="A808" s="4"/>
      <c r="B808" s="29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29"/>
      <c r="N808" s="29"/>
      <c r="O808" s="29"/>
      <c r="P808" s="32"/>
      <c r="Q808" s="32"/>
      <c r="R808" s="4"/>
      <c r="S808" s="4"/>
      <c r="T808" s="4"/>
      <c r="U808" s="4"/>
      <c r="V808" s="4"/>
    </row>
    <row x14ac:dyDescent="0.25" r="809" customHeight="1" ht="12.75">
      <c r="A809" s="4"/>
      <c r="B809" s="29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29"/>
      <c r="N809" s="29"/>
      <c r="O809" s="29"/>
      <c r="P809" s="32"/>
      <c r="Q809" s="32"/>
      <c r="R809" s="4"/>
      <c r="S809" s="4"/>
      <c r="T809" s="4"/>
      <c r="U809" s="4"/>
      <c r="V809" s="4"/>
    </row>
    <row x14ac:dyDescent="0.25" r="810" customHeight="1" ht="12.75">
      <c r="A810" s="4"/>
      <c r="B810" s="29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29"/>
      <c r="N810" s="29"/>
      <c r="O810" s="29"/>
      <c r="P810" s="32"/>
      <c r="Q810" s="32"/>
      <c r="R810" s="4"/>
      <c r="S810" s="4"/>
      <c r="T810" s="4"/>
      <c r="U810" s="4"/>
      <c r="V810" s="4"/>
    </row>
    <row x14ac:dyDescent="0.25" r="811" customHeight="1" ht="12.75">
      <c r="A811" s="4"/>
      <c r="B811" s="29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29"/>
      <c r="N811" s="29"/>
      <c r="O811" s="29"/>
      <c r="P811" s="32"/>
      <c r="Q811" s="32"/>
      <c r="R811" s="4"/>
      <c r="S811" s="4"/>
      <c r="T811" s="4"/>
      <c r="U811" s="4"/>
      <c r="V811" s="4"/>
    </row>
    <row x14ac:dyDescent="0.25" r="812" customHeight="1" ht="12.75">
      <c r="A812" s="4"/>
      <c r="B812" s="29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29"/>
      <c r="N812" s="29"/>
      <c r="O812" s="29"/>
      <c r="P812" s="32"/>
      <c r="Q812" s="32"/>
      <c r="R812" s="4"/>
      <c r="S812" s="4"/>
      <c r="T812" s="4"/>
      <c r="U812" s="4"/>
      <c r="V812" s="4"/>
    </row>
    <row x14ac:dyDescent="0.25" r="813" customHeight="1" ht="12.75">
      <c r="A813" s="4"/>
      <c r="B813" s="29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29"/>
      <c r="N813" s="29"/>
      <c r="O813" s="29"/>
      <c r="P813" s="32"/>
      <c r="Q813" s="32"/>
      <c r="R813" s="4"/>
      <c r="S813" s="4"/>
      <c r="T813" s="4"/>
      <c r="U813" s="4"/>
      <c r="V813" s="4"/>
    </row>
    <row x14ac:dyDescent="0.25" r="814" customHeight="1" ht="12.75">
      <c r="A814" s="4"/>
      <c r="B814" s="29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29"/>
      <c r="N814" s="29"/>
      <c r="O814" s="29"/>
      <c r="P814" s="32"/>
      <c r="Q814" s="32"/>
      <c r="R814" s="4"/>
      <c r="S814" s="4"/>
      <c r="T814" s="4"/>
      <c r="U814" s="4"/>
      <c r="V814" s="4"/>
    </row>
    <row x14ac:dyDescent="0.25" r="815" customHeight="1" ht="12.75">
      <c r="A815" s="4"/>
      <c r="B815" s="29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29"/>
      <c r="N815" s="29"/>
      <c r="O815" s="29"/>
      <c r="P815" s="32"/>
      <c r="Q815" s="32"/>
      <c r="R815" s="4"/>
      <c r="S815" s="4"/>
      <c r="T815" s="4"/>
      <c r="U815" s="4"/>
      <c r="V815" s="4"/>
    </row>
    <row x14ac:dyDescent="0.25" r="816" customHeight="1" ht="12.75">
      <c r="A816" s="4"/>
      <c r="B816" s="29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29"/>
      <c r="N816" s="29"/>
      <c r="O816" s="29"/>
      <c r="P816" s="32"/>
      <c r="Q816" s="32"/>
      <c r="R816" s="4"/>
      <c r="S816" s="4"/>
      <c r="T816" s="4"/>
      <c r="U816" s="4"/>
      <c r="V816" s="4"/>
    </row>
    <row x14ac:dyDescent="0.25" r="817" customHeight="1" ht="12.75">
      <c r="A817" s="4"/>
      <c r="B817" s="29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29"/>
      <c r="N817" s="29"/>
      <c r="O817" s="29"/>
      <c r="P817" s="32"/>
      <c r="Q817" s="32"/>
      <c r="R817" s="4"/>
      <c r="S817" s="4"/>
      <c r="T817" s="4"/>
      <c r="U817" s="4"/>
      <c r="V817" s="4"/>
    </row>
    <row x14ac:dyDescent="0.25" r="818" customHeight="1" ht="12.75">
      <c r="A818" s="4"/>
      <c r="B818" s="29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29"/>
      <c r="N818" s="29"/>
      <c r="O818" s="29"/>
      <c r="P818" s="32"/>
      <c r="Q818" s="32"/>
      <c r="R818" s="4"/>
      <c r="S818" s="4"/>
      <c r="T818" s="4"/>
      <c r="U818" s="4"/>
      <c r="V818" s="4"/>
    </row>
    <row x14ac:dyDescent="0.25" r="819" customHeight="1" ht="12.75">
      <c r="A819" s="4"/>
      <c r="B819" s="29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29"/>
      <c r="N819" s="29"/>
      <c r="O819" s="29"/>
      <c r="P819" s="32"/>
      <c r="Q819" s="32"/>
      <c r="R819" s="4"/>
      <c r="S819" s="4"/>
      <c r="T819" s="4"/>
      <c r="U819" s="4"/>
      <c r="V819" s="4"/>
    </row>
    <row x14ac:dyDescent="0.25" r="820" customHeight="1" ht="12.75">
      <c r="A820" s="4"/>
      <c r="B820" s="29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29"/>
      <c r="N820" s="29"/>
      <c r="O820" s="29"/>
      <c r="P820" s="32"/>
      <c r="Q820" s="32"/>
      <c r="R820" s="4"/>
      <c r="S820" s="4"/>
      <c r="T820" s="4"/>
      <c r="U820" s="4"/>
      <c r="V820" s="4"/>
    </row>
    <row x14ac:dyDescent="0.25" r="821" customHeight="1" ht="12.75">
      <c r="A821" s="4"/>
      <c r="B821" s="29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29"/>
      <c r="N821" s="29"/>
      <c r="O821" s="29"/>
      <c r="P821" s="32"/>
      <c r="Q821" s="32"/>
      <c r="R821" s="4"/>
      <c r="S821" s="4"/>
      <c r="T821" s="4"/>
      <c r="U821" s="4"/>
      <c r="V821" s="4"/>
    </row>
    <row x14ac:dyDescent="0.25" r="822" customHeight="1" ht="12.75">
      <c r="A822" s="4"/>
      <c r="B822" s="29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29"/>
      <c r="N822" s="29"/>
      <c r="O822" s="29"/>
      <c r="P822" s="32"/>
      <c r="Q822" s="32"/>
      <c r="R822" s="4"/>
      <c r="S822" s="4"/>
      <c r="T822" s="4"/>
      <c r="U822" s="4"/>
      <c r="V822" s="4"/>
    </row>
    <row x14ac:dyDescent="0.25" r="823" customHeight="1" ht="12.75">
      <c r="A823" s="4"/>
      <c r="B823" s="29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29"/>
      <c r="N823" s="29"/>
      <c r="O823" s="29"/>
      <c r="P823" s="32"/>
      <c r="Q823" s="32"/>
      <c r="R823" s="4"/>
      <c r="S823" s="4"/>
      <c r="T823" s="4"/>
      <c r="U823" s="4"/>
      <c r="V823" s="4"/>
    </row>
    <row x14ac:dyDescent="0.25" r="824" customHeight="1" ht="12.75">
      <c r="A824" s="4"/>
      <c r="B824" s="29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29"/>
      <c r="N824" s="29"/>
      <c r="O824" s="29"/>
      <c r="P824" s="32"/>
      <c r="Q824" s="32"/>
      <c r="R824" s="4"/>
      <c r="S824" s="4"/>
      <c r="T824" s="4"/>
      <c r="U824" s="4"/>
      <c r="V824" s="4"/>
    </row>
    <row x14ac:dyDescent="0.25" r="825" customHeight="1" ht="12.75">
      <c r="A825" s="4"/>
      <c r="B825" s="29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29"/>
      <c r="N825" s="29"/>
      <c r="O825" s="29"/>
      <c r="P825" s="32"/>
      <c r="Q825" s="32"/>
      <c r="R825" s="4"/>
      <c r="S825" s="4"/>
      <c r="T825" s="4"/>
      <c r="U825" s="4"/>
      <c r="V825" s="4"/>
    </row>
    <row x14ac:dyDescent="0.25" r="826" customHeight="1" ht="12.75">
      <c r="A826" s="4"/>
      <c r="B826" s="29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29"/>
      <c r="N826" s="29"/>
      <c r="O826" s="29"/>
      <c r="P826" s="32"/>
      <c r="Q826" s="32"/>
      <c r="R826" s="4"/>
      <c r="S826" s="4"/>
      <c r="T826" s="4"/>
      <c r="U826" s="4"/>
      <c r="V826" s="4"/>
    </row>
    <row x14ac:dyDescent="0.25" r="827" customHeight="1" ht="12.75">
      <c r="A827" s="4"/>
      <c r="B827" s="29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29"/>
      <c r="N827" s="29"/>
      <c r="O827" s="29"/>
      <c r="P827" s="32"/>
      <c r="Q827" s="32"/>
      <c r="R827" s="4"/>
      <c r="S827" s="4"/>
      <c r="T827" s="4"/>
      <c r="U827" s="4"/>
      <c r="V827" s="4"/>
    </row>
    <row x14ac:dyDescent="0.25" r="828" customHeight="1" ht="12.75">
      <c r="A828" s="4"/>
      <c r="B828" s="29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29"/>
      <c r="N828" s="29"/>
      <c r="O828" s="29"/>
      <c r="P828" s="32"/>
      <c r="Q828" s="32"/>
      <c r="R828" s="4"/>
      <c r="S828" s="4"/>
      <c r="T828" s="4"/>
      <c r="U828" s="4"/>
      <c r="V828" s="4"/>
    </row>
    <row x14ac:dyDescent="0.25" r="829" customHeight="1" ht="12.75">
      <c r="A829" s="4"/>
      <c r="B829" s="29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29"/>
      <c r="N829" s="29"/>
      <c r="O829" s="29"/>
      <c r="P829" s="32"/>
      <c r="Q829" s="32"/>
      <c r="R829" s="4"/>
      <c r="S829" s="4"/>
      <c r="T829" s="4"/>
      <c r="U829" s="4"/>
      <c r="V829" s="4"/>
    </row>
    <row x14ac:dyDescent="0.25" r="830" customHeight="1" ht="12.75">
      <c r="A830" s="4"/>
      <c r="B830" s="29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29"/>
      <c r="N830" s="29"/>
      <c r="O830" s="29"/>
      <c r="P830" s="32"/>
      <c r="Q830" s="32"/>
      <c r="R830" s="4"/>
      <c r="S830" s="4"/>
      <c r="T830" s="4"/>
      <c r="U830" s="4"/>
      <c r="V830" s="4"/>
    </row>
    <row x14ac:dyDescent="0.25" r="831" customHeight="1" ht="12.75">
      <c r="A831" s="4"/>
      <c r="B831" s="29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29"/>
      <c r="N831" s="29"/>
      <c r="O831" s="29"/>
      <c r="P831" s="32"/>
      <c r="Q831" s="32"/>
      <c r="R831" s="4"/>
      <c r="S831" s="4"/>
      <c r="T831" s="4"/>
      <c r="U831" s="4"/>
      <c r="V831" s="4"/>
    </row>
    <row x14ac:dyDescent="0.25" r="832" customHeight="1" ht="12.75">
      <c r="A832" s="4"/>
      <c r="B832" s="29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29"/>
      <c r="N832" s="29"/>
      <c r="O832" s="29"/>
      <c r="P832" s="32"/>
      <c r="Q832" s="32"/>
      <c r="R832" s="4"/>
      <c r="S832" s="4"/>
      <c r="T832" s="4"/>
      <c r="U832" s="4"/>
      <c r="V832" s="4"/>
    </row>
    <row x14ac:dyDescent="0.25" r="833" customHeight="1" ht="12.75">
      <c r="A833" s="4"/>
      <c r="B833" s="29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29"/>
      <c r="N833" s="29"/>
      <c r="O833" s="29"/>
      <c r="P833" s="32"/>
      <c r="Q833" s="32"/>
      <c r="R833" s="4"/>
      <c r="S833" s="4"/>
      <c r="T833" s="4"/>
      <c r="U833" s="4"/>
      <c r="V833" s="4"/>
    </row>
    <row x14ac:dyDescent="0.25" r="834" customHeight="1" ht="12.75">
      <c r="A834" s="4"/>
      <c r="B834" s="29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29"/>
      <c r="N834" s="29"/>
      <c r="O834" s="29"/>
      <c r="P834" s="32"/>
      <c r="Q834" s="32"/>
      <c r="R834" s="4"/>
      <c r="S834" s="4"/>
      <c r="T834" s="4"/>
      <c r="U834" s="4"/>
      <c r="V834" s="4"/>
    </row>
    <row x14ac:dyDescent="0.25" r="835" customHeight="1" ht="12.75">
      <c r="A835" s="4"/>
      <c r="B835" s="29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29"/>
      <c r="N835" s="29"/>
      <c r="O835" s="29"/>
      <c r="P835" s="32"/>
      <c r="Q835" s="32"/>
      <c r="R835" s="4"/>
      <c r="S835" s="4"/>
      <c r="T835" s="4"/>
      <c r="U835" s="4"/>
      <c r="V835" s="4"/>
    </row>
    <row x14ac:dyDescent="0.25" r="836" customHeight="1" ht="12.75">
      <c r="A836" s="4"/>
      <c r="B836" s="29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29"/>
      <c r="N836" s="29"/>
      <c r="O836" s="29"/>
      <c r="P836" s="32"/>
      <c r="Q836" s="32"/>
      <c r="R836" s="4"/>
      <c r="S836" s="4"/>
      <c r="T836" s="4"/>
      <c r="U836" s="4"/>
      <c r="V836" s="4"/>
    </row>
    <row x14ac:dyDescent="0.25" r="837" customHeight="1" ht="12.75">
      <c r="A837" s="4"/>
      <c r="B837" s="29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29"/>
      <c r="N837" s="29"/>
      <c r="O837" s="29"/>
      <c r="P837" s="32"/>
      <c r="Q837" s="32"/>
      <c r="R837" s="4"/>
      <c r="S837" s="4"/>
      <c r="T837" s="4"/>
      <c r="U837" s="4"/>
      <c r="V837" s="4"/>
    </row>
    <row x14ac:dyDescent="0.25" r="838" customHeight="1" ht="12.75">
      <c r="A838" s="4"/>
      <c r="B838" s="29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29"/>
      <c r="N838" s="29"/>
      <c r="O838" s="29"/>
      <c r="P838" s="32"/>
      <c r="Q838" s="32"/>
      <c r="R838" s="4"/>
      <c r="S838" s="4"/>
      <c r="T838" s="4"/>
      <c r="U838" s="4"/>
      <c r="V838" s="4"/>
    </row>
    <row x14ac:dyDescent="0.25" r="839" customHeight="1" ht="12.75">
      <c r="A839" s="4"/>
      <c r="B839" s="29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29"/>
      <c r="N839" s="29"/>
      <c r="O839" s="29"/>
      <c r="P839" s="32"/>
      <c r="Q839" s="32"/>
      <c r="R839" s="4"/>
      <c r="S839" s="4"/>
      <c r="T839" s="4"/>
      <c r="U839" s="4"/>
      <c r="V839" s="4"/>
    </row>
    <row x14ac:dyDescent="0.25" r="840" customHeight="1" ht="12.75">
      <c r="A840" s="4"/>
      <c r="B840" s="29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29"/>
      <c r="N840" s="29"/>
      <c r="O840" s="29"/>
      <c r="P840" s="32"/>
      <c r="Q840" s="32"/>
      <c r="R840" s="4"/>
      <c r="S840" s="4"/>
      <c r="T840" s="4"/>
      <c r="U840" s="4"/>
      <c r="V840" s="4"/>
    </row>
    <row x14ac:dyDescent="0.25" r="841" customHeight="1" ht="12.75">
      <c r="A841" s="4"/>
      <c r="B841" s="29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29"/>
      <c r="N841" s="29"/>
      <c r="O841" s="29"/>
      <c r="P841" s="32"/>
      <c r="Q841" s="32"/>
      <c r="R841" s="4"/>
      <c r="S841" s="4"/>
      <c r="T841" s="4"/>
      <c r="U841" s="4"/>
      <c r="V841" s="4"/>
    </row>
    <row x14ac:dyDescent="0.25" r="842" customHeight="1" ht="12.75">
      <c r="A842" s="4"/>
      <c r="B842" s="29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29"/>
      <c r="N842" s="29"/>
      <c r="O842" s="29"/>
      <c r="P842" s="32"/>
      <c r="Q842" s="32"/>
      <c r="R842" s="4"/>
      <c r="S842" s="4"/>
      <c r="T842" s="4"/>
      <c r="U842" s="4"/>
      <c r="V842" s="4"/>
    </row>
    <row x14ac:dyDescent="0.25" r="843" customHeight="1" ht="12.75">
      <c r="A843" s="4"/>
      <c r="B843" s="29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29"/>
      <c r="N843" s="29"/>
      <c r="O843" s="29"/>
      <c r="P843" s="32"/>
      <c r="Q843" s="32"/>
      <c r="R843" s="4"/>
      <c r="S843" s="4"/>
      <c r="T843" s="4"/>
      <c r="U843" s="4"/>
      <c r="V843" s="4"/>
    </row>
    <row x14ac:dyDescent="0.25" r="844" customHeight="1" ht="12.75">
      <c r="A844" s="4"/>
      <c r="B844" s="29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29"/>
      <c r="N844" s="29"/>
      <c r="O844" s="29"/>
      <c r="P844" s="32"/>
      <c r="Q844" s="32"/>
      <c r="R844" s="4"/>
      <c r="S844" s="4"/>
      <c r="T844" s="4"/>
      <c r="U844" s="4"/>
      <c r="V844" s="4"/>
    </row>
    <row x14ac:dyDescent="0.25" r="845" customHeight="1" ht="12.75">
      <c r="A845" s="4"/>
      <c r="B845" s="29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29"/>
      <c r="N845" s="29"/>
      <c r="O845" s="29"/>
      <c r="P845" s="32"/>
      <c r="Q845" s="32"/>
      <c r="R845" s="4"/>
      <c r="S845" s="4"/>
      <c r="T845" s="4"/>
      <c r="U845" s="4"/>
      <c r="V845" s="4"/>
    </row>
    <row x14ac:dyDescent="0.25" r="846" customHeight="1" ht="12.75">
      <c r="A846" s="4"/>
      <c r="B846" s="29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29"/>
      <c r="N846" s="29"/>
      <c r="O846" s="29"/>
      <c r="P846" s="32"/>
      <c r="Q846" s="32"/>
      <c r="R846" s="4"/>
      <c r="S846" s="4"/>
      <c r="T846" s="4"/>
      <c r="U846" s="4"/>
      <c r="V846" s="4"/>
    </row>
    <row x14ac:dyDescent="0.25" r="847" customHeight="1" ht="12.75">
      <c r="A847" s="4"/>
      <c r="B847" s="29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29"/>
      <c r="N847" s="29"/>
      <c r="O847" s="29"/>
      <c r="P847" s="32"/>
      <c r="Q847" s="32"/>
      <c r="R847" s="4"/>
      <c r="S847" s="4"/>
      <c r="T847" s="4"/>
      <c r="U847" s="4"/>
      <c r="V847" s="4"/>
    </row>
    <row x14ac:dyDescent="0.25" r="848" customHeight="1" ht="12.75">
      <c r="A848" s="4"/>
      <c r="B848" s="29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29"/>
      <c r="N848" s="29"/>
      <c r="O848" s="29"/>
      <c r="P848" s="32"/>
      <c r="Q848" s="32"/>
      <c r="R848" s="4"/>
      <c r="S848" s="4"/>
      <c r="T848" s="4"/>
      <c r="U848" s="4"/>
      <c r="V848" s="4"/>
    </row>
    <row x14ac:dyDescent="0.25" r="849" customHeight="1" ht="12.75">
      <c r="A849" s="4"/>
      <c r="B849" s="29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29"/>
      <c r="N849" s="29"/>
      <c r="O849" s="29"/>
      <c r="P849" s="32"/>
      <c r="Q849" s="32"/>
      <c r="R849" s="4"/>
      <c r="S849" s="4"/>
      <c r="T849" s="4"/>
      <c r="U849" s="4"/>
      <c r="V849" s="4"/>
    </row>
    <row x14ac:dyDescent="0.25" r="850" customHeight="1" ht="12.75">
      <c r="A850" s="4"/>
      <c r="B850" s="29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29"/>
      <c r="N850" s="29"/>
      <c r="O850" s="29"/>
      <c r="P850" s="32"/>
      <c r="Q850" s="32"/>
      <c r="R850" s="4"/>
      <c r="S850" s="4"/>
      <c r="T850" s="4"/>
      <c r="U850" s="4"/>
      <c r="V850" s="4"/>
    </row>
    <row x14ac:dyDescent="0.25" r="851" customHeight="1" ht="12.75">
      <c r="A851" s="4"/>
      <c r="B851" s="29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29"/>
      <c r="N851" s="29"/>
      <c r="O851" s="29"/>
      <c r="P851" s="32"/>
      <c r="Q851" s="32"/>
      <c r="R851" s="4"/>
      <c r="S851" s="4"/>
      <c r="T851" s="4"/>
      <c r="U851" s="4"/>
      <c r="V851" s="4"/>
    </row>
    <row x14ac:dyDescent="0.25" r="852" customHeight="1" ht="12.75">
      <c r="A852" s="4"/>
      <c r="B852" s="29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29"/>
      <c r="N852" s="29"/>
      <c r="O852" s="29"/>
      <c r="P852" s="32"/>
      <c r="Q852" s="32"/>
      <c r="R852" s="4"/>
      <c r="S852" s="4"/>
      <c r="T852" s="4"/>
      <c r="U852" s="4"/>
      <c r="V852" s="4"/>
    </row>
    <row x14ac:dyDescent="0.25" r="853" customHeight="1" ht="12.75">
      <c r="A853" s="4"/>
      <c r="B853" s="29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29"/>
      <c r="N853" s="29"/>
      <c r="O853" s="29"/>
      <c r="P853" s="32"/>
      <c r="Q853" s="32"/>
      <c r="R853" s="4"/>
      <c r="S853" s="4"/>
      <c r="T853" s="4"/>
      <c r="U853" s="4"/>
      <c r="V853" s="4"/>
    </row>
    <row x14ac:dyDescent="0.25" r="854" customHeight="1" ht="12.75">
      <c r="A854" s="4"/>
      <c r="B854" s="29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29"/>
      <c r="N854" s="29"/>
      <c r="O854" s="29"/>
      <c r="P854" s="32"/>
      <c r="Q854" s="32"/>
      <c r="R854" s="4"/>
      <c r="S854" s="4"/>
      <c r="T854" s="4"/>
      <c r="U854" s="4"/>
      <c r="V854" s="4"/>
    </row>
    <row x14ac:dyDescent="0.25" r="855" customHeight="1" ht="12.75">
      <c r="A855" s="4"/>
      <c r="B855" s="29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29"/>
      <c r="N855" s="29"/>
      <c r="O855" s="29"/>
      <c r="P855" s="32"/>
      <c r="Q855" s="32"/>
      <c r="R855" s="4"/>
      <c r="S855" s="4"/>
      <c r="T855" s="4"/>
      <c r="U855" s="4"/>
      <c r="V855" s="4"/>
    </row>
    <row x14ac:dyDescent="0.25" r="856" customHeight="1" ht="12.75">
      <c r="A856" s="4"/>
      <c r="B856" s="29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29"/>
      <c r="N856" s="29"/>
      <c r="O856" s="29"/>
      <c r="P856" s="32"/>
      <c r="Q856" s="32"/>
      <c r="R856" s="4"/>
      <c r="S856" s="4"/>
      <c r="T856" s="4"/>
      <c r="U856" s="4"/>
      <c r="V856" s="4"/>
    </row>
    <row x14ac:dyDescent="0.25" r="857" customHeight="1" ht="12.75">
      <c r="A857" s="4"/>
      <c r="B857" s="29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29"/>
      <c r="N857" s="29"/>
      <c r="O857" s="29"/>
      <c r="P857" s="32"/>
      <c r="Q857" s="32"/>
      <c r="R857" s="4"/>
      <c r="S857" s="4"/>
      <c r="T857" s="4"/>
      <c r="U857" s="4"/>
      <c r="V857" s="4"/>
    </row>
    <row x14ac:dyDescent="0.25" r="858" customHeight="1" ht="12.75">
      <c r="A858" s="4"/>
      <c r="B858" s="29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29"/>
      <c r="N858" s="29"/>
      <c r="O858" s="29"/>
      <c r="P858" s="32"/>
      <c r="Q858" s="32"/>
      <c r="R858" s="4"/>
      <c r="S858" s="4"/>
      <c r="T858" s="4"/>
      <c r="U858" s="4"/>
      <c r="V858" s="4"/>
    </row>
    <row x14ac:dyDescent="0.25" r="859" customHeight="1" ht="12.75">
      <c r="A859" s="4"/>
      <c r="B859" s="29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29"/>
      <c r="N859" s="29"/>
      <c r="O859" s="29"/>
      <c r="P859" s="32"/>
      <c r="Q859" s="32"/>
      <c r="R859" s="4"/>
      <c r="S859" s="4"/>
      <c r="T859" s="4"/>
      <c r="U859" s="4"/>
      <c r="V859" s="4"/>
    </row>
    <row x14ac:dyDescent="0.25" r="860" customHeight="1" ht="12.75">
      <c r="A860" s="4"/>
      <c r="B860" s="29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29"/>
      <c r="N860" s="29"/>
      <c r="O860" s="29"/>
      <c r="P860" s="32"/>
      <c r="Q860" s="32"/>
      <c r="R860" s="4"/>
      <c r="S860" s="4"/>
      <c r="T860" s="4"/>
      <c r="U860" s="4"/>
      <c r="V860" s="4"/>
    </row>
    <row x14ac:dyDescent="0.25" r="861" customHeight="1" ht="12.75">
      <c r="A861" s="4"/>
      <c r="B861" s="29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29"/>
      <c r="N861" s="29"/>
      <c r="O861" s="29"/>
      <c r="P861" s="32"/>
      <c r="Q861" s="32"/>
      <c r="R861" s="4"/>
      <c r="S861" s="4"/>
      <c r="T861" s="4"/>
      <c r="U861" s="4"/>
      <c r="V861" s="4"/>
    </row>
    <row x14ac:dyDescent="0.25" r="862" customHeight="1" ht="12.75">
      <c r="A862" s="4"/>
      <c r="B862" s="29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29"/>
      <c r="N862" s="29"/>
      <c r="O862" s="29"/>
      <c r="P862" s="32"/>
      <c r="Q862" s="32"/>
      <c r="R862" s="4"/>
      <c r="S862" s="4"/>
      <c r="T862" s="4"/>
      <c r="U862" s="4"/>
      <c r="V862" s="4"/>
    </row>
    <row x14ac:dyDescent="0.25" r="863" customHeight="1" ht="12.75">
      <c r="A863" s="4"/>
      <c r="B863" s="29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29"/>
      <c r="N863" s="29"/>
      <c r="O863" s="29"/>
      <c r="P863" s="32"/>
      <c r="Q863" s="32"/>
      <c r="R863" s="4"/>
      <c r="S863" s="4"/>
      <c r="T863" s="4"/>
      <c r="U863" s="4"/>
      <c r="V863" s="4"/>
    </row>
    <row x14ac:dyDescent="0.25" r="864" customHeight="1" ht="12.75">
      <c r="A864" s="4"/>
      <c r="B864" s="29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29"/>
      <c r="N864" s="29"/>
      <c r="O864" s="29"/>
      <c r="P864" s="32"/>
      <c r="Q864" s="32"/>
      <c r="R864" s="4"/>
      <c r="S864" s="4"/>
      <c r="T864" s="4"/>
      <c r="U864" s="4"/>
      <c r="V864" s="4"/>
    </row>
    <row x14ac:dyDescent="0.25" r="865" customHeight="1" ht="12.75">
      <c r="A865" s="4"/>
      <c r="B865" s="29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29"/>
      <c r="N865" s="29"/>
      <c r="O865" s="29"/>
      <c r="P865" s="32"/>
      <c r="Q865" s="32"/>
      <c r="R865" s="4"/>
      <c r="S865" s="4"/>
      <c r="T865" s="4"/>
      <c r="U865" s="4"/>
      <c r="V865" s="4"/>
    </row>
    <row x14ac:dyDescent="0.25" r="866" customHeight="1" ht="12.75">
      <c r="A866" s="4"/>
      <c r="B866" s="29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29"/>
      <c r="N866" s="29"/>
      <c r="O866" s="29"/>
      <c r="P866" s="32"/>
      <c r="Q866" s="32"/>
      <c r="R866" s="4"/>
      <c r="S866" s="4"/>
      <c r="T866" s="4"/>
      <c r="U866" s="4"/>
      <c r="V866" s="4"/>
    </row>
    <row x14ac:dyDescent="0.25" r="867" customHeight="1" ht="12.75">
      <c r="A867" s="4"/>
      <c r="B867" s="29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29"/>
      <c r="N867" s="29"/>
      <c r="O867" s="29"/>
      <c r="P867" s="32"/>
      <c r="Q867" s="32"/>
      <c r="R867" s="4"/>
      <c r="S867" s="4"/>
      <c r="T867" s="4"/>
      <c r="U867" s="4"/>
      <c r="V867" s="4"/>
    </row>
    <row x14ac:dyDescent="0.25" r="868" customHeight="1" ht="12.75">
      <c r="A868" s="4"/>
      <c r="B868" s="29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29"/>
      <c r="N868" s="29"/>
      <c r="O868" s="29"/>
      <c r="P868" s="32"/>
      <c r="Q868" s="32"/>
      <c r="R868" s="4"/>
      <c r="S868" s="4"/>
      <c r="T868" s="4"/>
      <c r="U868" s="4"/>
      <c r="V868" s="4"/>
    </row>
    <row x14ac:dyDescent="0.25" r="869" customHeight="1" ht="12.75">
      <c r="A869" s="4"/>
      <c r="B869" s="29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29"/>
      <c r="N869" s="29"/>
      <c r="O869" s="29"/>
      <c r="P869" s="32"/>
      <c r="Q869" s="32"/>
      <c r="R869" s="4"/>
      <c r="S869" s="4"/>
      <c r="T869" s="4"/>
      <c r="U869" s="4"/>
      <c r="V869" s="4"/>
    </row>
    <row x14ac:dyDescent="0.25" r="870" customHeight="1" ht="12.75">
      <c r="A870" s="4"/>
      <c r="B870" s="29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29"/>
      <c r="N870" s="29"/>
      <c r="O870" s="29"/>
      <c r="P870" s="32"/>
      <c r="Q870" s="32"/>
      <c r="R870" s="4"/>
      <c r="S870" s="4"/>
      <c r="T870" s="4"/>
      <c r="U870" s="4"/>
      <c r="V870" s="4"/>
    </row>
    <row x14ac:dyDescent="0.25" r="871" customHeight="1" ht="12.75">
      <c r="A871" s="4"/>
      <c r="B871" s="29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29"/>
      <c r="N871" s="29"/>
      <c r="O871" s="29"/>
      <c r="P871" s="32"/>
      <c r="Q871" s="32"/>
      <c r="R871" s="4"/>
      <c r="S871" s="4"/>
      <c r="T871" s="4"/>
      <c r="U871" s="4"/>
      <c r="V871" s="4"/>
    </row>
    <row x14ac:dyDescent="0.25" r="872" customHeight="1" ht="12.75">
      <c r="A872" s="4"/>
      <c r="B872" s="29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29"/>
      <c r="N872" s="29"/>
      <c r="O872" s="29"/>
      <c r="P872" s="32"/>
      <c r="Q872" s="32"/>
      <c r="R872" s="4"/>
      <c r="S872" s="4"/>
      <c r="T872" s="4"/>
      <c r="U872" s="4"/>
      <c r="V872" s="4"/>
    </row>
    <row x14ac:dyDescent="0.25" r="873" customHeight="1" ht="12.75">
      <c r="A873" s="4"/>
      <c r="B873" s="29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29"/>
      <c r="N873" s="29"/>
      <c r="O873" s="29"/>
      <c r="P873" s="32"/>
      <c r="Q873" s="32"/>
      <c r="R873" s="4"/>
      <c r="S873" s="4"/>
      <c r="T873" s="4"/>
      <c r="U873" s="4"/>
      <c r="V873" s="4"/>
    </row>
    <row x14ac:dyDescent="0.25" r="874" customHeight="1" ht="12.75">
      <c r="A874" s="4"/>
      <c r="B874" s="29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29"/>
      <c r="N874" s="29"/>
      <c r="O874" s="29"/>
      <c r="P874" s="32"/>
      <c r="Q874" s="32"/>
      <c r="R874" s="4"/>
      <c r="S874" s="4"/>
      <c r="T874" s="4"/>
      <c r="U874" s="4"/>
      <c r="V874" s="4"/>
    </row>
    <row x14ac:dyDescent="0.25" r="875" customHeight="1" ht="12.75">
      <c r="A875" s="4"/>
      <c r="B875" s="29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29"/>
      <c r="N875" s="29"/>
      <c r="O875" s="29"/>
      <c r="P875" s="32"/>
      <c r="Q875" s="32"/>
      <c r="R875" s="4"/>
      <c r="S875" s="4"/>
      <c r="T875" s="4"/>
      <c r="U875" s="4"/>
      <c r="V875" s="4"/>
    </row>
    <row x14ac:dyDescent="0.25" r="876" customHeight="1" ht="12.75">
      <c r="A876" s="4"/>
      <c r="B876" s="29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29"/>
      <c r="N876" s="29"/>
      <c r="O876" s="29"/>
      <c r="P876" s="32"/>
      <c r="Q876" s="32"/>
      <c r="R876" s="4"/>
      <c r="S876" s="4"/>
      <c r="T876" s="4"/>
      <c r="U876" s="4"/>
      <c r="V876" s="4"/>
    </row>
    <row x14ac:dyDescent="0.25" r="877" customHeight="1" ht="12.75">
      <c r="A877" s="4"/>
      <c r="B877" s="29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29"/>
      <c r="N877" s="29"/>
      <c r="O877" s="29"/>
      <c r="P877" s="32"/>
      <c r="Q877" s="32"/>
      <c r="R877" s="4"/>
      <c r="S877" s="4"/>
      <c r="T877" s="4"/>
      <c r="U877" s="4"/>
      <c r="V877" s="4"/>
    </row>
    <row x14ac:dyDescent="0.25" r="878" customHeight="1" ht="12.75">
      <c r="A878" s="4"/>
      <c r="B878" s="29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29"/>
      <c r="N878" s="29"/>
      <c r="O878" s="29"/>
      <c r="P878" s="32"/>
      <c r="Q878" s="32"/>
      <c r="R878" s="4"/>
      <c r="S878" s="4"/>
      <c r="T878" s="4"/>
      <c r="U878" s="4"/>
      <c r="V878" s="4"/>
    </row>
    <row x14ac:dyDescent="0.25" r="879" customHeight="1" ht="12.75">
      <c r="A879" s="4"/>
      <c r="B879" s="29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29"/>
      <c r="N879" s="29"/>
      <c r="O879" s="29"/>
      <c r="P879" s="32"/>
      <c r="Q879" s="32"/>
      <c r="R879" s="4"/>
      <c r="S879" s="4"/>
      <c r="T879" s="4"/>
      <c r="U879" s="4"/>
      <c r="V879" s="4"/>
    </row>
    <row x14ac:dyDescent="0.25" r="880" customHeight="1" ht="12.75">
      <c r="A880" s="4"/>
      <c r="B880" s="29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29"/>
      <c r="N880" s="29"/>
      <c r="O880" s="29"/>
      <c r="P880" s="32"/>
      <c r="Q880" s="32"/>
      <c r="R880" s="4"/>
      <c r="S880" s="4"/>
      <c r="T880" s="4"/>
      <c r="U880" s="4"/>
      <c r="V880" s="4"/>
    </row>
    <row x14ac:dyDescent="0.25" r="881" customHeight="1" ht="12.75">
      <c r="A881" s="4"/>
      <c r="B881" s="29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29"/>
      <c r="N881" s="29"/>
      <c r="O881" s="29"/>
      <c r="P881" s="32"/>
      <c r="Q881" s="32"/>
      <c r="R881" s="4"/>
      <c r="S881" s="4"/>
      <c r="T881" s="4"/>
      <c r="U881" s="4"/>
      <c r="V881" s="4"/>
    </row>
    <row x14ac:dyDescent="0.25" r="882" customHeight="1" ht="12.75">
      <c r="A882" s="4"/>
      <c r="B882" s="29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29"/>
      <c r="N882" s="29"/>
      <c r="O882" s="29"/>
      <c r="P882" s="32"/>
      <c r="Q882" s="32"/>
      <c r="R882" s="4"/>
      <c r="S882" s="4"/>
      <c r="T882" s="4"/>
      <c r="U882" s="4"/>
      <c r="V882" s="4"/>
    </row>
    <row x14ac:dyDescent="0.25" r="883" customHeight="1" ht="12.75">
      <c r="A883" s="4"/>
      <c r="B883" s="29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29"/>
      <c r="N883" s="29"/>
      <c r="O883" s="29"/>
      <c r="P883" s="32"/>
      <c r="Q883" s="32"/>
      <c r="R883" s="4"/>
      <c r="S883" s="4"/>
      <c r="T883" s="4"/>
      <c r="U883" s="4"/>
      <c r="V883" s="4"/>
    </row>
    <row x14ac:dyDescent="0.25" r="884" customHeight="1" ht="12.75">
      <c r="A884" s="4"/>
      <c r="B884" s="29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29"/>
      <c r="N884" s="29"/>
      <c r="O884" s="29"/>
      <c r="P884" s="32"/>
      <c r="Q884" s="32"/>
      <c r="R884" s="4"/>
      <c r="S884" s="4"/>
      <c r="T884" s="4"/>
      <c r="U884" s="4"/>
      <c r="V884" s="4"/>
    </row>
    <row x14ac:dyDescent="0.25" r="885" customHeight="1" ht="12.75">
      <c r="A885" s="4"/>
      <c r="B885" s="29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29"/>
      <c r="N885" s="29"/>
      <c r="O885" s="29"/>
      <c r="P885" s="32"/>
      <c r="Q885" s="32"/>
      <c r="R885" s="4"/>
      <c r="S885" s="4"/>
      <c r="T885" s="4"/>
      <c r="U885" s="4"/>
      <c r="V885" s="4"/>
    </row>
    <row x14ac:dyDescent="0.25" r="886" customHeight="1" ht="12.75">
      <c r="A886" s="4"/>
      <c r="B886" s="29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29"/>
      <c r="N886" s="29"/>
      <c r="O886" s="29"/>
      <c r="P886" s="32"/>
      <c r="Q886" s="32"/>
      <c r="R886" s="4"/>
      <c r="S886" s="4"/>
      <c r="T886" s="4"/>
      <c r="U886" s="4"/>
      <c r="V886" s="4"/>
    </row>
    <row x14ac:dyDescent="0.25" r="887" customHeight="1" ht="12.75">
      <c r="A887" s="4"/>
      <c r="B887" s="29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29"/>
      <c r="N887" s="29"/>
      <c r="O887" s="29"/>
      <c r="P887" s="32"/>
      <c r="Q887" s="32"/>
      <c r="R887" s="4"/>
      <c r="S887" s="4"/>
      <c r="T887" s="4"/>
      <c r="U887" s="4"/>
      <c r="V887" s="4"/>
    </row>
    <row x14ac:dyDescent="0.25" r="888" customHeight="1" ht="12.75">
      <c r="A888" s="4"/>
      <c r="B888" s="29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29"/>
      <c r="N888" s="29"/>
      <c r="O888" s="29"/>
      <c r="P888" s="32"/>
      <c r="Q888" s="32"/>
      <c r="R888" s="4"/>
      <c r="S888" s="4"/>
      <c r="T888" s="4"/>
      <c r="U888" s="4"/>
      <c r="V888" s="4"/>
    </row>
    <row x14ac:dyDescent="0.25" r="889" customHeight="1" ht="12.75">
      <c r="A889" s="4"/>
      <c r="B889" s="29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29"/>
      <c r="N889" s="29"/>
      <c r="O889" s="29"/>
      <c r="P889" s="32"/>
      <c r="Q889" s="32"/>
      <c r="R889" s="4"/>
      <c r="S889" s="4"/>
      <c r="T889" s="4"/>
      <c r="U889" s="4"/>
      <c r="V889" s="4"/>
    </row>
    <row x14ac:dyDescent="0.25" r="890" customHeight="1" ht="12.75">
      <c r="A890" s="4"/>
      <c r="B890" s="29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29"/>
      <c r="N890" s="29"/>
      <c r="O890" s="29"/>
      <c r="P890" s="32"/>
      <c r="Q890" s="32"/>
      <c r="R890" s="4"/>
      <c r="S890" s="4"/>
      <c r="T890" s="4"/>
      <c r="U890" s="4"/>
      <c r="V890" s="4"/>
    </row>
    <row x14ac:dyDescent="0.25" r="891" customHeight="1" ht="12.75">
      <c r="A891" s="4"/>
      <c r="B891" s="29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29"/>
      <c r="N891" s="29"/>
      <c r="O891" s="29"/>
      <c r="P891" s="32"/>
      <c r="Q891" s="32"/>
      <c r="R891" s="4"/>
      <c r="S891" s="4"/>
      <c r="T891" s="4"/>
      <c r="U891" s="4"/>
      <c r="V891" s="4"/>
    </row>
    <row x14ac:dyDescent="0.25" r="892" customHeight="1" ht="12.75">
      <c r="A892" s="4"/>
      <c r="B892" s="29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29"/>
      <c r="N892" s="29"/>
      <c r="O892" s="29"/>
      <c r="P892" s="32"/>
      <c r="Q892" s="32"/>
      <c r="R892" s="4"/>
      <c r="S892" s="4"/>
      <c r="T892" s="4"/>
      <c r="U892" s="4"/>
      <c r="V892" s="4"/>
    </row>
    <row x14ac:dyDescent="0.25" r="893" customHeight="1" ht="12.75">
      <c r="A893" s="4"/>
      <c r="B893" s="29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29"/>
      <c r="N893" s="29"/>
      <c r="O893" s="29"/>
      <c r="P893" s="32"/>
      <c r="Q893" s="32"/>
      <c r="R893" s="4"/>
      <c r="S893" s="4"/>
      <c r="T893" s="4"/>
      <c r="U893" s="4"/>
      <c r="V893" s="4"/>
    </row>
    <row x14ac:dyDescent="0.25" r="894" customHeight="1" ht="12.75">
      <c r="A894" s="4"/>
      <c r="B894" s="29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29"/>
      <c r="N894" s="29"/>
      <c r="O894" s="29"/>
      <c r="P894" s="32"/>
      <c r="Q894" s="32"/>
      <c r="R894" s="4"/>
      <c r="S894" s="4"/>
      <c r="T894" s="4"/>
      <c r="U894" s="4"/>
      <c r="V894" s="4"/>
    </row>
    <row x14ac:dyDescent="0.25" r="895" customHeight="1" ht="12.75">
      <c r="A895" s="4"/>
      <c r="B895" s="29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29"/>
      <c r="N895" s="29"/>
      <c r="O895" s="29"/>
      <c r="P895" s="32"/>
      <c r="Q895" s="32"/>
      <c r="R895" s="4"/>
      <c r="S895" s="4"/>
      <c r="T895" s="4"/>
      <c r="U895" s="4"/>
      <c r="V895" s="4"/>
    </row>
    <row x14ac:dyDescent="0.25" r="896" customHeight="1" ht="12.75">
      <c r="A896" s="4"/>
      <c r="B896" s="29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29"/>
      <c r="N896" s="29"/>
      <c r="O896" s="29"/>
      <c r="P896" s="32"/>
      <c r="Q896" s="32"/>
      <c r="R896" s="4"/>
      <c r="S896" s="4"/>
      <c r="T896" s="4"/>
      <c r="U896" s="4"/>
      <c r="V896" s="4"/>
    </row>
    <row x14ac:dyDescent="0.25" r="897" customHeight="1" ht="12.75">
      <c r="A897" s="4"/>
      <c r="B897" s="29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29"/>
      <c r="N897" s="29"/>
      <c r="O897" s="29"/>
      <c r="P897" s="32"/>
      <c r="Q897" s="32"/>
      <c r="R897" s="4"/>
      <c r="S897" s="4"/>
      <c r="T897" s="4"/>
      <c r="U897" s="4"/>
      <c r="V897" s="4"/>
    </row>
    <row x14ac:dyDescent="0.25" r="898" customHeight="1" ht="12.75">
      <c r="A898" s="4"/>
      <c r="B898" s="29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29"/>
      <c r="N898" s="29"/>
      <c r="O898" s="29"/>
      <c r="P898" s="32"/>
      <c r="Q898" s="32"/>
      <c r="R898" s="4"/>
      <c r="S898" s="4"/>
      <c r="T898" s="4"/>
      <c r="U898" s="4"/>
      <c r="V898" s="4"/>
    </row>
    <row x14ac:dyDescent="0.25" r="899" customHeight="1" ht="12.75">
      <c r="A899" s="4"/>
      <c r="B899" s="29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29"/>
      <c r="N899" s="29"/>
      <c r="O899" s="29"/>
      <c r="P899" s="32"/>
      <c r="Q899" s="32"/>
      <c r="R899" s="4"/>
      <c r="S899" s="4"/>
      <c r="T899" s="4"/>
      <c r="U899" s="4"/>
      <c r="V899" s="4"/>
    </row>
    <row x14ac:dyDescent="0.25" r="900" customHeight="1" ht="12.75">
      <c r="A900" s="4"/>
      <c r="B900" s="29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29"/>
      <c r="N900" s="29"/>
      <c r="O900" s="29"/>
      <c r="P900" s="32"/>
      <c r="Q900" s="32"/>
      <c r="R900" s="4"/>
      <c r="S900" s="4"/>
      <c r="T900" s="4"/>
      <c r="U900" s="4"/>
      <c r="V900" s="4"/>
    </row>
    <row x14ac:dyDescent="0.25" r="901" customHeight="1" ht="12.75">
      <c r="A901" s="4"/>
      <c r="B901" s="29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29"/>
      <c r="N901" s="29"/>
      <c r="O901" s="29"/>
      <c r="P901" s="32"/>
      <c r="Q901" s="32"/>
      <c r="R901" s="4"/>
      <c r="S901" s="4"/>
      <c r="T901" s="4"/>
      <c r="U901" s="4"/>
      <c r="V901" s="4"/>
    </row>
    <row x14ac:dyDescent="0.25" r="902" customHeight="1" ht="12.75">
      <c r="A902" s="4"/>
      <c r="B902" s="29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29"/>
      <c r="N902" s="29"/>
      <c r="O902" s="29"/>
      <c r="P902" s="32"/>
      <c r="Q902" s="32"/>
      <c r="R902" s="4"/>
      <c r="S902" s="4"/>
      <c r="T902" s="4"/>
      <c r="U902" s="4"/>
      <c r="V902" s="4"/>
    </row>
    <row x14ac:dyDescent="0.25" r="903" customHeight="1" ht="12.75">
      <c r="A903" s="4"/>
      <c r="B903" s="29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29"/>
      <c r="N903" s="29"/>
      <c r="O903" s="29"/>
      <c r="P903" s="32"/>
      <c r="Q903" s="32"/>
      <c r="R903" s="4"/>
      <c r="S903" s="4"/>
      <c r="T903" s="4"/>
      <c r="U903" s="4"/>
      <c r="V903" s="4"/>
    </row>
    <row x14ac:dyDescent="0.25" r="904" customHeight="1" ht="12.75">
      <c r="A904" s="4"/>
      <c r="B904" s="29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29"/>
      <c r="N904" s="29"/>
      <c r="O904" s="29"/>
      <c r="P904" s="32"/>
      <c r="Q904" s="32"/>
      <c r="R904" s="4"/>
      <c r="S904" s="4"/>
      <c r="T904" s="4"/>
      <c r="U904" s="4"/>
      <c r="V904" s="4"/>
    </row>
    <row x14ac:dyDescent="0.25" r="905" customHeight="1" ht="12.75">
      <c r="A905" s="4"/>
      <c r="B905" s="29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29"/>
      <c r="N905" s="29"/>
      <c r="O905" s="29"/>
      <c r="P905" s="32"/>
      <c r="Q905" s="32"/>
      <c r="R905" s="4"/>
      <c r="S905" s="4"/>
      <c r="T905" s="4"/>
      <c r="U905" s="4"/>
      <c r="V905" s="4"/>
    </row>
    <row x14ac:dyDescent="0.25" r="906" customHeight="1" ht="12.75">
      <c r="A906" s="4"/>
      <c r="B906" s="29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29"/>
      <c r="N906" s="29"/>
      <c r="O906" s="29"/>
      <c r="P906" s="32"/>
      <c r="Q906" s="32"/>
      <c r="R906" s="4"/>
      <c r="S906" s="4"/>
      <c r="T906" s="4"/>
      <c r="U906" s="4"/>
      <c r="V906" s="4"/>
    </row>
    <row x14ac:dyDescent="0.25" r="907" customHeight="1" ht="12.75">
      <c r="A907" s="4"/>
      <c r="B907" s="29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29"/>
      <c r="N907" s="29"/>
      <c r="O907" s="29"/>
      <c r="P907" s="32"/>
      <c r="Q907" s="32"/>
      <c r="R907" s="4"/>
      <c r="S907" s="4"/>
      <c r="T907" s="4"/>
      <c r="U907" s="4"/>
      <c r="V907" s="4"/>
    </row>
    <row x14ac:dyDescent="0.25" r="908" customHeight="1" ht="12.75">
      <c r="A908" s="4"/>
      <c r="B908" s="29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29"/>
      <c r="N908" s="29"/>
      <c r="O908" s="29"/>
      <c r="P908" s="32"/>
      <c r="Q908" s="32"/>
      <c r="R908" s="4"/>
      <c r="S908" s="4"/>
      <c r="T908" s="4"/>
      <c r="U908" s="4"/>
      <c r="V908" s="4"/>
    </row>
    <row x14ac:dyDescent="0.25" r="909" customHeight="1" ht="12.75">
      <c r="A909" s="4"/>
      <c r="B909" s="29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29"/>
      <c r="N909" s="29"/>
      <c r="O909" s="29"/>
      <c r="P909" s="32"/>
      <c r="Q909" s="32"/>
      <c r="R909" s="4"/>
      <c r="S909" s="4"/>
      <c r="T909" s="4"/>
      <c r="U909" s="4"/>
      <c r="V909" s="4"/>
    </row>
    <row x14ac:dyDescent="0.25" r="910" customHeight="1" ht="12.75">
      <c r="A910" s="4"/>
      <c r="B910" s="29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29"/>
      <c r="N910" s="29"/>
      <c r="O910" s="29"/>
      <c r="P910" s="32"/>
      <c r="Q910" s="32"/>
      <c r="R910" s="4"/>
      <c r="S910" s="4"/>
      <c r="T910" s="4"/>
      <c r="U910" s="4"/>
      <c r="V910" s="4"/>
    </row>
    <row x14ac:dyDescent="0.25" r="911" customHeight="1" ht="12.75">
      <c r="A911" s="4"/>
      <c r="B911" s="29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29"/>
      <c r="N911" s="29"/>
      <c r="O911" s="29"/>
      <c r="P911" s="32"/>
      <c r="Q911" s="32"/>
      <c r="R911" s="4"/>
      <c r="S911" s="4"/>
      <c r="T911" s="4"/>
      <c r="U911" s="4"/>
      <c r="V911" s="4"/>
    </row>
    <row x14ac:dyDescent="0.25" r="912" customHeight="1" ht="12.75">
      <c r="A912" s="4"/>
      <c r="B912" s="29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29"/>
      <c r="N912" s="29"/>
      <c r="O912" s="29"/>
      <c r="P912" s="32"/>
      <c r="Q912" s="32"/>
      <c r="R912" s="4"/>
      <c r="S912" s="4"/>
      <c r="T912" s="4"/>
      <c r="U912" s="4"/>
      <c r="V912" s="4"/>
    </row>
    <row x14ac:dyDescent="0.25" r="913" customHeight="1" ht="12.75">
      <c r="A913" s="4"/>
      <c r="B913" s="29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29"/>
      <c r="N913" s="29"/>
      <c r="O913" s="29"/>
      <c r="P913" s="32"/>
      <c r="Q913" s="32"/>
      <c r="R913" s="4"/>
      <c r="S913" s="4"/>
      <c r="T913" s="4"/>
      <c r="U913" s="4"/>
      <c r="V913" s="4"/>
    </row>
    <row x14ac:dyDescent="0.25" r="914" customHeight="1" ht="12.75">
      <c r="A914" s="4"/>
      <c r="B914" s="29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29"/>
      <c r="N914" s="29"/>
      <c r="O914" s="29"/>
      <c r="P914" s="32"/>
      <c r="Q914" s="32"/>
      <c r="R914" s="4"/>
      <c r="S914" s="4"/>
      <c r="T914" s="4"/>
      <c r="U914" s="4"/>
      <c r="V914" s="4"/>
    </row>
    <row x14ac:dyDescent="0.25" r="915" customHeight="1" ht="12.75">
      <c r="A915" s="4"/>
      <c r="B915" s="29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29"/>
      <c r="N915" s="29"/>
      <c r="O915" s="29"/>
      <c r="P915" s="32"/>
      <c r="Q915" s="32"/>
      <c r="R915" s="4"/>
      <c r="S915" s="4"/>
      <c r="T915" s="4"/>
      <c r="U915" s="4"/>
      <c r="V915" s="4"/>
    </row>
    <row x14ac:dyDescent="0.25" r="916" customHeight="1" ht="12.75">
      <c r="A916" s="4"/>
      <c r="B916" s="29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29"/>
      <c r="N916" s="29"/>
      <c r="O916" s="29"/>
      <c r="P916" s="32"/>
      <c r="Q916" s="32"/>
      <c r="R916" s="4"/>
      <c r="S916" s="4"/>
      <c r="T916" s="4"/>
      <c r="U916" s="4"/>
      <c r="V916" s="4"/>
    </row>
    <row x14ac:dyDescent="0.25" r="917" customHeight="1" ht="12.75">
      <c r="A917" s="4"/>
      <c r="B917" s="29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29"/>
      <c r="N917" s="29"/>
      <c r="O917" s="29"/>
      <c r="P917" s="32"/>
      <c r="Q917" s="32"/>
      <c r="R917" s="4"/>
      <c r="S917" s="4"/>
      <c r="T917" s="4"/>
      <c r="U917" s="4"/>
      <c r="V917" s="4"/>
    </row>
    <row x14ac:dyDescent="0.25" r="918" customHeight="1" ht="12.75">
      <c r="A918" s="4"/>
      <c r="B918" s="29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29"/>
      <c r="N918" s="29"/>
      <c r="O918" s="29"/>
      <c r="P918" s="32"/>
      <c r="Q918" s="32"/>
      <c r="R918" s="4"/>
      <c r="S918" s="4"/>
      <c r="T918" s="4"/>
      <c r="U918" s="4"/>
      <c r="V918" s="4"/>
    </row>
    <row x14ac:dyDescent="0.25" r="919" customHeight="1" ht="12.75">
      <c r="A919" s="4"/>
      <c r="B919" s="29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29"/>
      <c r="N919" s="29"/>
      <c r="O919" s="29"/>
      <c r="P919" s="32"/>
      <c r="Q919" s="32"/>
      <c r="R919" s="4"/>
      <c r="S919" s="4"/>
      <c r="T919" s="4"/>
      <c r="U919" s="4"/>
      <c r="V919" s="4"/>
    </row>
    <row x14ac:dyDescent="0.25" r="920" customHeight="1" ht="12.75">
      <c r="A920" s="4"/>
      <c r="B920" s="29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29"/>
      <c r="N920" s="29"/>
      <c r="O920" s="29"/>
      <c r="P920" s="32"/>
      <c r="Q920" s="32"/>
      <c r="R920" s="4"/>
      <c r="S920" s="4"/>
      <c r="T920" s="4"/>
      <c r="U920" s="4"/>
      <c r="V920" s="4"/>
    </row>
    <row x14ac:dyDescent="0.25" r="921" customHeight="1" ht="12.75">
      <c r="A921" s="4"/>
      <c r="B921" s="29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29"/>
      <c r="N921" s="29"/>
      <c r="O921" s="29"/>
      <c r="P921" s="32"/>
      <c r="Q921" s="32"/>
      <c r="R921" s="4"/>
      <c r="S921" s="4"/>
      <c r="T921" s="4"/>
      <c r="U921" s="4"/>
      <c r="V921" s="4"/>
    </row>
    <row x14ac:dyDescent="0.25" r="922" customHeight="1" ht="12.75">
      <c r="A922" s="4"/>
      <c r="B922" s="29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29"/>
      <c r="N922" s="29"/>
      <c r="O922" s="29"/>
      <c r="P922" s="32"/>
      <c r="Q922" s="32"/>
      <c r="R922" s="4"/>
      <c r="S922" s="4"/>
      <c r="T922" s="4"/>
      <c r="U922" s="4"/>
      <c r="V922" s="4"/>
    </row>
    <row x14ac:dyDescent="0.25" r="923" customHeight="1" ht="12.75">
      <c r="A923" s="4"/>
      <c r="B923" s="29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29"/>
      <c r="N923" s="29"/>
      <c r="O923" s="29"/>
      <c r="P923" s="32"/>
      <c r="Q923" s="32"/>
      <c r="R923" s="4"/>
      <c r="S923" s="4"/>
      <c r="T923" s="4"/>
      <c r="U923" s="4"/>
      <c r="V923" s="4"/>
    </row>
    <row x14ac:dyDescent="0.25" r="924" customHeight="1" ht="12.75">
      <c r="A924" s="4"/>
      <c r="B924" s="29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29"/>
      <c r="N924" s="29"/>
      <c r="O924" s="29"/>
      <c r="P924" s="32"/>
      <c r="Q924" s="32"/>
      <c r="R924" s="4"/>
      <c r="S924" s="4"/>
      <c r="T924" s="4"/>
      <c r="U924" s="4"/>
      <c r="V924" s="4"/>
    </row>
    <row x14ac:dyDescent="0.25" r="925" customHeight="1" ht="12.75">
      <c r="A925" s="4"/>
      <c r="B925" s="29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29"/>
      <c r="N925" s="29"/>
      <c r="O925" s="29"/>
      <c r="P925" s="32"/>
      <c r="Q925" s="32"/>
      <c r="R925" s="4"/>
      <c r="S925" s="4"/>
      <c r="T925" s="4"/>
      <c r="U925" s="4"/>
      <c r="V925" s="4"/>
    </row>
    <row x14ac:dyDescent="0.25" r="926" customHeight="1" ht="12.75">
      <c r="A926" s="4"/>
      <c r="B926" s="29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29"/>
      <c r="N926" s="29"/>
      <c r="O926" s="29"/>
      <c r="P926" s="32"/>
      <c r="Q926" s="32"/>
      <c r="R926" s="4"/>
      <c r="S926" s="4"/>
      <c r="T926" s="4"/>
      <c r="U926" s="4"/>
      <c r="V926" s="4"/>
    </row>
    <row x14ac:dyDescent="0.25" r="927" customHeight="1" ht="12.75">
      <c r="A927" s="4"/>
      <c r="B927" s="29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29"/>
      <c r="N927" s="29"/>
      <c r="O927" s="29"/>
      <c r="P927" s="32"/>
      <c r="Q927" s="32"/>
      <c r="R927" s="4"/>
      <c r="S927" s="4"/>
      <c r="T927" s="4"/>
      <c r="U927" s="4"/>
      <c r="V927" s="4"/>
    </row>
    <row x14ac:dyDescent="0.25" r="928" customHeight="1" ht="12.75">
      <c r="A928" s="4"/>
      <c r="B928" s="29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29"/>
      <c r="N928" s="29"/>
      <c r="O928" s="29"/>
      <c r="P928" s="32"/>
      <c r="Q928" s="32"/>
      <c r="R928" s="4"/>
      <c r="S928" s="4"/>
      <c r="T928" s="4"/>
      <c r="U928" s="4"/>
      <c r="V928" s="4"/>
    </row>
    <row x14ac:dyDescent="0.25" r="929" customHeight="1" ht="12.75">
      <c r="A929" s="4"/>
      <c r="B929" s="29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29"/>
      <c r="N929" s="29"/>
      <c r="O929" s="29"/>
      <c r="P929" s="32"/>
      <c r="Q929" s="32"/>
      <c r="R929" s="4"/>
      <c r="S929" s="4"/>
      <c r="T929" s="4"/>
      <c r="U929" s="4"/>
      <c r="V929" s="4"/>
    </row>
    <row x14ac:dyDescent="0.25" r="930" customHeight="1" ht="12.75">
      <c r="A930" s="4"/>
      <c r="B930" s="29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29"/>
      <c r="N930" s="29"/>
      <c r="O930" s="29"/>
      <c r="P930" s="32"/>
      <c r="Q930" s="32"/>
      <c r="R930" s="4"/>
      <c r="S930" s="4"/>
      <c r="T930" s="4"/>
      <c r="U930" s="4"/>
      <c r="V930" s="4"/>
    </row>
    <row x14ac:dyDescent="0.25" r="931" customHeight="1" ht="12.75">
      <c r="A931" s="4"/>
      <c r="B931" s="29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29"/>
      <c r="N931" s="29"/>
      <c r="O931" s="29"/>
      <c r="P931" s="32"/>
      <c r="Q931" s="32"/>
      <c r="R931" s="4"/>
      <c r="S931" s="4"/>
      <c r="T931" s="4"/>
      <c r="U931" s="4"/>
      <c r="V931" s="4"/>
    </row>
    <row x14ac:dyDescent="0.25" r="932" customHeight="1" ht="12.75">
      <c r="A932" s="4"/>
      <c r="B932" s="29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29"/>
      <c r="N932" s="29"/>
      <c r="O932" s="29"/>
      <c r="P932" s="32"/>
      <c r="Q932" s="32"/>
      <c r="R932" s="4"/>
      <c r="S932" s="4"/>
      <c r="T932" s="4"/>
      <c r="U932" s="4"/>
      <c r="V932" s="4"/>
    </row>
    <row x14ac:dyDescent="0.25" r="933" customHeight="1" ht="12.75">
      <c r="A933" s="4"/>
      <c r="B933" s="29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29"/>
      <c r="N933" s="29"/>
      <c r="O933" s="29"/>
      <c r="P933" s="32"/>
      <c r="Q933" s="32"/>
      <c r="R933" s="4"/>
      <c r="S933" s="4"/>
      <c r="T933" s="4"/>
      <c r="U933" s="4"/>
      <c r="V933" s="4"/>
    </row>
    <row x14ac:dyDescent="0.25" r="934" customHeight="1" ht="12.75">
      <c r="A934" s="4"/>
      <c r="B934" s="29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29"/>
      <c r="N934" s="29"/>
      <c r="O934" s="29"/>
      <c r="P934" s="32"/>
      <c r="Q934" s="32"/>
      <c r="R934" s="4"/>
      <c r="S934" s="4"/>
      <c r="T934" s="4"/>
      <c r="U934" s="4"/>
      <c r="V934" s="4"/>
    </row>
    <row x14ac:dyDescent="0.25" r="935" customHeight="1" ht="12.75">
      <c r="A935" s="4"/>
      <c r="B935" s="29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29"/>
      <c r="N935" s="29"/>
      <c r="O935" s="29"/>
      <c r="P935" s="32"/>
      <c r="Q935" s="32"/>
      <c r="R935" s="4"/>
      <c r="S935" s="4"/>
      <c r="T935" s="4"/>
      <c r="U935" s="4"/>
      <c r="V935" s="4"/>
    </row>
    <row x14ac:dyDescent="0.25" r="936" customHeight="1" ht="12.75">
      <c r="A936" s="4"/>
      <c r="B936" s="29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29"/>
      <c r="N936" s="29"/>
      <c r="O936" s="29"/>
      <c r="P936" s="32"/>
      <c r="Q936" s="32"/>
      <c r="R936" s="4"/>
      <c r="S936" s="4"/>
      <c r="T936" s="4"/>
      <c r="U936" s="4"/>
      <c r="V936" s="4"/>
    </row>
    <row x14ac:dyDescent="0.25" r="937" customHeight="1" ht="12.75">
      <c r="A937" s="4"/>
      <c r="B937" s="29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29"/>
      <c r="N937" s="29"/>
      <c r="O937" s="29"/>
      <c r="P937" s="32"/>
      <c r="Q937" s="32"/>
      <c r="R937" s="4"/>
      <c r="S937" s="4"/>
      <c r="T937" s="4"/>
      <c r="U937" s="4"/>
      <c r="V937" s="4"/>
    </row>
    <row x14ac:dyDescent="0.25" r="938" customHeight="1" ht="12.75">
      <c r="A938" s="4"/>
      <c r="B938" s="29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29"/>
      <c r="N938" s="29"/>
      <c r="O938" s="29"/>
      <c r="P938" s="32"/>
      <c r="Q938" s="32"/>
      <c r="R938" s="4"/>
      <c r="S938" s="4"/>
      <c r="T938" s="4"/>
      <c r="U938" s="4"/>
      <c r="V938" s="4"/>
    </row>
    <row x14ac:dyDescent="0.25" r="939" customHeight="1" ht="12.75">
      <c r="A939" s="4"/>
      <c r="B939" s="29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29"/>
      <c r="N939" s="29"/>
      <c r="O939" s="29"/>
      <c r="P939" s="32"/>
      <c r="Q939" s="32"/>
      <c r="R939" s="4"/>
      <c r="S939" s="4"/>
      <c r="T939" s="4"/>
      <c r="U939" s="4"/>
      <c r="V939" s="4"/>
    </row>
    <row x14ac:dyDescent="0.25" r="940" customHeight="1" ht="12.75">
      <c r="A940" s="4"/>
      <c r="B940" s="29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29"/>
      <c r="N940" s="29"/>
      <c r="O940" s="29"/>
      <c r="P940" s="32"/>
      <c r="Q940" s="32"/>
      <c r="R940" s="4"/>
      <c r="S940" s="4"/>
      <c r="T940" s="4"/>
      <c r="U940" s="4"/>
      <c r="V940" s="4"/>
    </row>
    <row x14ac:dyDescent="0.25" r="941" customHeight="1" ht="12.75">
      <c r="A941" s="4"/>
      <c r="B941" s="29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29"/>
      <c r="N941" s="29"/>
      <c r="O941" s="29"/>
      <c r="P941" s="32"/>
      <c r="Q941" s="32"/>
      <c r="R941" s="4"/>
      <c r="S941" s="4"/>
      <c r="T941" s="4"/>
      <c r="U941" s="4"/>
      <c r="V941" s="4"/>
    </row>
    <row x14ac:dyDescent="0.25" r="942" customHeight="1" ht="12.75">
      <c r="A942" s="4"/>
      <c r="B942" s="29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29"/>
      <c r="N942" s="29"/>
      <c r="O942" s="29"/>
      <c r="P942" s="32"/>
      <c r="Q942" s="32"/>
      <c r="R942" s="4"/>
      <c r="S942" s="4"/>
      <c r="T942" s="4"/>
      <c r="U942" s="4"/>
      <c r="V942" s="4"/>
    </row>
    <row x14ac:dyDescent="0.25" r="943" customHeight="1" ht="12.75">
      <c r="A943" s="4"/>
      <c r="B943" s="29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29"/>
      <c r="N943" s="29"/>
      <c r="O943" s="29"/>
      <c r="P943" s="32"/>
      <c r="Q943" s="32"/>
      <c r="R943" s="4"/>
      <c r="S943" s="4"/>
      <c r="T943" s="4"/>
      <c r="U943" s="4"/>
      <c r="V943" s="4"/>
    </row>
    <row x14ac:dyDescent="0.25" r="944" customHeight="1" ht="12.75">
      <c r="A944" s="4"/>
      <c r="B944" s="29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29"/>
      <c r="N944" s="29"/>
      <c r="O944" s="29"/>
      <c r="P944" s="32"/>
      <c r="Q944" s="32"/>
      <c r="R944" s="4"/>
      <c r="S944" s="4"/>
      <c r="T944" s="4"/>
      <c r="U944" s="4"/>
      <c r="V944" s="4"/>
    </row>
    <row x14ac:dyDescent="0.25" r="945" customHeight="1" ht="12.75">
      <c r="A945" s="4"/>
      <c r="B945" s="29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29"/>
      <c r="N945" s="29"/>
      <c r="O945" s="29"/>
      <c r="P945" s="32"/>
      <c r="Q945" s="32"/>
      <c r="R945" s="4"/>
      <c r="S945" s="4"/>
      <c r="T945" s="4"/>
      <c r="U945" s="4"/>
      <c r="V945" s="4"/>
    </row>
    <row x14ac:dyDescent="0.25" r="946" customHeight="1" ht="12.75">
      <c r="A946" s="4"/>
      <c r="B946" s="29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29"/>
      <c r="N946" s="29"/>
      <c r="O946" s="29"/>
      <c r="P946" s="32"/>
      <c r="Q946" s="32"/>
      <c r="R946" s="4"/>
      <c r="S946" s="4"/>
      <c r="T946" s="4"/>
      <c r="U946" s="4"/>
      <c r="V946" s="4"/>
    </row>
    <row x14ac:dyDescent="0.25" r="947" customHeight="1" ht="12.75">
      <c r="A947" s="4"/>
      <c r="B947" s="29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29"/>
      <c r="N947" s="29"/>
      <c r="O947" s="29"/>
      <c r="P947" s="32"/>
      <c r="Q947" s="32"/>
      <c r="R947" s="4"/>
      <c r="S947" s="4"/>
      <c r="T947" s="4"/>
      <c r="U947" s="4"/>
      <c r="V947" s="4"/>
    </row>
    <row x14ac:dyDescent="0.25" r="948" customHeight="1" ht="12.75">
      <c r="A948" s="4"/>
      <c r="B948" s="29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29"/>
      <c r="N948" s="29"/>
      <c r="O948" s="29"/>
      <c r="P948" s="32"/>
      <c r="Q948" s="32"/>
      <c r="R948" s="4"/>
      <c r="S948" s="4"/>
      <c r="T948" s="4"/>
      <c r="U948" s="4"/>
      <c r="V948" s="4"/>
    </row>
    <row x14ac:dyDescent="0.25" r="949" customHeight="1" ht="12.75">
      <c r="A949" s="4"/>
      <c r="B949" s="29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29"/>
      <c r="N949" s="29"/>
      <c r="O949" s="29"/>
      <c r="P949" s="32"/>
      <c r="Q949" s="32"/>
      <c r="R949" s="4"/>
      <c r="S949" s="4"/>
      <c r="T949" s="4"/>
      <c r="U949" s="4"/>
      <c r="V949" s="4"/>
    </row>
    <row x14ac:dyDescent="0.25" r="950" customHeight="1" ht="12.75">
      <c r="A950" s="4"/>
      <c r="B950" s="29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29"/>
      <c r="N950" s="29"/>
      <c r="O950" s="29"/>
      <c r="P950" s="32"/>
      <c r="Q950" s="32"/>
      <c r="R950" s="4"/>
      <c r="S950" s="4"/>
      <c r="T950" s="4"/>
      <c r="U950" s="4"/>
      <c r="V950" s="4"/>
    </row>
    <row x14ac:dyDescent="0.25" r="951" customHeight="1" ht="12.75">
      <c r="A951" s="4"/>
      <c r="B951" s="29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29"/>
      <c r="N951" s="29"/>
      <c r="O951" s="29"/>
      <c r="P951" s="32"/>
      <c r="Q951" s="32"/>
      <c r="R951" s="4"/>
      <c r="S951" s="4"/>
      <c r="T951" s="4"/>
      <c r="U951" s="4"/>
      <c r="V951" s="4"/>
    </row>
    <row x14ac:dyDescent="0.25" r="952" customHeight="1" ht="12.75">
      <c r="A952" s="4"/>
      <c r="B952" s="29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29"/>
      <c r="N952" s="29"/>
      <c r="O952" s="29"/>
      <c r="P952" s="32"/>
      <c r="Q952" s="32"/>
      <c r="R952" s="4"/>
      <c r="S952" s="4"/>
      <c r="T952" s="4"/>
      <c r="U952" s="4"/>
      <c r="V952" s="4"/>
    </row>
    <row x14ac:dyDescent="0.25" r="953" customHeight="1" ht="12.75">
      <c r="A953" s="4"/>
      <c r="B953" s="29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29"/>
      <c r="N953" s="29"/>
      <c r="O953" s="29"/>
      <c r="P953" s="32"/>
      <c r="Q953" s="32"/>
      <c r="R953" s="4"/>
      <c r="S953" s="4"/>
      <c r="T953" s="4"/>
      <c r="U953" s="4"/>
      <c r="V953" s="4"/>
    </row>
    <row x14ac:dyDescent="0.25" r="954" customHeight="1" ht="12.75">
      <c r="A954" s="4"/>
      <c r="B954" s="29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29"/>
      <c r="N954" s="29"/>
      <c r="O954" s="29"/>
      <c r="P954" s="32"/>
      <c r="Q954" s="32"/>
      <c r="R954" s="4"/>
      <c r="S954" s="4"/>
      <c r="T954" s="4"/>
      <c r="U954" s="4"/>
      <c r="V954" s="4"/>
    </row>
    <row x14ac:dyDescent="0.25" r="955" customHeight="1" ht="12.75">
      <c r="A955" s="4"/>
      <c r="B955" s="29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29"/>
      <c r="N955" s="29"/>
      <c r="O955" s="29"/>
      <c r="P955" s="32"/>
      <c r="Q955" s="32"/>
      <c r="R955" s="4"/>
      <c r="S955" s="4"/>
      <c r="T955" s="4"/>
      <c r="U955" s="4"/>
      <c r="V955" s="4"/>
    </row>
    <row x14ac:dyDescent="0.25" r="956" customHeight="1" ht="12.75">
      <c r="A956" s="4"/>
      <c r="B956" s="29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29"/>
      <c r="N956" s="29"/>
      <c r="O956" s="29"/>
      <c r="P956" s="32"/>
      <c r="Q956" s="32"/>
      <c r="R956" s="4"/>
      <c r="S956" s="4"/>
      <c r="T956" s="4"/>
      <c r="U956" s="4"/>
      <c r="V956" s="4"/>
    </row>
    <row x14ac:dyDescent="0.25" r="957" customHeight="1" ht="12.75">
      <c r="A957" s="4"/>
      <c r="B957" s="29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29"/>
      <c r="N957" s="29"/>
      <c r="O957" s="29"/>
      <c r="P957" s="32"/>
      <c r="Q957" s="32"/>
      <c r="R957" s="4"/>
      <c r="S957" s="4"/>
      <c r="T957" s="4"/>
      <c r="U957" s="4"/>
      <c r="V957" s="4"/>
    </row>
    <row x14ac:dyDescent="0.25" r="958" customHeight="1" ht="12.75">
      <c r="A958" s="4"/>
      <c r="B958" s="29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29"/>
      <c r="N958" s="29"/>
      <c r="O958" s="29"/>
      <c r="P958" s="32"/>
      <c r="Q958" s="32"/>
      <c r="R958" s="4"/>
      <c r="S958" s="4"/>
      <c r="T958" s="4"/>
      <c r="U958" s="4"/>
      <c r="V958" s="4"/>
    </row>
    <row x14ac:dyDescent="0.25" r="959" customHeight="1" ht="12.75">
      <c r="A959" s="4"/>
      <c r="B959" s="29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29"/>
      <c r="N959" s="29"/>
      <c r="O959" s="29"/>
      <c r="P959" s="32"/>
      <c r="Q959" s="32"/>
      <c r="R959" s="4"/>
      <c r="S959" s="4"/>
      <c r="T959" s="4"/>
      <c r="U959" s="4"/>
      <c r="V959" s="4"/>
    </row>
    <row x14ac:dyDescent="0.25" r="960" customHeight="1" ht="12.75">
      <c r="A960" s="4"/>
      <c r="B960" s="29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29"/>
      <c r="N960" s="29"/>
      <c r="O960" s="29"/>
      <c r="P960" s="32"/>
      <c r="Q960" s="32"/>
      <c r="R960" s="4"/>
      <c r="S960" s="4"/>
      <c r="T960" s="4"/>
      <c r="U960" s="4"/>
      <c r="V960" s="4"/>
    </row>
    <row x14ac:dyDescent="0.25" r="961" customHeight="1" ht="12.75">
      <c r="A961" s="4"/>
      <c r="B961" s="29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29"/>
      <c r="N961" s="29"/>
      <c r="O961" s="29"/>
      <c r="P961" s="32"/>
      <c r="Q961" s="32"/>
      <c r="R961" s="4"/>
      <c r="S961" s="4"/>
      <c r="T961" s="4"/>
      <c r="U961" s="4"/>
      <c r="V961" s="4"/>
    </row>
    <row x14ac:dyDescent="0.25" r="962" customHeight="1" ht="12.75">
      <c r="A962" s="4"/>
      <c r="B962" s="29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29"/>
      <c r="N962" s="29"/>
      <c r="O962" s="29"/>
      <c r="P962" s="32"/>
      <c r="Q962" s="32"/>
      <c r="R962" s="4"/>
      <c r="S962" s="4"/>
      <c r="T962" s="4"/>
      <c r="U962" s="4"/>
      <c r="V962" s="4"/>
    </row>
    <row x14ac:dyDescent="0.25" r="963" customHeight="1" ht="12.75">
      <c r="A963" s="4"/>
      <c r="B963" s="29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29"/>
      <c r="N963" s="29"/>
      <c r="O963" s="29"/>
      <c r="P963" s="32"/>
      <c r="Q963" s="32"/>
      <c r="R963" s="4"/>
      <c r="S963" s="4"/>
      <c r="T963" s="4"/>
      <c r="U963" s="4"/>
      <c r="V963" s="4"/>
    </row>
    <row x14ac:dyDescent="0.25" r="964" customHeight="1" ht="12.75">
      <c r="A964" s="4"/>
      <c r="B964" s="29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29"/>
      <c r="N964" s="29"/>
      <c r="O964" s="29"/>
      <c r="P964" s="32"/>
      <c r="Q964" s="32"/>
      <c r="R964" s="4"/>
      <c r="S964" s="4"/>
      <c r="T964" s="4"/>
      <c r="U964" s="4"/>
      <c r="V964" s="4"/>
    </row>
    <row x14ac:dyDescent="0.25" r="965" customHeight="1" ht="12.75">
      <c r="A965" s="4"/>
      <c r="B965" s="29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29"/>
      <c r="N965" s="29"/>
      <c r="O965" s="29"/>
      <c r="P965" s="32"/>
      <c r="Q965" s="32"/>
      <c r="R965" s="4"/>
      <c r="S965" s="4"/>
      <c r="T965" s="4"/>
      <c r="U965" s="4"/>
      <c r="V965" s="4"/>
    </row>
    <row x14ac:dyDescent="0.25" r="966" customHeight="1" ht="12.75">
      <c r="A966" s="4"/>
      <c r="B966" s="29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29"/>
      <c r="N966" s="29"/>
      <c r="O966" s="29"/>
      <c r="P966" s="32"/>
      <c r="Q966" s="32"/>
      <c r="R966" s="4"/>
      <c r="S966" s="4"/>
      <c r="T966" s="4"/>
      <c r="U966" s="4"/>
      <c r="V966" s="4"/>
    </row>
    <row x14ac:dyDescent="0.25" r="967" customHeight="1" ht="12.75">
      <c r="A967" s="4"/>
      <c r="B967" s="29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29"/>
      <c r="N967" s="29"/>
      <c r="O967" s="29"/>
      <c r="P967" s="32"/>
      <c r="Q967" s="32"/>
      <c r="R967" s="4"/>
      <c r="S967" s="4"/>
      <c r="T967" s="4"/>
      <c r="U967" s="4"/>
      <c r="V967" s="4"/>
    </row>
    <row x14ac:dyDescent="0.25" r="968" customHeight="1" ht="12.75">
      <c r="A968" s="4"/>
      <c r="B968" s="29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29"/>
      <c r="N968" s="29"/>
      <c r="O968" s="29"/>
      <c r="P968" s="32"/>
      <c r="Q968" s="32"/>
      <c r="R968" s="4"/>
      <c r="S968" s="4"/>
      <c r="T968" s="4"/>
      <c r="U968" s="4"/>
      <c r="V968" s="4"/>
    </row>
    <row x14ac:dyDescent="0.25" r="969" customHeight="1" ht="12.75">
      <c r="A969" s="4"/>
      <c r="B969" s="29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29"/>
      <c r="N969" s="29"/>
      <c r="O969" s="29"/>
      <c r="P969" s="32"/>
      <c r="Q969" s="32"/>
      <c r="R969" s="4"/>
      <c r="S969" s="4"/>
      <c r="T969" s="4"/>
      <c r="U969" s="4"/>
      <c r="V969" s="4"/>
    </row>
    <row x14ac:dyDescent="0.25" r="970" customHeight="1" ht="12.75">
      <c r="A970" s="4"/>
      <c r="B970" s="29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29"/>
      <c r="N970" s="29"/>
      <c r="O970" s="29"/>
      <c r="P970" s="32"/>
      <c r="Q970" s="32"/>
      <c r="R970" s="4"/>
      <c r="S970" s="4"/>
      <c r="T970" s="4"/>
      <c r="U970" s="4"/>
      <c r="V970" s="4"/>
    </row>
    <row x14ac:dyDescent="0.25" r="971" customHeight="1" ht="12.75">
      <c r="A971" s="4"/>
      <c r="B971" s="29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29"/>
      <c r="N971" s="29"/>
      <c r="O971" s="29"/>
      <c r="P971" s="32"/>
      <c r="Q971" s="32"/>
      <c r="R971" s="4"/>
      <c r="S971" s="4"/>
      <c r="T971" s="4"/>
      <c r="U971" s="4"/>
      <c r="V971" s="4"/>
    </row>
    <row x14ac:dyDescent="0.25" r="972" customHeight="1" ht="12.75">
      <c r="A972" s="4"/>
      <c r="B972" s="29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29"/>
      <c r="N972" s="29"/>
      <c r="O972" s="29"/>
      <c r="P972" s="32"/>
      <c r="Q972" s="32"/>
      <c r="R972" s="4"/>
      <c r="S972" s="4"/>
      <c r="T972" s="4"/>
      <c r="U972" s="4"/>
      <c r="V972" s="4"/>
    </row>
    <row x14ac:dyDescent="0.25" r="973" customHeight="1" ht="12.75">
      <c r="A973" s="4"/>
      <c r="B973" s="29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29"/>
      <c r="N973" s="29"/>
      <c r="O973" s="29"/>
      <c r="P973" s="32"/>
      <c r="Q973" s="32"/>
      <c r="R973" s="4"/>
      <c r="S973" s="4"/>
      <c r="T973" s="4"/>
      <c r="U973" s="4"/>
      <c r="V973" s="4"/>
    </row>
    <row x14ac:dyDescent="0.25" r="974" customHeight="1" ht="12.75">
      <c r="A974" s="4"/>
      <c r="B974" s="29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29"/>
      <c r="N974" s="29"/>
      <c r="O974" s="29"/>
      <c r="P974" s="32"/>
      <c r="Q974" s="32"/>
      <c r="R974" s="4"/>
      <c r="S974" s="4"/>
      <c r="T974" s="4"/>
      <c r="U974" s="4"/>
      <c r="V974" s="4"/>
    </row>
    <row x14ac:dyDescent="0.25" r="975" customHeight="1" ht="12.75">
      <c r="A975" s="4"/>
      <c r="B975" s="29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29"/>
      <c r="N975" s="29"/>
      <c r="O975" s="29"/>
      <c r="P975" s="32"/>
      <c r="Q975" s="32"/>
      <c r="R975" s="4"/>
      <c r="S975" s="4"/>
      <c r="T975" s="4"/>
      <c r="U975" s="4"/>
      <c r="V975" s="4"/>
    </row>
    <row x14ac:dyDescent="0.25" r="976" customHeight="1" ht="12.75">
      <c r="A976" s="4"/>
      <c r="B976" s="29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29"/>
      <c r="N976" s="29"/>
      <c r="O976" s="29"/>
      <c r="P976" s="32"/>
      <c r="Q976" s="32"/>
      <c r="R976" s="4"/>
      <c r="S976" s="4"/>
      <c r="T976" s="4"/>
      <c r="U976" s="4"/>
      <c r="V976" s="4"/>
    </row>
    <row x14ac:dyDescent="0.25" r="977" customHeight="1" ht="12.75">
      <c r="A977" s="4"/>
      <c r="B977" s="29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29"/>
      <c r="N977" s="29"/>
      <c r="O977" s="29"/>
      <c r="P977" s="32"/>
      <c r="Q977" s="32"/>
      <c r="R977" s="4"/>
      <c r="S977" s="4"/>
      <c r="T977" s="4"/>
      <c r="U977" s="4"/>
      <c r="V977" s="4"/>
    </row>
    <row x14ac:dyDescent="0.25" r="978" customHeight="1" ht="12.75">
      <c r="A978" s="4"/>
      <c r="B978" s="29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29"/>
      <c r="N978" s="29"/>
      <c r="O978" s="29"/>
      <c r="P978" s="32"/>
      <c r="Q978" s="32"/>
      <c r="R978" s="4"/>
      <c r="S978" s="4"/>
      <c r="T978" s="4"/>
      <c r="U978" s="4"/>
      <c r="V978" s="4"/>
    </row>
    <row x14ac:dyDescent="0.25" r="979" customHeight="1" ht="12.75">
      <c r="A979" s="4"/>
      <c r="B979" s="29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29"/>
      <c r="N979" s="29"/>
      <c r="O979" s="29"/>
      <c r="P979" s="32"/>
      <c r="Q979" s="32"/>
      <c r="R979" s="4"/>
      <c r="S979" s="4"/>
      <c r="T979" s="4"/>
      <c r="U979" s="4"/>
      <c r="V979" s="4"/>
    </row>
    <row x14ac:dyDescent="0.25" r="980" customHeight="1" ht="12.75">
      <c r="A980" s="4"/>
      <c r="B980" s="29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29"/>
      <c r="N980" s="29"/>
      <c r="O980" s="29"/>
      <c r="P980" s="32"/>
      <c r="Q980" s="32"/>
      <c r="R980" s="4"/>
      <c r="S980" s="4"/>
      <c r="T980" s="4"/>
      <c r="U980" s="4"/>
      <c r="V980" s="4"/>
    </row>
    <row x14ac:dyDescent="0.25" r="981" customHeight="1" ht="12.75">
      <c r="A981" s="4"/>
      <c r="B981" s="29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29"/>
      <c r="N981" s="29"/>
      <c r="O981" s="29"/>
      <c r="P981" s="32"/>
      <c r="Q981" s="32"/>
      <c r="R981" s="4"/>
      <c r="S981" s="4"/>
      <c r="T981" s="4"/>
      <c r="U981" s="4"/>
      <c r="V981" s="4"/>
    </row>
    <row x14ac:dyDescent="0.25" r="982" customHeight="1" ht="12.75">
      <c r="A982" s="4"/>
      <c r="B982" s="29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29"/>
      <c r="N982" s="29"/>
      <c r="O982" s="29"/>
      <c r="P982" s="32"/>
      <c r="Q982" s="32"/>
      <c r="R982" s="4"/>
      <c r="S982" s="4"/>
      <c r="T982" s="4"/>
      <c r="U982" s="4"/>
      <c r="V982" s="4"/>
    </row>
    <row x14ac:dyDescent="0.25" r="983" customHeight="1" ht="12.75">
      <c r="A983" s="4"/>
      <c r="B983" s="29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29"/>
      <c r="N983" s="29"/>
      <c r="O983" s="29"/>
      <c r="P983" s="32"/>
      <c r="Q983" s="32"/>
      <c r="R983" s="4"/>
      <c r="S983" s="4"/>
      <c r="T983" s="4"/>
      <c r="U983" s="4"/>
      <c r="V983" s="4"/>
    </row>
    <row x14ac:dyDescent="0.25" r="984" customHeight="1" ht="12.75">
      <c r="A984" s="4"/>
      <c r="B984" s="29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29"/>
      <c r="N984" s="29"/>
      <c r="O984" s="29"/>
      <c r="P984" s="32"/>
      <c r="Q984" s="32"/>
      <c r="R984" s="4"/>
      <c r="S984" s="4"/>
      <c r="T984" s="4"/>
      <c r="U984" s="4"/>
      <c r="V984" s="4"/>
    </row>
    <row x14ac:dyDescent="0.25" r="985" customHeight="1" ht="12.75">
      <c r="A985" s="4"/>
      <c r="B985" s="29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29"/>
      <c r="N985" s="29"/>
      <c r="O985" s="29"/>
      <c r="P985" s="32"/>
      <c r="Q985" s="32"/>
      <c r="R985" s="4"/>
      <c r="S985" s="4"/>
      <c r="T985" s="4"/>
      <c r="U985" s="4"/>
      <c r="V985" s="4"/>
    </row>
    <row x14ac:dyDescent="0.25" r="986" customHeight="1" ht="12.75">
      <c r="A986" s="4"/>
      <c r="B986" s="29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29"/>
      <c r="N986" s="29"/>
      <c r="O986" s="29"/>
      <c r="P986" s="32"/>
      <c r="Q986" s="32"/>
      <c r="R986" s="4"/>
      <c r="S986" s="4"/>
      <c r="T986" s="4"/>
      <c r="U986" s="4"/>
      <c r="V986" s="4"/>
    </row>
    <row x14ac:dyDescent="0.25" r="987" customHeight="1" ht="12.75">
      <c r="A987" s="4"/>
      <c r="B987" s="29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29"/>
      <c r="N987" s="29"/>
      <c r="O987" s="29"/>
      <c r="P987" s="32"/>
      <c r="Q987" s="32"/>
      <c r="R987" s="4"/>
      <c r="S987" s="4"/>
      <c r="T987" s="4"/>
      <c r="U987" s="4"/>
      <c r="V987" s="4"/>
    </row>
    <row x14ac:dyDescent="0.25" r="988" customHeight="1" ht="12.75">
      <c r="A988" s="4"/>
      <c r="B988" s="29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29"/>
      <c r="N988" s="29"/>
      <c r="O988" s="29"/>
      <c r="P988" s="32"/>
      <c r="Q988" s="32"/>
      <c r="R988" s="4"/>
      <c r="S988" s="4"/>
      <c r="T988" s="4"/>
      <c r="U988" s="4"/>
      <c r="V988" s="4"/>
    </row>
    <row x14ac:dyDescent="0.25" r="989" customHeight="1" ht="12.75">
      <c r="A989" s="4"/>
      <c r="B989" s="29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29"/>
      <c r="N989" s="29"/>
      <c r="O989" s="29"/>
      <c r="P989" s="32"/>
      <c r="Q989" s="32"/>
      <c r="R989" s="4"/>
      <c r="S989" s="4"/>
      <c r="T989" s="4"/>
      <c r="U989" s="4"/>
      <c r="V989" s="4"/>
    </row>
    <row x14ac:dyDescent="0.25" r="990" customHeight="1" ht="12.75">
      <c r="A990" s="4"/>
      <c r="B990" s="29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29"/>
      <c r="N990" s="29"/>
      <c r="O990" s="29"/>
      <c r="P990" s="32"/>
      <c r="Q990" s="32"/>
      <c r="R990" s="4"/>
      <c r="S990" s="4"/>
      <c r="T990" s="4"/>
      <c r="U990" s="4"/>
      <c r="V990" s="4"/>
    </row>
    <row x14ac:dyDescent="0.25" r="991" customHeight="1" ht="12.75">
      <c r="A991" s="4"/>
      <c r="B991" s="29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29"/>
      <c r="N991" s="29"/>
      <c r="O991" s="29"/>
      <c r="P991" s="32"/>
      <c r="Q991" s="32"/>
      <c r="R991" s="4"/>
      <c r="S991" s="4"/>
      <c r="T991" s="4"/>
      <c r="U991" s="4"/>
      <c r="V991" s="4"/>
    </row>
    <row x14ac:dyDescent="0.25" r="992" customHeight="1" ht="12.75">
      <c r="A992" s="4"/>
      <c r="B992" s="29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29"/>
      <c r="N992" s="29"/>
      <c r="O992" s="29"/>
      <c r="P992" s="32"/>
      <c r="Q992" s="32"/>
      <c r="R992" s="4"/>
      <c r="S992" s="4"/>
      <c r="T992" s="4"/>
      <c r="U992" s="4"/>
      <c r="V992" s="4"/>
    </row>
    <row x14ac:dyDescent="0.25" r="993" customHeight="1" ht="12.75">
      <c r="A993" s="4"/>
      <c r="B993" s="29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29"/>
      <c r="N993" s="29"/>
      <c r="O993" s="29"/>
      <c r="P993" s="32"/>
      <c r="Q993" s="32"/>
      <c r="R993" s="4"/>
      <c r="S993" s="4"/>
      <c r="T993" s="4"/>
      <c r="U993" s="4"/>
      <c r="V993" s="4"/>
    </row>
    <row x14ac:dyDescent="0.25" r="994" customHeight="1" ht="12.75">
      <c r="A994" s="4"/>
      <c r="B994" s="29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29"/>
      <c r="N994" s="29"/>
      <c r="O994" s="29"/>
      <c r="P994" s="32"/>
      <c r="Q994" s="32"/>
      <c r="R994" s="4"/>
      <c r="S994" s="4"/>
      <c r="T994" s="4"/>
      <c r="U994" s="4"/>
      <c r="V994" s="4"/>
    </row>
    <row x14ac:dyDescent="0.25" r="995" customHeight="1" ht="12.75">
      <c r="A995" s="4"/>
      <c r="B995" s="29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29"/>
      <c r="N995" s="29"/>
      <c r="O995" s="29"/>
      <c r="P995" s="32"/>
      <c r="Q995" s="32"/>
      <c r="R995" s="4"/>
      <c r="S995" s="4"/>
      <c r="T995" s="4"/>
      <c r="U995" s="4"/>
      <c r="V995" s="4"/>
    </row>
    <row x14ac:dyDescent="0.25" r="996" customHeight="1" ht="12.75">
      <c r="A996" s="4"/>
      <c r="B996" s="29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29"/>
      <c r="N996" s="29"/>
      <c r="O996" s="29"/>
      <c r="P996" s="32"/>
      <c r="Q996" s="32"/>
      <c r="R996" s="4"/>
      <c r="S996" s="4"/>
      <c r="T996" s="4"/>
      <c r="U996" s="4"/>
      <c r="V996" s="4"/>
    </row>
    <row x14ac:dyDescent="0.25" r="997" customHeight="1" ht="12.75">
      <c r="A997" s="4"/>
      <c r="B997" s="29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29"/>
      <c r="N997" s="29"/>
      <c r="O997" s="29"/>
      <c r="P997" s="32"/>
      <c r="Q997" s="32"/>
      <c r="R997" s="4"/>
      <c r="S997" s="4"/>
      <c r="T997" s="4"/>
      <c r="U997" s="4"/>
      <c r="V997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99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5.147857142857141" customWidth="1" bestFit="1"/>
    <col min="2" max="2" style="43" width="13.576428571428572" customWidth="1" bestFit="1"/>
    <col min="3" max="3" style="44" width="13.576428571428572" customWidth="1" bestFit="1"/>
    <col min="4" max="4" style="44" width="13.576428571428572" customWidth="1" bestFit="1"/>
    <col min="5" max="5" style="44" width="13.576428571428572" customWidth="1" bestFit="1"/>
    <col min="6" max="6" style="44" width="13.576428571428572" customWidth="1" bestFit="1"/>
    <col min="7" max="7" style="44" width="13.576428571428572" customWidth="1" bestFit="1"/>
    <col min="8" max="8" style="44" width="13.576428571428572" customWidth="1" bestFit="1"/>
    <col min="9" max="9" style="44" width="13.576428571428572" customWidth="1" bestFit="1"/>
    <col min="10" max="10" style="44" width="13.576428571428572" customWidth="1" bestFit="1"/>
    <col min="11" max="11" style="44" width="13.576428571428572" customWidth="1" bestFit="1"/>
    <col min="12" max="12" style="44" width="13.576428571428572" customWidth="1" bestFit="1"/>
    <col min="13" max="13" style="43" width="13.43357142857143" customWidth="1" bestFit="1"/>
    <col min="14" max="14" style="43" width="13.576428571428572" customWidth="1" bestFit="1"/>
    <col min="15" max="15" style="43" width="13.576428571428572" customWidth="1" bestFit="1"/>
    <col min="16" max="16" style="45" width="13.576428571428572" customWidth="1" bestFit="1"/>
    <col min="17" max="17" style="45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</cols>
  <sheetData>
    <row x14ac:dyDescent="0.25" r="1" customHeight="1" ht="12.75">
      <c r="A1" s="10" t="s">
        <v>0</v>
      </c>
      <c r="B1" s="11" t="s">
        <v>13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1" t="s">
        <v>14</v>
      </c>
      <c r="N1" s="11" t="s">
        <v>15</v>
      </c>
      <c r="O1" s="11" t="s">
        <v>16</v>
      </c>
      <c r="P1" s="12" t="s">
        <v>63</v>
      </c>
      <c r="Q1" s="12" t="s">
        <v>64</v>
      </c>
      <c r="R1" s="13" t="s">
        <v>65</v>
      </c>
      <c r="S1" s="4"/>
      <c r="T1" s="4"/>
      <c r="U1" s="4"/>
      <c r="V1" s="4"/>
      <c r="W1" s="4"/>
    </row>
    <row x14ac:dyDescent="0.25" r="2" customHeight="1" ht="14.25">
      <c r="A2" s="15" t="s">
        <v>41</v>
      </c>
      <c r="B2" s="16">
        <f>$D$1:$D$76/$C$1:$C$76</f>
      </c>
      <c r="C2" s="17">
        <v>2</v>
      </c>
      <c r="D2" s="17">
        <v>1</v>
      </c>
      <c r="E2" s="17">
        <v>1</v>
      </c>
      <c r="F2" s="17">
        <v>0</v>
      </c>
      <c r="G2" s="17">
        <v>0</v>
      </c>
      <c r="H2" s="17">
        <v>0</v>
      </c>
      <c r="I2" s="17">
        <v>0</v>
      </c>
      <c r="J2" s="17">
        <v>1</v>
      </c>
      <c r="K2" s="17">
        <v>0</v>
      </c>
      <c r="L2" s="17">
        <v>0</v>
      </c>
      <c r="M2" s="16">
        <f>(($E2:$E13 + 2 * $F2:$F13 + 3 * $G2:$G13 + 4 * $H2:$H13) / $C2:$C13)</f>
      </c>
      <c r="N2" s="16">
        <f>(($D$1:$D$76 + $K$1:$K$76) / ($C$1:$C$76 + $K$1:$K$76))</f>
      </c>
      <c r="O2" s="16">
        <f>(($D$1:$D$65 + $K$1:$K$65) / ($C$1:$C$65 + $K$1:$K$94)) + ((($E$1:$E$106) + (2 * $F$1:$F$106) + (3 * $G$1:$G$106) + (4 * $H$1:$H$106)) / $C$1:$C$65)</f>
      </c>
      <c r="P2" s="17">
        <v>0</v>
      </c>
      <c r="Q2" s="17">
        <v>0</v>
      </c>
      <c r="R2" s="18"/>
      <c r="S2" s="14"/>
      <c r="T2" s="4"/>
      <c r="U2" s="4"/>
      <c r="V2" s="4"/>
      <c r="W2" s="4"/>
    </row>
    <row x14ac:dyDescent="0.25" r="3" customHeight="1" ht="15.75">
      <c r="A3" s="23" t="s">
        <v>57</v>
      </c>
      <c r="B3" s="20">
        <f>$D$1:$D$76/$C$1:$C$76</f>
      </c>
      <c r="C3" s="21">
        <v>2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0">
        <f>(($E3:$E13 + 2 * $F3:$F13 + 3 * $G3:$G13 + 4 * $H3:$H13) / $C3:$C13)</f>
      </c>
      <c r="N3" s="20">
        <f>(($D$1:$D$76 + $K$1:$K$76) / ($C$1:$C$76 + $K$1:$K$76))</f>
      </c>
      <c r="O3" s="20">
        <f>(($D$1:$D$65 + $K$1:$K$65) / ($C$1:$C$65 + $K$1:$K$94)) + ((($E$1:$E$106) + (2 * $F$1:$F$106) + (3 * $G$1:$G$106) + (4 * $H$1:$H$106)) / $C$1:$C$65)</f>
      </c>
      <c r="P3" s="21">
        <v>0</v>
      </c>
      <c r="Q3" s="21">
        <v>0</v>
      </c>
      <c r="R3" s="22"/>
      <c r="S3" s="14"/>
      <c r="T3" s="4"/>
      <c r="U3" s="4"/>
      <c r="V3" s="4"/>
      <c r="W3" s="4"/>
    </row>
    <row x14ac:dyDescent="0.25" r="4" customHeight="1" ht="14.25">
      <c r="A4" s="15" t="s">
        <v>30</v>
      </c>
      <c r="B4" s="16">
        <f>$D$1:$D$76/$C$1:$C$76</f>
      </c>
      <c r="C4" s="17">
        <v>2</v>
      </c>
      <c r="D4" s="17">
        <v>2</v>
      </c>
      <c r="E4" s="17">
        <v>2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6">
        <f>(($E4:$E13 + 2 * $F4:$F13 + 3 * $G4:$G13 + 4 * $H4:$H13) / $C4:$C13)</f>
      </c>
      <c r="N4" s="16">
        <f>(($D$1:$D$76 + $K$1:$K$76) / ($C$1:$C$76 + $K$1:$K$76))</f>
      </c>
      <c r="O4" s="16">
        <f>(($D$1:$D$65 + $K$1:$K$65) / ($C$1:$C$65 + $K$1:$K$94)) + ((($E$1:$E$106) + (2 * $F$1:$F$106) + (3 * $G$1:$G$106) + (4 * $H$1:$H$106)) / $C$1:$C$65)</f>
      </c>
      <c r="P4" s="17">
        <v>0</v>
      </c>
      <c r="Q4" s="17">
        <v>0</v>
      </c>
      <c r="R4" s="18"/>
      <c r="S4" s="14"/>
      <c r="T4" s="4"/>
      <c r="U4" s="4"/>
      <c r="V4" s="4"/>
      <c r="W4" s="4"/>
    </row>
    <row x14ac:dyDescent="0.25" r="5" customHeight="1" ht="14.25">
      <c r="A5" s="19" t="s">
        <v>52</v>
      </c>
      <c r="B5" s="20">
        <f>$D$1:$D$76/$C$1:$C$76</f>
      </c>
      <c r="C5" s="21">
        <v>2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1</v>
      </c>
      <c r="J5" s="21">
        <v>0</v>
      </c>
      <c r="K5" s="21">
        <v>0</v>
      </c>
      <c r="L5" s="21">
        <v>0</v>
      </c>
      <c r="M5" s="20">
        <f>(($E5:$E13 + 2 * $F5:$F13 + 3 * $G5:$G13 + 4 * $H5:$H13) / $C5:$C13)</f>
      </c>
      <c r="N5" s="20">
        <f>(($D$1:$D$76 + $K$1:$K$76) / ($C$1:$C$76 + $K$1:$K$76))</f>
      </c>
      <c r="O5" s="20">
        <f>(($D$1:$D$65 + $K$1:$K$65) / ($C$1:$C$65 + $K$1:$K$94)) + ((($E$1:$E$106) + (2 * $F$1:$F$106) + (3 * $G$1:$G$106) + (4 * $H$1:$H$106)) / $C$1:$C$65)</f>
      </c>
      <c r="P5" s="21">
        <v>1</v>
      </c>
      <c r="Q5" s="21">
        <v>0</v>
      </c>
      <c r="R5" s="22">
        <f>$Q$1:$Q$83/$P$1:$P$83</f>
      </c>
      <c r="S5" s="14"/>
      <c r="T5" s="4"/>
      <c r="U5" s="4"/>
      <c r="V5" s="4"/>
      <c r="W5" s="4"/>
    </row>
    <row x14ac:dyDescent="0.25" r="6" customHeight="1" ht="14.25">
      <c r="A6" s="15" t="s">
        <v>49</v>
      </c>
      <c r="B6" s="16">
        <f>$D$1:$D$76/$C$1:$C$76</f>
      </c>
      <c r="C6" s="17">
        <v>2</v>
      </c>
      <c r="D6" s="17">
        <v>1</v>
      </c>
      <c r="E6" s="17">
        <v>1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6">
        <f>(($E6:$E14 + 2 * $F6:$F14 + 3 * $G6:$G14 + 4 * $H6:$H14) / $C6:$C14)</f>
      </c>
      <c r="N6" s="16">
        <f>(($D$1:$D$76 + $K$1:$K$76) / ($C$1:$C$76 + $K$1:$K$76))</f>
      </c>
      <c r="O6" s="16">
        <f>(($D$1:$D$65 + $K$1:$K$65) / ($C$1:$C$65 + $K$1:$K$94)) + ((($E$1:$E$106) + (2 * $F$1:$F$106) + (3 * $G$1:$G$106) + (4 * $H$1:$H$106)) / $C$1:$C$65)</f>
      </c>
      <c r="P6" s="17">
        <v>1</v>
      </c>
      <c r="Q6" s="17">
        <v>1</v>
      </c>
      <c r="R6" s="18">
        <f>$Q$1:$Q$83/$P$1:$P$83</f>
      </c>
      <c r="S6" s="14"/>
      <c r="T6" s="4"/>
      <c r="U6" s="4"/>
      <c r="V6" s="4"/>
      <c r="W6" s="4"/>
    </row>
    <row x14ac:dyDescent="0.25" r="7" customHeight="1" ht="14.25">
      <c r="A7" s="19" t="s">
        <v>37</v>
      </c>
      <c r="B7" s="20">
        <f>$D$1:$D$76/$C$1:$C$76</f>
      </c>
      <c r="C7" s="21">
        <v>2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0">
        <f>(($E7:$E14 + 2 * $F7:$F14 + 3 * $G7:$G14 + 4 * $H7:$H14) / $C7:$C14)</f>
      </c>
      <c r="N7" s="20">
        <f>(($D$1:$D$76 + $K$1:$K$76) / ($C$1:$C$76 + $K$1:$K$76))</f>
      </c>
      <c r="O7" s="20">
        <f>(($D$1:$D$65 + $K$1:$K$65) / ($C$1:$C$65 + $K$1:$K$94)) + ((($E$1:$E$106) + (2 * $F$1:$F$106) + (3 * $G$1:$G$106) + (4 * $H$1:$H$106)) / $C$1:$C$65)</f>
      </c>
      <c r="P7" s="21">
        <v>1</v>
      </c>
      <c r="Q7" s="21">
        <v>0</v>
      </c>
      <c r="R7" s="22">
        <f>$Q$1:$Q$83/$P$1:$P$83</f>
      </c>
      <c r="S7" s="14"/>
      <c r="T7" s="4"/>
      <c r="U7" s="4"/>
      <c r="V7" s="4"/>
      <c r="W7" s="4"/>
    </row>
    <row x14ac:dyDescent="0.25" r="8" customHeight="1" ht="12.75">
      <c r="A8" s="15" t="s">
        <v>43</v>
      </c>
      <c r="B8" s="16">
        <f>$D$1:$D$76/$C$1:$C$76</f>
      </c>
      <c r="C8" s="17">
        <v>1</v>
      </c>
      <c r="D8" s="17">
        <v>1</v>
      </c>
      <c r="E8" s="17">
        <v>1</v>
      </c>
      <c r="F8" s="17">
        <v>0</v>
      </c>
      <c r="G8" s="17">
        <v>0</v>
      </c>
      <c r="H8" s="17">
        <v>0</v>
      </c>
      <c r="I8" s="17">
        <v>0</v>
      </c>
      <c r="J8" s="17">
        <v>1</v>
      </c>
      <c r="K8" s="17">
        <v>0</v>
      </c>
      <c r="L8" s="17">
        <v>0</v>
      </c>
      <c r="M8" s="16">
        <f>(($E8:$E13 + 2 * $F8:$F13 + 3 * $G8:$G13 + 4 * $H8:$H13) / $C8:$C13)</f>
      </c>
      <c r="N8" s="16">
        <f>(($D$1:$D$76 + $K$1:$K$76) / ($C$1:$C$76 + $K$1:$K$76))</f>
      </c>
      <c r="O8" s="16">
        <f>(($D$1:$D$65 + $K$1:$K$65) / ($C$1:$C$65 + $K$1:$K$94)) + ((($E$1:$E$106) + (2 * $F$1:$F$106) + (3 * $G$1:$G$106) + (4 * $H$1:$H$106)) / $C$1:$C$65)</f>
      </c>
      <c r="P8" s="17">
        <v>0</v>
      </c>
      <c r="Q8" s="17">
        <v>0</v>
      </c>
      <c r="R8" s="18"/>
      <c r="S8" s="4"/>
      <c r="T8" s="4"/>
      <c r="U8" s="4"/>
      <c r="V8" s="4"/>
      <c r="W8" s="4"/>
    </row>
    <row x14ac:dyDescent="0.25" r="9" customHeight="1" ht="12.75">
      <c r="A9" s="19" t="s">
        <v>25</v>
      </c>
      <c r="B9" s="20">
        <f>$D$1:$D$76/$C$1:$C$76</f>
      </c>
      <c r="C9" s="21">
        <v>1</v>
      </c>
      <c r="D9" s="21">
        <v>1</v>
      </c>
      <c r="E9" s="21">
        <v>1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0">
        <f>(($E9:$E14 + 2 * $F9:$F14 + 3 * $G9:$G14 + 4 * $H9:$H14) / $C9:$C14)</f>
      </c>
      <c r="N9" s="20">
        <f>(($D$1:$D$76 + $K$1:$K$76) / ($C$1:$C$76 + $K$1:$K$76))</f>
      </c>
      <c r="O9" s="20">
        <f>(($D$1:$D$65 + $K$1:$K$65) / ($C$1:$C$65 + $K$1:$K$94)) + ((($E$1:$E$106) + (2 * $F$1:$F$106) + (3 * $G$1:$G$106) + (4 * $H$1:$H$106)) / $C$1:$C$65)</f>
      </c>
      <c r="P9" s="21">
        <v>0</v>
      </c>
      <c r="Q9" s="21">
        <v>0</v>
      </c>
      <c r="R9" s="22"/>
      <c r="S9" s="4"/>
      <c r="T9" s="4"/>
      <c r="U9" s="4"/>
      <c r="V9" s="4"/>
      <c r="W9" s="4"/>
    </row>
    <row x14ac:dyDescent="0.25" r="10" customHeight="1" ht="12.75">
      <c r="A10" s="15" t="s">
        <v>38</v>
      </c>
      <c r="B10" s="16">
        <f>$D$1:$D$76/$C$1:$C$76</f>
      </c>
      <c r="C10" s="17">
        <v>1</v>
      </c>
      <c r="D10" s="17">
        <v>1</v>
      </c>
      <c r="E10" s="17">
        <v>0</v>
      </c>
      <c r="F10" s="17">
        <v>1</v>
      </c>
      <c r="G10" s="17">
        <v>0</v>
      </c>
      <c r="H10" s="17">
        <v>0</v>
      </c>
      <c r="I10" s="17">
        <v>1</v>
      </c>
      <c r="J10" s="17">
        <v>0</v>
      </c>
      <c r="K10" s="17">
        <v>0</v>
      </c>
      <c r="L10" s="17">
        <v>0</v>
      </c>
      <c r="M10" s="16">
        <f>(($E10:$E13 + 2 * $F10:$F13 + 3 * $G10:$G13 + 4 * $H10:$H13) / $C10:$C13)</f>
      </c>
      <c r="N10" s="16">
        <f>(($D$1:$D$76 + $K$1:$K$76) / ($C$1:$C$76 + $K$1:$K$76))</f>
      </c>
      <c r="O10" s="16">
        <f>(($D$1:$D$65 + $K$1:$K$65) / ($C$1:$C$65 + $K$1:$K$94)) + ((($E$1:$E$106) + (2 * $F$1:$F$106) + (3 * $G$1:$G$106) + (4 * $H$1:$H$106)) / $C$1:$C$65)</f>
      </c>
      <c r="P10" s="17">
        <v>1</v>
      </c>
      <c r="Q10" s="17">
        <v>1</v>
      </c>
      <c r="R10" s="18">
        <f>$Q$1:$Q$83/$P$1:$P$83</f>
      </c>
      <c r="S10" s="4"/>
      <c r="T10" s="4"/>
      <c r="U10" s="4"/>
      <c r="V10" s="4"/>
      <c r="W10" s="4"/>
    </row>
    <row x14ac:dyDescent="0.25" r="11" customHeight="1" ht="12.75">
      <c r="A11" s="19" t="s">
        <v>53</v>
      </c>
      <c r="B11" s="20">
        <f>$D$1:$D$76/$C$1:$C$76</f>
      </c>
      <c r="C11" s="21">
        <v>1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0">
        <f>(($E11:$E13 + 2 * $F11:$F13 + 3 * $G11:$G13 + 4 * $H11:$H13) / $C11:$C13)</f>
      </c>
      <c r="N11" s="20">
        <f>(($D$1:$D$76 + $K$1:$K$76) / ($C$1:$C$76 + $K$1:$K$76))</f>
      </c>
      <c r="O11" s="20">
        <f>(($D$1:$D$65 + $K$1:$K$65) / ($C$1:$C$65 + $K$1:$K$94)) + ((($E$1:$E$106) + (2 * $F$1:$F$106) + (3 * $G$1:$G$106) + (4 * $H$1:$H$106)) / $C$1:$C$65)</f>
      </c>
      <c r="P11" s="21">
        <v>1</v>
      </c>
      <c r="Q11" s="21">
        <v>0</v>
      </c>
      <c r="R11" s="22">
        <f>$Q$1:$Q$83/$P$1:$P$83</f>
      </c>
      <c r="S11" s="4"/>
      <c r="T11" s="4"/>
      <c r="U11" s="4"/>
      <c r="V11" s="4"/>
      <c r="W11" s="4"/>
    </row>
    <row x14ac:dyDescent="0.25" r="12" customHeight="1" ht="12.75">
      <c r="A12" s="23" t="s">
        <v>46</v>
      </c>
      <c r="B12" s="16">
        <f>$D$1:$D$76/$C$1:$C$76</f>
      </c>
      <c r="C12" s="17">
        <v>1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6">
        <f>(($E12:$E14 + 2 * $F12:$F14 + 3 * $G12:$G14 + 4 * $H12:$H14) / $C12:$C14)</f>
      </c>
      <c r="N12" s="16">
        <f>(($D$1:$D$76 + $K$1:$K$76) / ($C$1:$C$76 + $K$1:$K$76))</f>
      </c>
      <c r="O12" s="16">
        <f>(($D$1:$D$65 + $K$1:$K$65) / ($C$1:$C$65 + $K$1:$K$94)) + ((($E$1:$E$106) + (2 * $F$1:$F$106) + (3 * $G$1:$G$106) + (4 * $H$1:$H$106)) / $C$1:$C$65)</f>
      </c>
      <c r="P12" s="17">
        <v>1</v>
      </c>
      <c r="Q12" s="17">
        <v>0</v>
      </c>
      <c r="R12" s="18">
        <f>$Q$1:$Q$83/$P$1:$P$83</f>
      </c>
      <c r="S12" s="4"/>
      <c r="T12" s="4"/>
      <c r="U12" s="4"/>
      <c r="V12" s="4"/>
      <c r="W12" s="4"/>
    </row>
    <row x14ac:dyDescent="0.25" r="13" customHeight="1" ht="12.75">
      <c r="A13" s="19" t="s">
        <v>44</v>
      </c>
      <c r="B13" s="20">
        <f>$D$1:$D$76/$C$1:$C$76</f>
      </c>
      <c r="C13" s="21">
        <v>1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0">
        <f>(($E13:$E14 + 2 * $F13:$F14 + 3 * $G13:$G14 + 4 * $H13:$H14) / $C13:$C14)</f>
      </c>
      <c r="N13" s="20">
        <f>(($D$1:$D$76 + $K$1:$K$76) / ($C$1:$C$76 + $K$1:$K$76))</f>
      </c>
      <c r="O13" s="20">
        <f>(($D$1:$D$65 + $K$1:$K$65) / ($C$1:$C$65 + $K$1:$K$94)) + ((($E$1:$E$106) + (2 * $F$1:$F$106) + (3 * $G$1:$G$106) + (4 * $H$1:$H$106)) / $C$1:$C$65)</f>
      </c>
      <c r="P13" s="21">
        <v>0</v>
      </c>
      <c r="Q13" s="21">
        <v>0</v>
      </c>
      <c r="R13" s="22"/>
      <c r="S13" s="4"/>
      <c r="T13" s="4"/>
      <c r="U13" s="4"/>
      <c r="V13" s="4"/>
      <c r="W13" s="4"/>
    </row>
    <row x14ac:dyDescent="0.25" r="14" customHeight="1" ht="12.75">
      <c r="A14" s="15" t="s">
        <v>35</v>
      </c>
      <c r="B14" s="16">
        <f>$D$1:$D$76/$C$1:$C$76</f>
      </c>
      <c r="C14" s="17">
        <v>1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6">
        <f>(($E14:$E16 + 2 * $F14:$F16 + 3 * $G14:$G16 + 4 * $H14:$H16) / $C14:$C16)</f>
      </c>
      <c r="N14" s="16">
        <f>(($D$1:$D$76 + $K$1:$K$76) / ($C$1:$C$76 + $K$1:$K$76))</f>
      </c>
      <c r="O14" s="16">
        <f>(($D$1:$D$65 + $K$1:$K$65) / ($C$1:$C$65 + $K$1:$K$94)) + ((($E$1:$E$106) + (2 * $F$1:$F$106) + (3 * $G$1:$G$106) + (4 * $H$1:$H$106)) / $C$1:$C$65)</f>
      </c>
      <c r="P14" s="17">
        <v>0</v>
      </c>
      <c r="Q14" s="17">
        <v>0</v>
      </c>
      <c r="R14" s="18"/>
      <c r="S14" s="4"/>
      <c r="T14" s="4"/>
      <c r="U14" s="4"/>
      <c r="V14" s="4"/>
      <c r="W14" s="4"/>
    </row>
    <row x14ac:dyDescent="0.25" r="15" customHeight="1" ht="12.75">
      <c r="A15" s="19" t="s">
        <v>34</v>
      </c>
      <c r="B15" s="20">
        <f>$D$1:$D$76/$C$1:$C$76</f>
      </c>
      <c r="C15" s="21">
        <v>1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0">
        <f>(($E15:$E16 + 2 * $F15:$F16 + 3 * $G15:$G16 + 4 * $H15:$H16) / $C15:$C16)</f>
      </c>
      <c r="N15" s="20">
        <f>(($D$1:$D$76 + $K$1:$K$76) / ($C$1:$C$76 + $K$1:$K$76))</f>
      </c>
      <c r="O15" s="20">
        <f>(($D$1:$D$65 + $K$1:$K$65) / ($C$1:$C$65 + $K$1:$K$94)) + ((($E$1:$E$106) + (2 * $F$1:$F$106) + (3 * $G$1:$G$106) + (4 * $H$1:$H$106)) / $C$1:$C$65)</f>
      </c>
      <c r="P15" s="21">
        <v>0</v>
      </c>
      <c r="Q15" s="21">
        <v>0</v>
      </c>
      <c r="R15" s="22"/>
      <c r="S15" s="4"/>
      <c r="T15" s="4"/>
      <c r="U15" s="4"/>
      <c r="V15" s="4"/>
      <c r="W15" s="4"/>
    </row>
    <row x14ac:dyDescent="0.25" r="16" customHeight="1" ht="12.75">
      <c r="A16" s="47" t="s">
        <v>45</v>
      </c>
      <c r="B16" s="48">
        <f>$D$1:$D$76/$C$1:$C$76</f>
      </c>
      <c r="C16" s="49">
        <v>1</v>
      </c>
      <c r="D16" s="49">
        <v>0</v>
      </c>
      <c r="E16" s="49">
        <v>0</v>
      </c>
      <c r="F16" s="49">
        <v>0</v>
      </c>
      <c r="G16" s="49">
        <v>0</v>
      </c>
      <c r="H16" s="49">
        <v>0</v>
      </c>
      <c r="I16" s="49">
        <v>0</v>
      </c>
      <c r="J16" s="49">
        <v>0</v>
      </c>
      <c r="K16" s="49">
        <v>0</v>
      </c>
      <c r="L16" s="49">
        <v>0</v>
      </c>
      <c r="M16" s="48">
        <f>(($E16 + 2 * $F16 + 3 * $G16 + 4 * $H16) / $C16)</f>
      </c>
      <c r="N16" s="48">
        <f>(($D$1:$D$76 + $K$1:$K$76) / ($C$1:$C$76 + $K$1:$K$76))</f>
      </c>
      <c r="O16" s="48">
        <f>(($D$1:$D$65 + $K$1:$K$65) / ($C$1:$C$65 + $K$1:$K$94)) + ((($E$1:$E$106) + (2 * $F$1:$F$106) + (3 * $G$1:$G$106) + (4 * $H$1:$H$106)) / $C$1:$C$65)</f>
      </c>
      <c r="P16" s="49">
        <v>0</v>
      </c>
      <c r="Q16" s="49">
        <v>0</v>
      </c>
      <c r="R16" s="50"/>
      <c r="S16" s="4"/>
      <c r="T16" s="4"/>
      <c r="U16" s="4"/>
      <c r="V16" s="4"/>
      <c r="W16" s="4"/>
    </row>
    <row x14ac:dyDescent="0.25" r="17" customHeight="1" ht="18.75">
      <c r="A17" s="4"/>
      <c r="B17" s="39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39"/>
      <c r="N17" s="39"/>
      <c r="O17" s="39"/>
      <c r="P17" s="32"/>
      <c r="Q17" s="32"/>
      <c r="R17" s="4"/>
      <c r="S17" s="4"/>
      <c r="T17" s="4"/>
      <c r="U17" s="4"/>
      <c r="V17" s="4"/>
      <c r="W17" s="4"/>
    </row>
    <row x14ac:dyDescent="0.25" r="18" customHeight="1" ht="14.25">
      <c r="A18" s="14"/>
      <c r="B18" s="14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14"/>
      <c r="N18" s="14"/>
      <c r="O18" s="14"/>
      <c r="P18" s="28"/>
      <c r="Q18" s="28"/>
      <c r="R18" s="14"/>
      <c r="S18" s="14"/>
      <c r="T18" s="14"/>
      <c r="U18" s="14"/>
      <c r="V18" s="14"/>
      <c r="W18" s="14"/>
    </row>
    <row x14ac:dyDescent="0.25" r="19" customHeight="1" ht="15.75">
      <c r="A19" s="14"/>
      <c r="B19" s="14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14"/>
      <c r="N19" s="14"/>
      <c r="O19" s="14"/>
      <c r="P19" s="28"/>
      <c r="Q19" s="28"/>
      <c r="R19" s="14"/>
      <c r="S19" s="14"/>
      <c r="T19" s="14"/>
      <c r="U19" s="14"/>
      <c r="V19" s="14"/>
      <c r="W19" s="14"/>
    </row>
    <row x14ac:dyDescent="0.25" r="20" customHeight="1" ht="14.25">
      <c r="A20" s="14"/>
      <c r="B20" s="14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14"/>
      <c r="N20" s="14"/>
      <c r="O20" s="14"/>
      <c r="P20" s="28"/>
      <c r="Q20" s="28"/>
      <c r="R20" s="14"/>
      <c r="S20" s="14"/>
      <c r="T20" s="14"/>
      <c r="U20" s="14"/>
      <c r="V20" s="14"/>
      <c r="W20" s="14"/>
    </row>
    <row x14ac:dyDescent="0.25" r="21" customHeight="1" ht="14.25">
      <c r="A21" s="14"/>
      <c r="B21" s="14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14"/>
      <c r="N21" s="14"/>
      <c r="O21" s="14"/>
      <c r="P21" s="28"/>
      <c r="Q21" s="28"/>
      <c r="R21" s="14"/>
      <c r="S21" s="14"/>
      <c r="T21" s="14"/>
      <c r="U21" s="14"/>
      <c r="V21" s="14"/>
      <c r="W21" s="14"/>
    </row>
    <row x14ac:dyDescent="0.25" r="22" customHeight="1" ht="14.25">
      <c r="A22" s="14"/>
      <c r="B22" s="14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14"/>
      <c r="N22" s="14"/>
      <c r="O22" s="14"/>
      <c r="P22" s="28"/>
      <c r="Q22" s="28"/>
      <c r="R22" s="14"/>
      <c r="S22" s="14"/>
      <c r="T22" s="14"/>
      <c r="U22" s="14"/>
      <c r="V22" s="14"/>
      <c r="W22" s="14"/>
    </row>
    <row x14ac:dyDescent="0.25" r="23" customHeight="1" ht="14.25">
      <c r="A23" s="14"/>
      <c r="B23" s="14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4"/>
      <c r="N23" s="14"/>
      <c r="O23" s="14"/>
      <c r="P23" s="28"/>
      <c r="Q23" s="28"/>
      <c r="R23" s="14"/>
      <c r="S23" s="14"/>
      <c r="T23" s="14"/>
      <c r="U23" s="14"/>
      <c r="V23" s="14"/>
      <c r="W23" s="14"/>
    </row>
    <row x14ac:dyDescent="0.25" r="24" customHeight="1" ht="14.25">
      <c r="A24" s="14"/>
      <c r="B24" s="14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14"/>
      <c r="N24" s="14"/>
      <c r="O24" s="14"/>
      <c r="P24" s="28"/>
      <c r="Q24" s="28"/>
      <c r="R24" s="14"/>
      <c r="S24" s="14"/>
      <c r="T24" s="14"/>
      <c r="U24" s="14"/>
      <c r="V24" s="14"/>
      <c r="W24" s="14"/>
    </row>
    <row x14ac:dyDescent="0.25" r="25" customHeight="1" ht="14.25">
      <c r="A25" s="14"/>
      <c r="B25" s="14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4"/>
      <c r="N25" s="14"/>
      <c r="O25" s="14"/>
      <c r="P25" s="28"/>
      <c r="Q25" s="28"/>
      <c r="R25" s="14"/>
      <c r="S25" s="14"/>
      <c r="T25" s="14"/>
      <c r="U25" s="14"/>
      <c r="V25" s="14"/>
      <c r="W25" s="14"/>
    </row>
    <row x14ac:dyDescent="0.25" r="26" customHeight="1" ht="14.25">
      <c r="A26" s="14"/>
      <c r="B26" s="14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14"/>
      <c r="N26" s="14"/>
      <c r="O26" s="14"/>
      <c r="P26" s="28"/>
      <c r="Q26" s="28"/>
      <c r="R26" s="14"/>
      <c r="S26" s="14"/>
      <c r="T26" s="14"/>
      <c r="U26" s="14"/>
      <c r="V26" s="14"/>
      <c r="W26" s="14"/>
    </row>
    <row x14ac:dyDescent="0.25" r="27" customHeight="1" ht="14.25">
      <c r="A27" s="14"/>
      <c r="B27" s="14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14"/>
      <c r="N27" s="14"/>
      <c r="O27" s="14"/>
      <c r="P27" s="28"/>
      <c r="Q27" s="28"/>
      <c r="R27" s="14"/>
      <c r="S27" s="14"/>
      <c r="T27" s="14"/>
      <c r="U27" s="14"/>
      <c r="V27" s="14"/>
      <c r="W27" s="14"/>
    </row>
    <row x14ac:dyDescent="0.25" r="28" customHeight="1" ht="14.25">
      <c r="A28" s="14"/>
      <c r="B28" s="14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4"/>
      <c r="N28" s="14"/>
      <c r="O28" s="14"/>
      <c r="P28" s="28"/>
      <c r="Q28" s="28"/>
      <c r="R28" s="14"/>
      <c r="S28" s="14"/>
      <c r="T28" s="14"/>
      <c r="U28" s="14"/>
      <c r="V28" s="14"/>
      <c r="W28" s="14"/>
    </row>
    <row x14ac:dyDescent="0.25" r="29" customHeight="1" ht="14.25">
      <c r="A29" s="14"/>
      <c r="B29" s="14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4"/>
      <c r="N29" s="14"/>
      <c r="O29" s="14"/>
      <c r="P29" s="28"/>
      <c r="Q29" s="28"/>
      <c r="R29" s="14"/>
      <c r="S29" s="14"/>
      <c r="T29" s="14"/>
      <c r="U29" s="14"/>
      <c r="V29" s="14"/>
      <c r="W29" s="14"/>
    </row>
    <row x14ac:dyDescent="0.25" r="30" customHeight="1" ht="14.25">
      <c r="A30" s="14"/>
      <c r="B30" s="14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4"/>
      <c r="N30" s="14"/>
      <c r="O30" s="14"/>
      <c r="P30" s="28"/>
      <c r="Q30" s="28"/>
      <c r="R30" s="14"/>
      <c r="S30" s="14"/>
      <c r="T30" s="14"/>
      <c r="U30" s="14"/>
      <c r="V30" s="14"/>
      <c r="W30" s="14"/>
    </row>
    <row x14ac:dyDescent="0.25" r="31" customHeight="1" ht="14.25">
      <c r="A31" s="14"/>
      <c r="B31" s="14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14"/>
      <c r="N31" s="14"/>
      <c r="O31" s="14"/>
      <c r="P31" s="28"/>
      <c r="Q31" s="28"/>
      <c r="R31" s="14"/>
      <c r="S31" s="14"/>
      <c r="T31" s="14"/>
      <c r="U31" s="14"/>
      <c r="V31" s="14"/>
      <c r="W31" s="14"/>
    </row>
    <row x14ac:dyDescent="0.25" r="32" customHeight="1" ht="14.25">
      <c r="A32" s="14"/>
      <c r="B32" s="14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14"/>
      <c r="N32" s="14"/>
      <c r="O32" s="14"/>
      <c r="P32" s="28"/>
      <c r="Q32" s="28"/>
      <c r="R32" s="14"/>
      <c r="S32" s="14"/>
      <c r="T32" s="14"/>
      <c r="U32" s="14"/>
      <c r="V32" s="14"/>
      <c r="W32" s="14"/>
    </row>
    <row x14ac:dyDescent="0.25" r="33" customHeight="1" ht="14.25">
      <c r="A33" s="14"/>
      <c r="B33" s="14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14"/>
      <c r="N33" s="14"/>
      <c r="O33" s="14"/>
      <c r="P33" s="28"/>
      <c r="Q33" s="28"/>
      <c r="R33" s="14"/>
      <c r="S33" s="14"/>
      <c r="T33" s="14"/>
      <c r="U33" s="14"/>
      <c r="V33" s="14"/>
      <c r="W33" s="14"/>
    </row>
    <row x14ac:dyDescent="0.25" r="34" customHeight="1" ht="14.25">
      <c r="A34" s="14"/>
      <c r="B34" s="14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14"/>
      <c r="N34" s="14"/>
      <c r="O34" s="14"/>
      <c r="P34" s="28"/>
      <c r="Q34" s="28"/>
      <c r="R34" s="14"/>
      <c r="S34" s="14"/>
      <c r="T34" s="14"/>
      <c r="U34" s="14"/>
      <c r="V34" s="14"/>
      <c r="W34" s="14"/>
    </row>
    <row x14ac:dyDescent="0.25" r="35" customHeight="1" ht="14.25">
      <c r="A35" s="14"/>
      <c r="B35" s="14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14"/>
      <c r="N35" s="14"/>
      <c r="O35" s="14"/>
      <c r="P35" s="28"/>
      <c r="Q35" s="28"/>
      <c r="R35" s="14"/>
      <c r="S35" s="14"/>
      <c r="T35" s="14"/>
      <c r="U35" s="14"/>
      <c r="V35" s="14"/>
      <c r="W35" s="14"/>
    </row>
    <row x14ac:dyDescent="0.25" r="36" customHeight="1" ht="14.25">
      <c r="A36" s="14"/>
      <c r="B36" s="14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14"/>
      <c r="N36" s="14"/>
      <c r="O36" s="14"/>
      <c r="P36" s="28"/>
      <c r="Q36" s="28"/>
      <c r="R36" s="14"/>
      <c r="S36" s="14"/>
      <c r="T36" s="14"/>
      <c r="U36" s="14"/>
      <c r="V36" s="14"/>
      <c r="W36" s="14"/>
    </row>
    <row x14ac:dyDescent="0.25" r="37" customHeight="1" ht="15.75">
      <c r="A37" s="14"/>
      <c r="B37" s="14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14"/>
      <c r="N37" s="14"/>
      <c r="O37" s="14"/>
      <c r="P37" s="28"/>
      <c r="Q37" s="28"/>
      <c r="R37" s="14"/>
      <c r="S37" s="14"/>
      <c r="T37" s="14"/>
      <c r="U37" s="14"/>
      <c r="V37" s="14"/>
      <c r="W37" s="14"/>
    </row>
    <row x14ac:dyDescent="0.25" r="38" customHeight="1" ht="14.25">
      <c r="A38" s="14"/>
      <c r="B38" s="14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14"/>
      <c r="N38" s="14"/>
      <c r="O38" s="14"/>
      <c r="P38" s="28"/>
      <c r="Q38" s="28"/>
      <c r="R38" s="14"/>
      <c r="S38" s="14"/>
      <c r="T38" s="14"/>
      <c r="U38" s="14"/>
      <c r="V38" s="14"/>
      <c r="W38" s="14"/>
    </row>
    <row x14ac:dyDescent="0.25" r="39" customHeight="1" ht="14.25">
      <c r="A39" s="14"/>
      <c r="B39" s="14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14"/>
      <c r="N39" s="14"/>
      <c r="O39" s="14"/>
      <c r="P39" s="28"/>
      <c r="Q39" s="28"/>
      <c r="R39" s="14"/>
      <c r="S39" s="14"/>
      <c r="T39" s="14"/>
      <c r="U39" s="14"/>
      <c r="V39" s="14"/>
      <c r="W39" s="14"/>
    </row>
    <row x14ac:dyDescent="0.25" r="40" customHeight="1" ht="14.25">
      <c r="A40" s="14"/>
      <c r="B40" s="14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14"/>
      <c r="N40" s="29"/>
      <c r="O40" s="29"/>
      <c r="P40" s="32"/>
      <c r="Q40" s="32"/>
      <c r="R40" s="4"/>
      <c r="S40" s="4"/>
      <c r="T40" s="4"/>
      <c r="U40" s="4"/>
      <c r="V40" s="4"/>
      <c r="W40" s="4"/>
    </row>
    <row x14ac:dyDescent="0.25" r="41" customHeight="1" ht="14.25">
      <c r="A41" s="14"/>
      <c r="B41" s="14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14"/>
      <c r="N41" s="29"/>
      <c r="O41" s="29"/>
      <c r="P41" s="32"/>
      <c r="Q41" s="32"/>
      <c r="R41" s="4"/>
      <c r="S41" s="4"/>
      <c r="T41" s="4"/>
      <c r="U41" s="4"/>
      <c r="V41" s="4"/>
      <c r="W41" s="4"/>
    </row>
    <row x14ac:dyDescent="0.25" r="42" customHeight="1" ht="14.25">
      <c r="A42" s="14"/>
      <c r="B42" s="14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14"/>
      <c r="N42" s="29"/>
      <c r="O42" s="29"/>
      <c r="P42" s="32"/>
      <c r="Q42" s="32"/>
      <c r="R42" s="4"/>
      <c r="S42" s="4"/>
      <c r="T42" s="4"/>
      <c r="U42" s="4"/>
      <c r="V42" s="4"/>
      <c r="W42" s="4"/>
    </row>
    <row x14ac:dyDescent="0.25" r="43" customHeight="1" ht="14.25">
      <c r="A43" s="14"/>
      <c r="B43" s="1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14"/>
      <c r="N43" s="29"/>
      <c r="O43" s="29"/>
      <c r="P43" s="32"/>
      <c r="Q43" s="32"/>
      <c r="R43" s="4"/>
      <c r="S43" s="4"/>
      <c r="T43" s="4"/>
      <c r="U43" s="4"/>
      <c r="V43" s="4"/>
      <c r="W43" s="4"/>
    </row>
    <row x14ac:dyDescent="0.25" r="44" customHeight="1" ht="14.25">
      <c r="A44" s="14"/>
      <c r="B44" s="14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14"/>
      <c r="N44" s="29"/>
      <c r="O44" s="29"/>
      <c r="P44" s="32"/>
      <c r="Q44" s="32"/>
      <c r="R44" s="4"/>
      <c r="S44" s="4"/>
      <c r="T44" s="4"/>
      <c r="U44" s="4"/>
      <c r="V44" s="4"/>
      <c r="W44" s="4"/>
    </row>
    <row x14ac:dyDescent="0.25" r="45" customHeight="1" ht="14.25">
      <c r="A45" s="14"/>
      <c r="B45" s="14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14"/>
      <c r="N45" s="29"/>
      <c r="O45" s="29"/>
      <c r="P45" s="32"/>
      <c r="Q45" s="32"/>
      <c r="R45" s="4"/>
      <c r="S45" s="4"/>
      <c r="T45" s="4"/>
      <c r="U45" s="4"/>
      <c r="V45" s="4"/>
      <c r="W45" s="4"/>
    </row>
    <row x14ac:dyDescent="0.25" r="46" customHeight="1" ht="14.25">
      <c r="A46" s="14"/>
      <c r="B46" s="14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14"/>
      <c r="N46" s="29"/>
      <c r="O46" s="29"/>
      <c r="P46" s="32"/>
      <c r="Q46" s="32"/>
      <c r="R46" s="4"/>
      <c r="S46" s="4"/>
      <c r="T46" s="4"/>
      <c r="U46" s="4"/>
      <c r="V46" s="4"/>
      <c r="W46" s="4"/>
    </row>
    <row x14ac:dyDescent="0.25" r="47" customHeight="1" ht="14.25">
      <c r="A47" s="14"/>
      <c r="B47" s="14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14"/>
      <c r="N47" s="29"/>
      <c r="O47" s="29"/>
      <c r="P47" s="32"/>
      <c r="Q47" s="32"/>
      <c r="R47" s="4"/>
      <c r="S47" s="4"/>
      <c r="T47" s="4"/>
      <c r="U47" s="4"/>
      <c r="V47" s="4"/>
      <c r="W47" s="4"/>
    </row>
    <row x14ac:dyDescent="0.25" r="48" customHeight="1" ht="14.25">
      <c r="A48" s="14"/>
      <c r="B48" s="14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14"/>
      <c r="N48" s="29"/>
      <c r="O48" s="29"/>
      <c r="P48" s="32"/>
      <c r="Q48" s="32"/>
      <c r="R48" s="4"/>
      <c r="S48" s="4"/>
      <c r="T48" s="4"/>
      <c r="U48" s="4"/>
      <c r="V48" s="4"/>
      <c r="W48" s="4"/>
    </row>
    <row x14ac:dyDescent="0.25" r="49" customHeight="1" ht="14.25">
      <c r="A49" s="14"/>
      <c r="B49" s="14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14"/>
      <c r="N49" s="29"/>
      <c r="O49" s="29"/>
      <c r="P49" s="32"/>
      <c r="Q49" s="32"/>
      <c r="R49" s="4"/>
      <c r="S49" s="4"/>
      <c r="T49" s="4"/>
      <c r="U49" s="4"/>
      <c r="V49" s="4"/>
      <c r="W49" s="4"/>
    </row>
    <row x14ac:dyDescent="0.25" r="50" customHeight="1" ht="14.25">
      <c r="A50" s="14"/>
      <c r="B50" s="14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14"/>
      <c r="N50" s="29"/>
      <c r="O50" s="29"/>
      <c r="P50" s="32"/>
      <c r="Q50" s="32"/>
      <c r="R50" s="4"/>
      <c r="S50" s="4"/>
      <c r="T50" s="4"/>
      <c r="U50" s="4"/>
      <c r="V50" s="4"/>
      <c r="W50" s="4"/>
    </row>
    <row x14ac:dyDescent="0.25" r="51" customHeight="1" ht="14.25">
      <c r="A51" s="14"/>
      <c r="B51" s="14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14"/>
      <c r="N51" s="29"/>
      <c r="O51" s="29"/>
      <c r="P51" s="32"/>
      <c r="Q51" s="32"/>
      <c r="R51" s="4"/>
      <c r="S51" s="4"/>
      <c r="T51" s="4"/>
      <c r="U51" s="4"/>
      <c r="V51" s="4"/>
      <c r="W51" s="4"/>
    </row>
    <row x14ac:dyDescent="0.25" r="52" customHeight="1" ht="14.25">
      <c r="A52" s="14"/>
      <c r="B52" s="14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14"/>
      <c r="N52" s="29"/>
      <c r="O52" s="29"/>
      <c r="P52" s="32"/>
      <c r="Q52" s="32"/>
      <c r="R52" s="4"/>
      <c r="S52" s="4"/>
      <c r="T52" s="4"/>
      <c r="U52" s="4"/>
      <c r="V52" s="4"/>
      <c r="W52" s="4"/>
    </row>
    <row x14ac:dyDescent="0.25" r="53" customHeight="1" ht="12.75">
      <c r="A53" s="4"/>
      <c r="B53" s="29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29"/>
      <c r="N53" s="29"/>
      <c r="O53" s="29"/>
      <c r="P53" s="32"/>
      <c r="Q53" s="32"/>
      <c r="R53" s="4"/>
      <c r="S53" s="4"/>
      <c r="T53" s="4"/>
      <c r="U53" s="4"/>
      <c r="V53" s="4"/>
      <c r="W53" s="4"/>
    </row>
    <row x14ac:dyDescent="0.25" r="54" customHeight="1" ht="12.75">
      <c r="A54" s="4"/>
      <c r="B54" s="29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29"/>
      <c r="N54" s="29"/>
      <c r="O54" s="29"/>
      <c r="P54" s="32"/>
      <c r="Q54" s="32"/>
      <c r="R54" s="4"/>
      <c r="S54" s="4"/>
      <c r="T54" s="4"/>
      <c r="U54" s="4"/>
      <c r="V54" s="4"/>
      <c r="W54" s="4"/>
    </row>
    <row x14ac:dyDescent="0.25" r="55" customHeight="1" ht="12.75">
      <c r="A55" s="4"/>
      <c r="B55" s="29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29"/>
      <c r="N55" s="29"/>
      <c r="O55" s="29"/>
      <c r="P55" s="32"/>
      <c r="Q55" s="32"/>
      <c r="R55" s="4"/>
      <c r="S55" s="4"/>
      <c r="T55" s="4"/>
      <c r="U55" s="4"/>
      <c r="V55" s="4"/>
      <c r="W55" s="4"/>
    </row>
    <row x14ac:dyDescent="0.25" r="56" customHeight="1" ht="12.75">
      <c r="A56" s="4"/>
      <c r="B56" s="29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29"/>
      <c r="N56" s="29"/>
      <c r="O56" s="29"/>
      <c r="P56" s="32"/>
      <c r="Q56" s="32"/>
      <c r="R56" s="4"/>
      <c r="S56" s="4"/>
      <c r="T56" s="4"/>
      <c r="U56" s="4"/>
      <c r="V56" s="4"/>
      <c r="W56" s="4"/>
    </row>
    <row x14ac:dyDescent="0.25" r="57" customHeight="1" ht="12.75">
      <c r="A57" s="4"/>
      <c r="B57" s="29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29"/>
      <c r="N57" s="29"/>
      <c r="O57" s="29"/>
      <c r="P57" s="32"/>
      <c r="Q57" s="32"/>
      <c r="R57" s="4"/>
      <c r="S57" s="4"/>
      <c r="T57" s="4"/>
      <c r="U57" s="4"/>
      <c r="V57" s="4"/>
      <c r="W57" s="4"/>
    </row>
    <row x14ac:dyDescent="0.25" r="58" customHeight="1" ht="12.75">
      <c r="A58" s="4"/>
      <c r="B58" s="29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29"/>
      <c r="N58" s="29"/>
      <c r="O58" s="29"/>
      <c r="P58" s="32"/>
      <c r="Q58" s="32"/>
      <c r="R58" s="4"/>
      <c r="S58" s="4"/>
      <c r="T58" s="4"/>
      <c r="U58" s="4"/>
      <c r="V58" s="4"/>
      <c r="W58" s="4"/>
    </row>
    <row x14ac:dyDescent="0.25" r="59" customHeight="1" ht="12.75">
      <c r="A59" s="4"/>
      <c r="B59" s="29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29"/>
      <c r="N59" s="29"/>
      <c r="O59" s="29"/>
      <c r="P59" s="32"/>
      <c r="Q59" s="32"/>
      <c r="R59" s="4"/>
      <c r="S59" s="4"/>
      <c r="T59" s="4"/>
      <c r="U59" s="4"/>
      <c r="V59" s="4"/>
      <c r="W59" s="4"/>
    </row>
    <row x14ac:dyDescent="0.25" r="60" customHeight="1" ht="12.75">
      <c r="A60" s="4"/>
      <c r="B60" s="29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29"/>
      <c r="N60" s="29"/>
      <c r="O60" s="29"/>
      <c r="P60" s="32"/>
      <c r="Q60" s="32"/>
      <c r="R60" s="4"/>
      <c r="S60" s="4"/>
      <c r="T60" s="4"/>
      <c r="U60" s="4"/>
      <c r="V60" s="4"/>
      <c r="W60" s="4"/>
    </row>
    <row x14ac:dyDescent="0.25" r="61" customHeight="1" ht="12.75">
      <c r="A61" s="4"/>
      <c r="B61" s="29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29"/>
      <c r="N61" s="29"/>
      <c r="O61" s="29"/>
      <c r="P61" s="32"/>
      <c r="Q61" s="32"/>
      <c r="R61" s="4"/>
      <c r="S61" s="4"/>
      <c r="T61" s="4"/>
      <c r="U61" s="4"/>
      <c r="V61" s="4"/>
      <c r="W61" s="4"/>
    </row>
    <row x14ac:dyDescent="0.25" r="62" customHeight="1" ht="12.75">
      <c r="A62" s="4"/>
      <c r="B62" s="29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29"/>
      <c r="N62" s="29"/>
      <c r="O62" s="29"/>
      <c r="P62" s="32"/>
      <c r="Q62" s="32"/>
      <c r="R62" s="4"/>
      <c r="S62" s="4"/>
      <c r="T62" s="4"/>
      <c r="U62" s="4"/>
      <c r="V62" s="4"/>
      <c r="W62" s="4"/>
    </row>
    <row x14ac:dyDescent="0.25" r="63" customHeight="1" ht="12.75">
      <c r="A63" s="4"/>
      <c r="B63" s="29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29"/>
      <c r="N63" s="29"/>
      <c r="O63" s="29"/>
      <c r="P63" s="32"/>
      <c r="Q63" s="32"/>
      <c r="R63" s="4"/>
      <c r="S63" s="4"/>
      <c r="T63" s="4"/>
      <c r="U63" s="4"/>
      <c r="V63" s="4"/>
      <c r="W63" s="4"/>
    </row>
    <row x14ac:dyDescent="0.25" r="64" customHeight="1" ht="12.75">
      <c r="A64" s="4"/>
      <c r="B64" s="29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29"/>
      <c r="N64" s="29"/>
      <c r="O64" s="29"/>
      <c r="P64" s="32"/>
      <c r="Q64" s="32"/>
      <c r="R64" s="4"/>
      <c r="S64" s="4"/>
      <c r="T64" s="4"/>
      <c r="U64" s="4"/>
      <c r="V64" s="4"/>
      <c r="W64" s="4"/>
    </row>
    <row x14ac:dyDescent="0.25" r="65" customHeight="1" ht="12.75">
      <c r="A65" s="4"/>
      <c r="B65" s="29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29"/>
      <c r="N65" s="29"/>
      <c r="O65" s="29"/>
      <c r="P65" s="32"/>
      <c r="Q65" s="32"/>
      <c r="R65" s="4"/>
      <c r="S65" s="4"/>
      <c r="T65" s="4"/>
      <c r="U65" s="4"/>
      <c r="V65" s="4"/>
      <c r="W65" s="4"/>
    </row>
    <row x14ac:dyDescent="0.25" r="66" customHeight="1" ht="12.75">
      <c r="A66" s="4"/>
      <c r="B66" s="29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29"/>
      <c r="N66" s="29"/>
      <c r="O66" s="29"/>
      <c r="P66" s="32"/>
      <c r="Q66" s="32"/>
      <c r="R66" s="4"/>
      <c r="S66" s="4"/>
      <c r="T66" s="4"/>
      <c r="U66" s="4"/>
      <c r="V66" s="4"/>
      <c r="W66" s="4"/>
    </row>
    <row x14ac:dyDescent="0.25" r="67" customHeight="1" ht="12.75">
      <c r="A67" s="4"/>
      <c r="B67" s="29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29"/>
      <c r="N67" s="29"/>
      <c r="O67" s="29"/>
      <c r="P67" s="32"/>
      <c r="Q67" s="32"/>
      <c r="R67" s="4"/>
      <c r="S67" s="4"/>
      <c r="T67" s="4"/>
      <c r="U67" s="4"/>
      <c r="V67" s="4"/>
      <c r="W67" s="4"/>
    </row>
    <row x14ac:dyDescent="0.25" r="68" customHeight="1" ht="12.75">
      <c r="A68" s="4"/>
      <c r="B68" s="29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29"/>
      <c r="N68" s="29"/>
      <c r="O68" s="29"/>
      <c r="P68" s="32"/>
      <c r="Q68" s="32"/>
      <c r="R68" s="4"/>
      <c r="S68" s="4"/>
      <c r="T68" s="4"/>
      <c r="U68" s="4"/>
      <c r="V68" s="4"/>
      <c r="W68" s="4"/>
    </row>
    <row x14ac:dyDescent="0.25" r="69" customHeight="1" ht="12.75">
      <c r="A69" s="4"/>
      <c r="B69" s="29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29"/>
      <c r="N69" s="29"/>
      <c r="O69" s="29"/>
      <c r="P69" s="32"/>
      <c r="Q69" s="32"/>
      <c r="R69" s="4"/>
      <c r="S69" s="4"/>
      <c r="T69" s="4"/>
      <c r="U69" s="4"/>
      <c r="V69" s="4"/>
      <c r="W69" s="4"/>
    </row>
    <row x14ac:dyDescent="0.25" r="70" customHeight="1" ht="12.75">
      <c r="A70" s="4"/>
      <c r="B70" s="29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29"/>
      <c r="N70" s="29"/>
      <c r="O70" s="29"/>
      <c r="P70" s="32"/>
      <c r="Q70" s="32"/>
      <c r="R70" s="4"/>
      <c r="S70" s="4"/>
      <c r="T70" s="4"/>
      <c r="U70" s="4"/>
      <c r="V70" s="4"/>
      <c r="W70" s="4"/>
    </row>
    <row x14ac:dyDescent="0.25" r="71" customHeight="1" ht="12.75">
      <c r="A71" s="4"/>
      <c r="B71" s="29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29"/>
      <c r="N71" s="29"/>
      <c r="O71" s="29"/>
      <c r="P71" s="32"/>
      <c r="Q71" s="32"/>
      <c r="R71" s="4"/>
      <c r="S71" s="4"/>
      <c r="T71" s="4"/>
      <c r="U71" s="4"/>
      <c r="V71" s="4"/>
      <c r="W71" s="4"/>
    </row>
    <row x14ac:dyDescent="0.25" r="72" customHeight="1" ht="12.75">
      <c r="A72" s="4"/>
      <c r="B72" s="29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29"/>
      <c r="N72" s="29"/>
      <c r="O72" s="29"/>
      <c r="P72" s="32"/>
      <c r="Q72" s="32"/>
      <c r="R72" s="4"/>
      <c r="S72" s="4"/>
      <c r="T72" s="4"/>
      <c r="U72" s="4"/>
      <c r="V72" s="4"/>
      <c r="W72" s="4"/>
    </row>
    <row x14ac:dyDescent="0.25" r="73" customHeight="1" ht="12.75">
      <c r="A73" s="4"/>
      <c r="B73" s="29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29"/>
      <c r="N73" s="29"/>
      <c r="O73" s="29"/>
      <c r="P73" s="32"/>
      <c r="Q73" s="32"/>
      <c r="R73" s="4"/>
      <c r="S73" s="4"/>
      <c r="T73" s="4"/>
      <c r="U73" s="4"/>
      <c r="V73" s="4"/>
      <c r="W73" s="4"/>
    </row>
    <row x14ac:dyDescent="0.25" r="74" customHeight="1" ht="12.75">
      <c r="A74" s="4"/>
      <c r="B74" s="29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29"/>
      <c r="N74" s="29"/>
      <c r="O74" s="29"/>
      <c r="P74" s="32"/>
      <c r="Q74" s="32"/>
      <c r="R74" s="4"/>
      <c r="S74" s="4"/>
      <c r="T74" s="4"/>
      <c r="U74" s="4"/>
      <c r="V74" s="4"/>
      <c r="W74" s="4"/>
    </row>
    <row x14ac:dyDescent="0.25" r="75" customHeight="1" ht="12.75">
      <c r="A75" s="4"/>
      <c r="B75" s="29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29"/>
      <c r="N75" s="29"/>
      <c r="O75" s="29"/>
      <c r="P75" s="32"/>
      <c r="Q75" s="32"/>
      <c r="R75" s="4"/>
      <c r="S75" s="4"/>
      <c r="T75" s="4"/>
      <c r="U75" s="4"/>
      <c r="V75" s="4"/>
      <c r="W75" s="4"/>
    </row>
    <row x14ac:dyDescent="0.25" r="76" customHeight="1" ht="12.75">
      <c r="A76" s="4"/>
      <c r="B76" s="29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29"/>
      <c r="N76" s="29"/>
      <c r="O76" s="29"/>
      <c r="P76" s="32"/>
      <c r="Q76" s="32"/>
      <c r="R76" s="4"/>
      <c r="S76" s="4"/>
      <c r="T76" s="4"/>
      <c r="U76" s="4"/>
      <c r="V76" s="4"/>
      <c r="W76" s="4"/>
    </row>
    <row x14ac:dyDescent="0.25" r="77" customHeight="1" ht="12.75">
      <c r="A77" s="4"/>
      <c r="B77" s="29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29"/>
      <c r="N77" s="29"/>
      <c r="O77" s="29"/>
      <c r="P77" s="32"/>
      <c r="Q77" s="32"/>
      <c r="R77" s="4"/>
      <c r="S77" s="4"/>
      <c r="T77" s="4"/>
      <c r="U77" s="4"/>
      <c r="V77" s="4"/>
      <c r="W77" s="4"/>
    </row>
    <row x14ac:dyDescent="0.25" r="78" customHeight="1" ht="12.75">
      <c r="A78" s="4"/>
      <c r="B78" s="29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29"/>
      <c r="N78" s="29"/>
      <c r="O78" s="29"/>
      <c r="P78" s="32"/>
      <c r="Q78" s="32"/>
      <c r="R78" s="4"/>
      <c r="S78" s="4"/>
      <c r="T78" s="4"/>
      <c r="U78" s="4"/>
      <c r="V78" s="4"/>
      <c r="W78" s="4"/>
    </row>
    <row x14ac:dyDescent="0.25" r="79" customHeight="1" ht="12.75">
      <c r="A79" s="4"/>
      <c r="B79" s="29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29"/>
      <c r="N79" s="29"/>
      <c r="O79" s="29"/>
      <c r="P79" s="32"/>
      <c r="Q79" s="32"/>
      <c r="R79" s="4"/>
      <c r="S79" s="4"/>
      <c r="T79" s="4"/>
      <c r="U79" s="4"/>
      <c r="V79" s="4"/>
      <c r="W79" s="4"/>
    </row>
    <row x14ac:dyDescent="0.25" r="80" customHeight="1" ht="12.75">
      <c r="A80" s="4"/>
      <c r="B80" s="29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29"/>
      <c r="N80" s="29"/>
      <c r="O80" s="29"/>
      <c r="P80" s="32"/>
      <c r="Q80" s="32"/>
      <c r="R80" s="4"/>
      <c r="S80" s="4"/>
      <c r="T80" s="4"/>
      <c r="U80" s="4"/>
      <c r="V80" s="4"/>
      <c r="W80" s="4"/>
    </row>
    <row x14ac:dyDescent="0.25" r="81" customHeight="1" ht="12.75">
      <c r="A81" s="4"/>
      <c r="B81" s="29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29"/>
      <c r="N81" s="29"/>
      <c r="O81" s="29"/>
      <c r="P81" s="32"/>
      <c r="Q81" s="32"/>
      <c r="R81" s="4"/>
      <c r="S81" s="4"/>
      <c r="T81" s="4"/>
      <c r="U81" s="4"/>
      <c r="V81" s="4"/>
      <c r="W81" s="4"/>
    </row>
    <row x14ac:dyDescent="0.25" r="82" customHeight="1" ht="12.75">
      <c r="A82" s="4"/>
      <c r="B82" s="29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29"/>
      <c r="N82" s="29"/>
      <c r="O82" s="29"/>
      <c r="P82" s="32"/>
      <c r="Q82" s="32"/>
      <c r="R82" s="4"/>
      <c r="S82" s="4"/>
      <c r="T82" s="4"/>
      <c r="U82" s="4"/>
      <c r="V82" s="4"/>
      <c r="W82" s="4"/>
    </row>
    <row x14ac:dyDescent="0.25" r="83" customHeight="1" ht="12.75">
      <c r="A83" s="4"/>
      <c r="B83" s="29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29"/>
      <c r="N83" s="29"/>
      <c r="O83" s="29"/>
      <c r="P83" s="32"/>
      <c r="Q83" s="32"/>
      <c r="R83" s="4"/>
      <c r="S83" s="4"/>
      <c r="T83" s="4"/>
      <c r="U83" s="4"/>
      <c r="V83" s="4"/>
      <c r="W83" s="4"/>
    </row>
    <row x14ac:dyDescent="0.25" r="84" customHeight="1" ht="12.75">
      <c r="A84" s="4"/>
      <c r="B84" s="29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29"/>
      <c r="N84" s="29"/>
      <c r="O84" s="29"/>
      <c r="P84" s="32"/>
      <c r="Q84" s="32"/>
      <c r="R84" s="4"/>
      <c r="S84" s="4"/>
      <c r="T84" s="4"/>
      <c r="U84" s="4"/>
      <c r="V84" s="4"/>
      <c r="W84" s="4"/>
    </row>
    <row x14ac:dyDescent="0.25" r="85" customHeight="1" ht="12.75">
      <c r="A85" s="4"/>
      <c r="B85" s="29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29"/>
      <c r="N85" s="29"/>
      <c r="O85" s="29"/>
      <c r="P85" s="32"/>
      <c r="Q85" s="32"/>
      <c r="R85" s="4"/>
      <c r="S85" s="4"/>
      <c r="T85" s="4"/>
      <c r="U85" s="4"/>
      <c r="V85" s="4"/>
      <c r="W85" s="4"/>
    </row>
    <row x14ac:dyDescent="0.25" r="86" customHeight="1" ht="12.75">
      <c r="A86" s="4"/>
      <c r="B86" s="29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29"/>
      <c r="N86" s="29"/>
      <c r="O86" s="29"/>
      <c r="P86" s="32"/>
      <c r="Q86" s="32"/>
      <c r="R86" s="4"/>
      <c r="S86" s="4"/>
      <c r="T86" s="4"/>
      <c r="U86" s="4"/>
      <c r="V86" s="4"/>
      <c r="W86" s="4"/>
    </row>
    <row x14ac:dyDescent="0.25" r="87" customHeight="1" ht="12.75">
      <c r="A87" s="4"/>
      <c r="B87" s="29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29"/>
      <c r="N87" s="29"/>
      <c r="O87" s="29"/>
      <c r="P87" s="32"/>
      <c r="Q87" s="32"/>
      <c r="R87" s="4"/>
      <c r="S87" s="4"/>
      <c r="T87" s="4"/>
      <c r="U87" s="4"/>
      <c r="V87" s="4"/>
      <c r="W87" s="4"/>
    </row>
    <row x14ac:dyDescent="0.25" r="88" customHeight="1" ht="12.75">
      <c r="A88" s="4"/>
      <c r="B88" s="29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29"/>
      <c r="N88" s="29"/>
      <c r="O88" s="29"/>
      <c r="P88" s="32"/>
      <c r="Q88" s="32"/>
      <c r="R88" s="4"/>
      <c r="S88" s="4"/>
      <c r="T88" s="4"/>
      <c r="U88" s="4"/>
      <c r="V88" s="4"/>
      <c r="W88" s="4"/>
    </row>
    <row x14ac:dyDescent="0.25" r="89" customHeight="1" ht="12.75">
      <c r="A89" s="4"/>
      <c r="B89" s="29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29"/>
      <c r="N89" s="29"/>
      <c r="O89" s="29"/>
      <c r="P89" s="32"/>
      <c r="Q89" s="32"/>
      <c r="R89" s="4"/>
      <c r="S89" s="4"/>
      <c r="T89" s="4"/>
      <c r="U89" s="4"/>
      <c r="V89" s="4"/>
      <c r="W89" s="4"/>
    </row>
    <row x14ac:dyDescent="0.25" r="90" customHeight="1" ht="12.75">
      <c r="A90" s="4"/>
      <c r="B90" s="29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29"/>
      <c r="N90" s="29"/>
      <c r="O90" s="29"/>
      <c r="P90" s="32"/>
      <c r="Q90" s="32"/>
      <c r="R90" s="4"/>
      <c r="S90" s="4"/>
      <c r="T90" s="4"/>
      <c r="U90" s="4"/>
      <c r="V90" s="4"/>
      <c r="W90" s="4"/>
    </row>
    <row x14ac:dyDescent="0.25" r="91" customHeight="1" ht="12.75">
      <c r="A91" s="4"/>
      <c r="B91" s="29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29"/>
      <c r="N91" s="29"/>
      <c r="O91" s="29"/>
      <c r="P91" s="32"/>
      <c r="Q91" s="32"/>
      <c r="R91" s="4"/>
      <c r="S91" s="4"/>
      <c r="T91" s="4"/>
      <c r="U91" s="4"/>
      <c r="V91" s="4"/>
      <c r="W91" s="4"/>
    </row>
    <row x14ac:dyDescent="0.25" r="92" customHeight="1" ht="12.75">
      <c r="A92" s="4"/>
      <c r="B92" s="29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29"/>
      <c r="N92" s="29"/>
      <c r="O92" s="29"/>
      <c r="P92" s="32"/>
      <c r="Q92" s="32"/>
      <c r="R92" s="4"/>
      <c r="S92" s="4"/>
      <c r="T92" s="4"/>
      <c r="U92" s="4"/>
      <c r="V92" s="4"/>
      <c r="W92" s="4"/>
    </row>
    <row x14ac:dyDescent="0.25" r="93" customHeight="1" ht="12.75">
      <c r="A93" s="4"/>
      <c r="B93" s="29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29"/>
      <c r="N93" s="29"/>
      <c r="O93" s="29"/>
      <c r="P93" s="32"/>
      <c r="Q93" s="32"/>
      <c r="R93" s="4"/>
      <c r="S93" s="4"/>
      <c r="T93" s="4"/>
      <c r="U93" s="4"/>
      <c r="V93" s="4"/>
      <c r="W93" s="4"/>
    </row>
    <row x14ac:dyDescent="0.25" r="94" customHeight="1" ht="12.75">
      <c r="A94" s="4"/>
      <c r="B94" s="29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29"/>
      <c r="N94" s="29"/>
      <c r="O94" s="29"/>
      <c r="P94" s="32"/>
      <c r="Q94" s="32"/>
      <c r="R94" s="4"/>
      <c r="S94" s="4"/>
      <c r="T94" s="4"/>
      <c r="U94" s="4"/>
      <c r="V94" s="4"/>
      <c r="W94" s="4"/>
    </row>
    <row x14ac:dyDescent="0.25" r="95" customHeight="1" ht="12.75">
      <c r="A95" s="4"/>
      <c r="B95" s="29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29"/>
      <c r="N95" s="29"/>
      <c r="O95" s="29"/>
      <c r="P95" s="32"/>
      <c r="Q95" s="32"/>
      <c r="R95" s="4"/>
      <c r="S95" s="4"/>
      <c r="T95" s="4"/>
      <c r="U95" s="4"/>
      <c r="V95" s="4"/>
      <c r="W95" s="4"/>
    </row>
    <row x14ac:dyDescent="0.25" r="96" customHeight="1" ht="12.75">
      <c r="A96" s="4"/>
      <c r="B96" s="29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29"/>
      <c r="N96" s="29"/>
      <c r="O96" s="29"/>
      <c r="P96" s="32"/>
      <c r="Q96" s="32"/>
      <c r="R96" s="4"/>
      <c r="S96" s="4"/>
      <c r="T96" s="4"/>
      <c r="U96" s="4"/>
      <c r="V96" s="4"/>
      <c r="W96" s="4"/>
    </row>
    <row x14ac:dyDescent="0.25" r="97" customHeight="1" ht="12.75">
      <c r="A97" s="4"/>
      <c r="B97" s="29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29"/>
      <c r="N97" s="29"/>
      <c r="O97" s="29"/>
      <c r="P97" s="32"/>
      <c r="Q97" s="32"/>
      <c r="R97" s="4"/>
      <c r="S97" s="4"/>
      <c r="T97" s="4"/>
      <c r="U97" s="4"/>
      <c r="V97" s="4"/>
      <c r="W97" s="4"/>
    </row>
    <row x14ac:dyDescent="0.25" r="98" customHeight="1" ht="12.75">
      <c r="A98" s="4"/>
      <c r="B98" s="29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29"/>
      <c r="N98" s="29"/>
      <c r="O98" s="29"/>
      <c r="P98" s="32"/>
      <c r="Q98" s="32"/>
      <c r="R98" s="4"/>
      <c r="S98" s="4"/>
      <c r="T98" s="4"/>
      <c r="U98" s="4"/>
      <c r="V98" s="4"/>
      <c r="W98" s="4"/>
    </row>
    <row x14ac:dyDescent="0.25" r="99" customHeight="1" ht="12.75">
      <c r="A99" s="4"/>
      <c r="B99" s="29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29"/>
      <c r="N99" s="29"/>
      <c r="O99" s="29"/>
      <c r="P99" s="32"/>
      <c r="Q99" s="32"/>
      <c r="R99" s="4"/>
      <c r="S99" s="4"/>
      <c r="T99" s="4"/>
      <c r="U99" s="4"/>
      <c r="V99" s="4"/>
      <c r="W99" s="4"/>
    </row>
    <row x14ac:dyDescent="0.25" r="100" customHeight="1" ht="12.75">
      <c r="A100" s="4"/>
      <c r="B100" s="29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29"/>
      <c r="N100" s="29"/>
      <c r="O100" s="29"/>
      <c r="P100" s="32"/>
      <c r="Q100" s="32"/>
      <c r="R100" s="4"/>
      <c r="S100" s="4"/>
      <c r="T100" s="4"/>
      <c r="U100" s="4"/>
      <c r="V100" s="4"/>
      <c r="W100" s="4"/>
    </row>
    <row x14ac:dyDescent="0.25" r="101" customHeight="1" ht="12.75">
      <c r="A101" s="4"/>
      <c r="B101" s="29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29"/>
      <c r="N101" s="29"/>
      <c r="O101" s="29"/>
      <c r="P101" s="32"/>
      <c r="Q101" s="32"/>
      <c r="R101" s="4"/>
      <c r="S101" s="4"/>
      <c r="T101" s="4"/>
      <c r="U101" s="4"/>
      <c r="V101" s="4"/>
      <c r="W101" s="4"/>
    </row>
    <row x14ac:dyDescent="0.25" r="102" customHeight="1" ht="12.75">
      <c r="A102" s="4"/>
      <c r="B102" s="29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29"/>
      <c r="N102" s="29"/>
      <c r="O102" s="29"/>
      <c r="P102" s="32"/>
      <c r="Q102" s="32"/>
      <c r="R102" s="4"/>
      <c r="S102" s="4"/>
      <c r="T102" s="4"/>
      <c r="U102" s="4"/>
      <c r="V102" s="4"/>
      <c r="W102" s="4"/>
    </row>
    <row x14ac:dyDescent="0.25" r="103" customHeight="1" ht="12.75">
      <c r="A103" s="4"/>
      <c r="B103" s="29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29"/>
      <c r="N103" s="29"/>
      <c r="O103" s="29"/>
      <c r="P103" s="32"/>
      <c r="Q103" s="32"/>
      <c r="R103" s="4"/>
      <c r="S103" s="4"/>
      <c r="T103" s="4"/>
      <c r="U103" s="4"/>
      <c r="V103" s="4"/>
      <c r="W103" s="4"/>
    </row>
    <row x14ac:dyDescent="0.25" r="104" customHeight="1" ht="12.75">
      <c r="A104" s="4"/>
      <c r="B104" s="29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29"/>
      <c r="N104" s="29"/>
      <c r="O104" s="29"/>
      <c r="P104" s="32"/>
      <c r="Q104" s="32"/>
      <c r="R104" s="4"/>
      <c r="S104" s="4"/>
      <c r="T104" s="4"/>
      <c r="U104" s="4"/>
      <c r="V104" s="4"/>
      <c r="W104" s="4"/>
    </row>
    <row x14ac:dyDescent="0.25" r="105" customHeight="1" ht="12.75">
      <c r="A105" s="4"/>
      <c r="B105" s="29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29"/>
      <c r="N105" s="29"/>
      <c r="O105" s="29"/>
      <c r="P105" s="32"/>
      <c r="Q105" s="32"/>
      <c r="R105" s="4"/>
      <c r="S105" s="4"/>
      <c r="T105" s="4"/>
      <c r="U105" s="4"/>
      <c r="V105" s="4"/>
      <c r="W105" s="4"/>
    </row>
    <row x14ac:dyDescent="0.25" r="106" customHeight="1" ht="12.75">
      <c r="A106" s="4"/>
      <c r="B106" s="29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29"/>
      <c r="N106" s="29"/>
      <c r="O106" s="29"/>
      <c r="P106" s="32"/>
      <c r="Q106" s="32"/>
      <c r="R106" s="4"/>
      <c r="S106" s="4"/>
      <c r="T106" s="4"/>
      <c r="U106" s="4"/>
      <c r="V106" s="4"/>
      <c r="W106" s="4"/>
    </row>
    <row x14ac:dyDescent="0.25" r="107" customHeight="1" ht="12.75">
      <c r="A107" s="4"/>
      <c r="B107" s="29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29"/>
      <c r="N107" s="29"/>
      <c r="O107" s="29"/>
      <c r="P107" s="32"/>
      <c r="Q107" s="32"/>
      <c r="R107" s="4"/>
      <c r="S107" s="4"/>
      <c r="T107" s="4"/>
      <c r="U107" s="4"/>
      <c r="V107" s="4"/>
      <c r="W107" s="4"/>
    </row>
    <row x14ac:dyDescent="0.25" r="108" customHeight="1" ht="12.75">
      <c r="A108" s="4"/>
      <c r="B108" s="29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29"/>
      <c r="N108" s="29"/>
      <c r="O108" s="29"/>
      <c r="P108" s="32"/>
      <c r="Q108" s="32"/>
      <c r="R108" s="4"/>
      <c r="S108" s="4"/>
      <c r="T108" s="4"/>
      <c r="U108" s="4"/>
      <c r="V108" s="4"/>
      <c r="W108" s="4"/>
    </row>
    <row x14ac:dyDescent="0.25" r="109" customHeight="1" ht="12.75">
      <c r="A109" s="4"/>
      <c r="B109" s="29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29"/>
      <c r="N109" s="29"/>
      <c r="O109" s="29"/>
      <c r="P109" s="32"/>
      <c r="Q109" s="32"/>
      <c r="R109" s="4"/>
      <c r="S109" s="4"/>
      <c r="T109" s="4"/>
      <c r="U109" s="4"/>
      <c r="V109" s="4"/>
      <c r="W109" s="4"/>
    </row>
    <row x14ac:dyDescent="0.25" r="110" customHeight="1" ht="12.75">
      <c r="A110" s="4"/>
      <c r="B110" s="29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29"/>
      <c r="N110" s="29"/>
      <c r="O110" s="29"/>
      <c r="P110" s="32"/>
      <c r="Q110" s="32"/>
      <c r="R110" s="4"/>
      <c r="S110" s="4"/>
      <c r="T110" s="4"/>
      <c r="U110" s="4"/>
      <c r="V110" s="4"/>
      <c r="W110" s="4"/>
    </row>
    <row x14ac:dyDescent="0.25" r="111" customHeight="1" ht="12.75">
      <c r="A111" s="4"/>
      <c r="B111" s="29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29"/>
      <c r="N111" s="29"/>
      <c r="O111" s="29"/>
      <c r="P111" s="32"/>
      <c r="Q111" s="32"/>
      <c r="R111" s="4"/>
      <c r="S111" s="4"/>
      <c r="T111" s="4"/>
      <c r="U111" s="4"/>
      <c r="V111" s="4"/>
      <c r="W111" s="4"/>
    </row>
    <row x14ac:dyDescent="0.25" r="112" customHeight="1" ht="12.75">
      <c r="A112" s="4"/>
      <c r="B112" s="29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29"/>
      <c r="N112" s="29"/>
      <c r="O112" s="29"/>
      <c r="P112" s="32"/>
      <c r="Q112" s="32"/>
      <c r="R112" s="4"/>
      <c r="S112" s="4"/>
      <c r="T112" s="4"/>
      <c r="U112" s="4"/>
      <c r="V112" s="4"/>
      <c r="W112" s="4"/>
    </row>
    <row x14ac:dyDescent="0.25" r="113" customHeight="1" ht="12.75">
      <c r="A113" s="4"/>
      <c r="B113" s="29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29"/>
      <c r="N113" s="29"/>
      <c r="O113" s="29"/>
      <c r="P113" s="32"/>
      <c r="Q113" s="32"/>
      <c r="R113" s="4"/>
      <c r="S113" s="4"/>
      <c r="T113" s="4"/>
      <c r="U113" s="4"/>
      <c r="V113" s="4"/>
      <c r="W113" s="4"/>
    </row>
    <row x14ac:dyDescent="0.25" r="114" customHeight="1" ht="12.75">
      <c r="A114" s="4"/>
      <c r="B114" s="29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29"/>
      <c r="N114" s="29"/>
      <c r="O114" s="29"/>
      <c r="P114" s="32"/>
      <c r="Q114" s="32"/>
      <c r="R114" s="4"/>
      <c r="S114" s="4"/>
      <c r="T114" s="4"/>
      <c r="U114" s="4"/>
      <c r="V114" s="4"/>
      <c r="W114" s="4"/>
    </row>
    <row x14ac:dyDescent="0.25" r="115" customHeight="1" ht="12.75">
      <c r="A115" s="4"/>
      <c r="B115" s="29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29"/>
      <c r="N115" s="29"/>
      <c r="O115" s="29"/>
      <c r="P115" s="32"/>
      <c r="Q115" s="32"/>
      <c r="R115" s="4"/>
      <c r="S115" s="4"/>
      <c r="T115" s="4"/>
      <c r="U115" s="4"/>
      <c r="V115" s="4"/>
      <c r="W115" s="4"/>
    </row>
    <row x14ac:dyDescent="0.25" r="116" customHeight="1" ht="12.75">
      <c r="A116" s="4"/>
      <c r="B116" s="29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29"/>
      <c r="N116" s="29"/>
      <c r="O116" s="29"/>
      <c r="P116" s="32"/>
      <c r="Q116" s="32"/>
      <c r="R116" s="4"/>
      <c r="S116" s="4"/>
      <c r="T116" s="4"/>
      <c r="U116" s="4"/>
      <c r="V116" s="4"/>
      <c r="W116" s="4"/>
    </row>
    <row x14ac:dyDescent="0.25" r="117" customHeight="1" ht="12.75">
      <c r="A117" s="4"/>
      <c r="B117" s="29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29"/>
      <c r="N117" s="29"/>
      <c r="O117" s="29"/>
      <c r="P117" s="32"/>
      <c r="Q117" s="32"/>
      <c r="R117" s="4"/>
      <c r="S117" s="4"/>
      <c r="T117" s="4"/>
      <c r="U117" s="4"/>
      <c r="V117" s="4"/>
      <c r="W117" s="4"/>
    </row>
    <row x14ac:dyDescent="0.25" r="118" customHeight="1" ht="12.75">
      <c r="A118" s="4"/>
      <c r="B118" s="29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29"/>
      <c r="N118" s="29"/>
      <c r="O118" s="29"/>
      <c r="P118" s="32"/>
      <c r="Q118" s="32"/>
      <c r="R118" s="4"/>
      <c r="S118" s="4"/>
      <c r="T118" s="4"/>
      <c r="U118" s="4"/>
      <c r="V118" s="4"/>
      <c r="W118" s="4"/>
    </row>
    <row x14ac:dyDescent="0.25" r="119" customHeight="1" ht="12.75">
      <c r="A119" s="4"/>
      <c r="B119" s="29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29"/>
      <c r="N119" s="29"/>
      <c r="O119" s="29"/>
      <c r="P119" s="32"/>
      <c r="Q119" s="32"/>
      <c r="R119" s="4"/>
      <c r="S119" s="4"/>
      <c r="T119" s="4"/>
      <c r="U119" s="4"/>
      <c r="V119" s="4"/>
      <c r="W119" s="4"/>
    </row>
    <row x14ac:dyDescent="0.25" r="120" customHeight="1" ht="12.75">
      <c r="A120" s="4"/>
      <c r="B120" s="29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29"/>
      <c r="N120" s="29"/>
      <c r="O120" s="29"/>
      <c r="P120" s="32"/>
      <c r="Q120" s="32"/>
      <c r="R120" s="4"/>
      <c r="S120" s="4"/>
      <c r="T120" s="4"/>
      <c r="U120" s="4"/>
      <c r="V120" s="4"/>
      <c r="W120" s="4"/>
    </row>
    <row x14ac:dyDescent="0.25" r="121" customHeight="1" ht="12.75">
      <c r="A121" s="4"/>
      <c r="B121" s="29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29"/>
      <c r="N121" s="29"/>
      <c r="O121" s="29"/>
      <c r="P121" s="32"/>
      <c r="Q121" s="32"/>
      <c r="R121" s="4"/>
      <c r="S121" s="4"/>
      <c r="T121" s="4"/>
      <c r="U121" s="4"/>
      <c r="V121" s="4"/>
      <c r="W121" s="4"/>
    </row>
    <row x14ac:dyDescent="0.25" r="122" customHeight="1" ht="12.75">
      <c r="A122" s="4"/>
      <c r="B122" s="29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29"/>
      <c r="N122" s="29"/>
      <c r="O122" s="29"/>
      <c r="P122" s="32"/>
      <c r="Q122" s="32"/>
      <c r="R122" s="4"/>
      <c r="S122" s="4"/>
      <c r="T122" s="4"/>
      <c r="U122" s="4"/>
      <c r="V122" s="4"/>
      <c r="W122" s="4"/>
    </row>
    <row x14ac:dyDescent="0.25" r="123" customHeight="1" ht="12.75">
      <c r="A123" s="4"/>
      <c r="B123" s="29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29"/>
      <c r="N123" s="29"/>
      <c r="O123" s="29"/>
      <c r="P123" s="32"/>
      <c r="Q123" s="32"/>
      <c r="R123" s="4"/>
      <c r="S123" s="4"/>
      <c r="T123" s="4"/>
      <c r="U123" s="4"/>
      <c r="V123" s="4"/>
      <c r="W123" s="4"/>
    </row>
    <row x14ac:dyDescent="0.25" r="124" customHeight="1" ht="12.75">
      <c r="A124" s="4"/>
      <c r="B124" s="29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29"/>
      <c r="N124" s="29"/>
      <c r="O124" s="29"/>
      <c r="P124" s="32"/>
      <c r="Q124" s="32"/>
      <c r="R124" s="4"/>
      <c r="S124" s="4"/>
      <c r="T124" s="4"/>
      <c r="U124" s="4"/>
      <c r="V124" s="4"/>
      <c r="W124" s="4"/>
    </row>
    <row x14ac:dyDescent="0.25" r="125" customHeight="1" ht="12.75">
      <c r="A125" s="4"/>
      <c r="B125" s="29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29"/>
      <c r="N125" s="29"/>
      <c r="O125" s="29"/>
      <c r="P125" s="32"/>
      <c r="Q125" s="32"/>
      <c r="R125" s="4"/>
      <c r="S125" s="4"/>
      <c r="T125" s="4"/>
      <c r="U125" s="4"/>
      <c r="V125" s="4"/>
      <c r="W125" s="4"/>
    </row>
    <row x14ac:dyDescent="0.25" r="126" customHeight="1" ht="12.75">
      <c r="A126" s="4"/>
      <c r="B126" s="29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29"/>
      <c r="N126" s="29"/>
      <c r="O126" s="29"/>
      <c r="P126" s="32"/>
      <c r="Q126" s="32"/>
      <c r="R126" s="4"/>
      <c r="S126" s="4"/>
      <c r="T126" s="4"/>
      <c r="U126" s="4"/>
      <c r="V126" s="4"/>
      <c r="W126" s="4"/>
    </row>
    <row x14ac:dyDescent="0.25" r="127" customHeight="1" ht="12.75">
      <c r="A127" s="4"/>
      <c r="B127" s="29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29"/>
      <c r="N127" s="29"/>
      <c r="O127" s="29"/>
      <c r="P127" s="32"/>
      <c r="Q127" s="32"/>
      <c r="R127" s="4"/>
      <c r="S127" s="4"/>
      <c r="T127" s="4"/>
      <c r="U127" s="4"/>
      <c r="V127" s="4"/>
      <c r="W127" s="4"/>
    </row>
    <row x14ac:dyDescent="0.25" r="128" customHeight="1" ht="12.75">
      <c r="A128" s="4"/>
      <c r="B128" s="29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29"/>
      <c r="N128" s="29"/>
      <c r="O128" s="29"/>
      <c r="P128" s="32"/>
      <c r="Q128" s="32"/>
      <c r="R128" s="4"/>
      <c r="S128" s="4"/>
      <c r="T128" s="4"/>
      <c r="U128" s="4"/>
      <c r="V128" s="4"/>
      <c r="W128" s="4"/>
    </row>
    <row x14ac:dyDescent="0.25" r="129" customHeight="1" ht="12.75">
      <c r="A129" s="4"/>
      <c r="B129" s="29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29"/>
      <c r="N129" s="29"/>
      <c r="O129" s="29"/>
      <c r="P129" s="32"/>
      <c r="Q129" s="32"/>
      <c r="R129" s="4"/>
      <c r="S129" s="4"/>
      <c r="T129" s="4"/>
      <c r="U129" s="4"/>
      <c r="V129" s="4"/>
      <c r="W129" s="4"/>
    </row>
    <row x14ac:dyDescent="0.25" r="130" customHeight="1" ht="12.75">
      <c r="A130" s="4"/>
      <c r="B130" s="29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29"/>
      <c r="N130" s="29"/>
      <c r="O130" s="29"/>
      <c r="P130" s="32"/>
      <c r="Q130" s="32"/>
      <c r="R130" s="4"/>
      <c r="S130" s="4"/>
      <c r="T130" s="4"/>
      <c r="U130" s="4"/>
      <c r="V130" s="4"/>
      <c r="W130" s="4"/>
    </row>
    <row x14ac:dyDescent="0.25" r="131" customHeight="1" ht="12.75">
      <c r="A131" s="4"/>
      <c r="B131" s="29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29"/>
      <c r="N131" s="29"/>
      <c r="O131" s="29"/>
      <c r="P131" s="32"/>
      <c r="Q131" s="32"/>
      <c r="R131" s="4"/>
      <c r="S131" s="4"/>
      <c r="T131" s="4"/>
      <c r="U131" s="4"/>
      <c r="V131" s="4"/>
      <c r="W131" s="4"/>
    </row>
    <row x14ac:dyDescent="0.25" r="132" customHeight="1" ht="12.75">
      <c r="A132" s="4"/>
      <c r="B132" s="29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29"/>
      <c r="N132" s="29"/>
      <c r="O132" s="29"/>
      <c r="P132" s="32"/>
      <c r="Q132" s="32"/>
      <c r="R132" s="4"/>
      <c r="S132" s="4"/>
      <c r="T132" s="4"/>
      <c r="U132" s="4"/>
      <c r="V132" s="4"/>
      <c r="W132" s="4"/>
    </row>
    <row x14ac:dyDescent="0.25" r="133" customHeight="1" ht="12.75">
      <c r="A133" s="4"/>
      <c r="B133" s="29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29"/>
      <c r="N133" s="29"/>
      <c r="O133" s="29"/>
      <c r="P133" s="32"/>
      <c r="Q133" s="32"/>
      <c r="R133" s="4"/>
      <c r="S133" s="4"/>
      <c r="T133" s="4"/>
      <c r="U133" s="4"/>
      <c r="V133" s="4"/>
      <c r="W133" s="4"/>
    </row>
    <row x14ac:dyDescent="0.25" r="134" customHeight="1" ht="12.75">
      <c r="A134" s="4"/>
      <c r="B134" s="29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29"/>
      <c r="N134" s="29"/>
      <c r="O134" s="29"/>
      <c r="P134" s="32"/>
      <c r="Q134" s="32"/>
      <c r="R134" s="4"/>
      <c r="S134" s="4"/>
      <c r="T134" s="4"/>
      <c r="U134" s="4"/>
      <c r="V134" s="4"/>
      <c r="W134" s="4"/>
    </row>
    <row x14ac:dyDescent="0.25" r="135" customHeight="1" ht="12.75">
      <c r="A135" s="4"/>
      <c r="B135" s="29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29"/>
      <c r="N135" s="29"/>
      <c r="O135" s="29"/>
      <c r="P135" s="32"/>
      <c r="Q135" s="32"/>
      <c r="R135" s="4"/>
      <c r="S135" s="4"/>
      <c r="T135" s="4"/>
      <c r="U135" s="4"/>
      <c r="V135" s="4"/>
      <c r="W135" s="4"/>
    </row>
    <row x14ac:dyDescent="0.25" r="136" customHeight="1" ht="12.75">
      <c r="A136" s="4"/>
      <c r="B136" s="29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29"/>
      <c r="N136" s="29"/>
      <c r="O136" s="29"/>
      <c r="P136" s="32"/>
      <c r="Q136" s="32"/>
      <c r="R136" s="4"/>
      <c r="S136" s="4"/>
      <c r="T136" s="4"/>
      <c r="U136" s="4"/>
      <c r="V136" s="4"/>
      <c r="W136" s="4"/>
    </row>
    <row x14ac:dyDescent="0.25" r="137" customHeight="1" ht="12.75">
      <c r="A137" s="4"/>
      <c r="B137" s="29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29"/>
      <c r="N137" s="29"/>
      <c r="O137" s="29"/>
      <c r="P137" s="32"/>
      <c r="Q137" s="32"/>
      <c r="R137" s="4"/>
      <c r="S137" s="4"/>
      <c r="T137" s="4"/>
      <c r="U137" s="4"/>
      <c r="V137" s="4"/>
      <c r="W137" s="4"/>
    </row>
    <row x14ac:dyDescent="0.25" r="138" customHeight="1" ht="12.75">
      <c r="A138" s="4"/>
      <c r="B138" s="29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29"/>
      <c r="N138" s="29"/>
      <c r="O138" s="29"/>
      <c r="P138" s="32"/>
      <c r="Q138" s="32"/>
      <c r="R138" s="4"/>
      <c r="S138" s="4"/>
      <c r="T138" s="4"/>
      <c r="U138" s="4"/>
      <c r="V138" s="4"/>
      <c r="W138" s="4"/>
    </row>
    <row x14ac:dyDescent="0.25" r="139" customHeight="1" ht="12.75">
      <c r="A139" s="4"/>
      <c r="B139" s="29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29"/>
      <c r="N139" s="29"/>
      <c r="O139" s="29"/>
      <c r="P139" s="32"/>
      <c r="Q139" s="32"/>
      <c r="R139" s="4"/>
      <c r="S139" s="4"/>
      <c r="T139" s="4"/>
      <c r="U139" s="4"/>
      <c r="V139" s="4"/>
      <c r="W139" s="4"/>
    </row>
    <row x14ac:dyDescent="0.25" r="140" customHeight="1" ht="12.75">
      <c r="A140" s="4"/>
      <c r="B140" s="29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29"/>
      <c r="N140" s="29"/>
      <c r="O140" s="29"/>
      <c r="P140" s="32"/>
      <c r="Q140" s="32"/>
      <c r="R140" s="4"/>
      <c r="S140" s="4"/>
      <c r="T140" s="4"/>
      <c r="U140" s="4"/>
      <c r="V140" s="4"/>
      <c r="W140" s="4"/>
    </row>
    <row x14ac:dyDescent="0.25" r="141" customHeight="1" ht="12.75">
      <c r="A141" s="4"/>
      <c r="B141" s="29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29"/>
      <c r="N141" s="29"/>
      <c r="O141" s="29"/>
      <c r="P141" s="32"/>
      <c r="Q141" s="32"/>
      <c r="R141" s="4"/>
      <c r="S141" s="4"/>
      <c r="T141" s="4"/>
      <c r="U141" s="4"/>
      <c r="V141" s="4"/>
      <c r="W141" s="4"/>
    </row>
    <row x14ac:dyDescent="0.25" r="142" customHeight="1" ht="12.75">
      <c r="A142" s="4"/>
      <c r="B142" s="29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29"/>
      <c r="N142" s="29"/>
      <c r="O142" s="29"/>
      <c r="P142" s="32"/>
      <c r="Q142" s="32"/>
      <c r="R142" s="4"/>
      <c r="S142" s="4"/>
      <c r="T142" s="4"/>
      <c r="U142" s="4"/>
      <c r="V142" s="4"/>
      <c r="W142" s="4"/>
    </row>
    <row x14ac:dyDescent="0.25" r="143" customHeight="1" ht="12.75">
      <c r="A143" s="4"/>
      <c r="B143" s="29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29"/>
      <c r="N143" s="29"/>
      <c r="O143" s="29"/>
      <c r="P143" s="32"/>
      <c r="Q143" s="32"/>
      <c r="R143" s="4"/>
      <c r="S143" s="4"/>
      <c r="T143" s="4"/>
      <c r="U143" s="4"/>
      <c r="V143" s="4"/>
      <c r="W143" s="4"/>
    </row>
    <row x14ac:dyDescent="0.25" r="144" customHeight="1" ht="12.75">
      <c r="A144" s="4"/>
      <c r="B144" s="29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29"/>
      <c r="N144" s="29"/>
      <c r="O144" s="29"/>
      <c r="P144" s="32"/>
      <c r="Q144" s="32"/>
      <c r="R144" s="4"/>
      <c r="S144" s="4"/>
      <c r="T144" s="4"/>
      <c r="U144" s="4"/>
      <c r="V144" s="4"/>
      <c r="W144" s="4"/>
    </row>
    <row x14ac:dyDescent="0.25" r="145" customHeight="1" ht="12.75">
      <c r="A145" s="4"/>
      <c r="B145" s="29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29"/>
      <c r="N145" s="29"/>
      <c r="O145" s="29"/>
      <c r="P145" s="32"/>
      <c r="Q145" s="32"/>
      <c r="R145" s="4"/>
      <c r="S145" s="4"/>
      <c r="T145" s="4"/>
      <c r="U145" s="4"/>
      <c r="V145" s="4"/>
      <c r="W145" s="4"/>
    </row>
    <row x14ac:dyDescent="0.25" r="146" customHeight="1" ht="12.75">
      <c r="A146" s="4"/>
      <c r="B146" s="29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29"/>
      <c r="N146" s="29"/>
      <c r="O146" s="29"/>
      <c r="P146" s="32"/>
      <c r="Q146" s="32"/>
      <c r="R146" s="4"/>
      <c r="S146" s="4"/>
      <c r="T146" s="4"/>
      <c r="U146" s="4"/>
      <c r="V146" s="4"/>
      <c r="W146" s="4"/>
    </row>
    <row x14ac:dyDescent="0.25" r="147" customHeight="1" ht="12.75">
      <c r="A147" s="4"/>
      <c r="B147" s="29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29"/>
      <c r="N147" s="29"/>
      <c r="O147" s="29"/>
      <c r="P147" s="32"/>
      <c r="Q147" s="32"/>
      <c r="R147" s="4"/>
      <c r="S147" s="4"/>
      <c r="T147" s="4"/>
      <c r="U147" s="4"/>
      <c r="V147" s="4"/>
      <c r="W147" s="4"/>
    </row>
    <row x14ac:dyDescent="0.25" r="148" customHeight="1" ht="12.75">
      <c r="A148" s="4"/>
      <c r="B148" s="29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29"/>
      <c r="N148" s="29"/>
      <c r="O148" s="29"/>
      <c r="P148" s="32"/>
      <c r="Q148" s="32"/>
      <c r="R148" s="4"/>
      <c r="S148" s="4"/>
      <c r="T148" s="4"/>
      <c r="U148" s="4"/>
      <c r="V148" s="4"/>
      <c r="W148" s="4"/>
    </row>
    <row x14ac:dyDescent="0.25" r="149" customHeight="1" ht="12.75">
      <c r="A149" s="4"/>
      <c r="B149" s="29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29"/>
      <c r="N149" s="29"/>
      <c r="O149" s="29"/>
      <c r="P149" s="32"/>
      <c r="Q149" s="32"/>
      <c r="R149" s="4"/>
      <c r="S149" s="4"/>
      <c r="T149" s="4"/>
      <c r="U149" s="4"/>
      <c r="V149" s="4"/>
      <c r="W149" s="4"/>
    </row>
    <row x14ac:dyDescent="0.25" r="150" customHeight="1" ht="12.75">
      <c r="A150" s="4"/>
      <c r="B150" s="29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29"/>
      <c r="N150" s="29"/>
      <c r="O150" s="29"/>
      <c r="P150" s="32"/>
      <c r="Q150" s="32"/>
      <c r="R150" s="4"/>
      <c r="S150" s="4"/>
      <c r="T150" s="4"/>
      <c r="U150" s="4"/>
      <c r="V150" s="4"/>
      <c r="W150" s="4"/>
    </row>
    <row x14ac:dyDescent="0.25" r="151" customHeight="1" ht="12.75">
      <c r="A151" s="4"/>
      <c r="B151" s="29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29"/>
      <c r="N151" s="29"/>
      <c r="O151" s="29"/>
      <c r="P151" s="32"/>
      <c r="Q151" s="32"/>
      <c r="R151" s="4"/>
      <c r="S151" s="4"/>
      <c r="T151" s="4"/>
      <c r="U151" s="4"/>
      <c r="V151" s="4"/>
      <c r="W151" s="4"/>
    </row>
    <row x14ac:dyDescent="0.25" r="152" customHeight="1" ht="12.75">
      <c r="A152" s="4"/>
      <c r="B152" s="29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29"/>
      <c r="N152" s="29"/>
      <c r="O152" s="29"/>
      <c r="P152" s="32"/>
      <c r="Q152" s="32"/>
      <c r="R152" s="4"/>
      <c r="S152" s="4"/>
      <c r="T152" s="4"/>
      <c r="U152" s="4"/>
      <c r="V152" s="4"/>
      <c r="W152" s="4"/>
    </row>
    <row x14ac:dyDescent="0.25" r="153" customHeight="1" ht="12.75">
      <c r="A153" s="4"/>
      <c r="B153" s="29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29"/>
      <c r="N153" s="29"/>
      <c r="O153" s="29"/>
      <c r="P153" s="32"/>
      <c r="Q153" s="32"/>
      <c r="R153" s="4"/>
      <c r="S153" s="4"/>
      <c r="T153" s="4"/>
      <c r="U153" s="4"/>
      <c r="V153" s="4"/>
      <c r="W153" s="4"/>
    </row>
    <row x14ac:dyDescent="0.25" r="154" customHeight="1" ht="12.75">
      <c r="A154" s="4"/>
      <c r="B154" s="29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29"/>
      <c r="N154" s="29"/>
      <c r="O154" s="29"/>
      <c r="P154" s="32"/>
      <c r="Q154" s="32"/>
      <c r="R154" s="4"/>
      <c r="S154" s="4"/>
      <c r="T154" s="4"/>
      <c r="U154" s="4"/>
      <c r="V154" s="4"/>
      <c r="W154" s="4"/>
    </row>
    <row x14ac:dyDescent="0.25" r="155" customHeight="1" ht="12.75">
      <c r="A155" s="4"/>
      <c r="B155" s="29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29"/>
      <c r="N155" s="29"/>
      <c r="O155" s="29"/>
      <c r="P155" s="32"/>
      <c r="Q155" s="32"/>
      <c r="R155" s="4"/>
      <c r="S155" s="4"/>
      <c r="T155" s="4"/>
      <c r="U155" s="4"/>
      <c r="V155" s="4"/>
      <c r="W155" s="4"/>
    </row>
    <row x14ac:dyDescent="0.25" r="156" customHeight="1" ht="12.75">
      <c r="A156" s="4"/>
      <c r="B156" s="29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29"/>
      <c r="N156" s="29"/>
      <c r="O156" s="29"/>
      <c r="P156" s="32"/>
      <c r="Q156" s="32"/>
      <c r="R156" s="4"/>
      <c r="S156" s="4"/>
      <c r="T156" s="4"/>
      <c r="U156" s="4"/>
      <c r="V156" s="4"/>
      <c r="W156" s="4"/>
    </row>
    <row x14ac:dyDescent="0.25" r="157" customHeight="1" ht="12.75">
      <c r="A157" s="4"/>
      <c r="B157" s="29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29"/>
      <c r="N157" s="29"/>
      <c r="O157" s="29"/>
      <c r="P157" s="32"/>
      <c r="Q157" s="32"/>
      <c r="R157" s="4"/>
      <c r="S157" s="4"/>
      <c r="T157" s="4"/>
      <c r="U157" s="4"/>
      <c r="V157" s="4"/>
      <c r="W157" s="4"/>
    </row>
    <row x14ac:dyDescent="0.25" r="158" customHeight="1" ht="12.75">
      <c r="A158" s="4"/>
      <c r="B158" s="29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29"/>
      <c r="N158" s="29"/>
      <c r="O158" s="29"/>
      <c r="P158" s="32"/>
      <c r="Q158" s="32"/>
      <c r="R158" s="4"/>
      <c r="S158" s="4"/>
      <c r="T158" s="4"/>
      <c r="U158" s="4"/>
      <c r="V158" s="4"/>
      <c r="W158" s="4"/>
    </row>
    <row x14ac:dyDescent="0.25" r="159" customHeight="1" ht="12.75">
      <c r="A159" s="4"/>
      <c r="B159" s="29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29"/>
      <c r="N159" s="29"/>
      <c r="O159" s="29"/>
      <c r="P159" s="32"/>
      <c r="Q159" s="32"/>
      <c r="R159" s="4"/>
      <c r="S159" s="4"/>
      <c r="T159" s="4"/>
      <c r="U159" s="4"/>
      <c r="V159" s="4"/>
      <c r="W159" s="4"/>
    </row>
    <row x14ac:dyDescent="0.25" r="160" customHeight="1" ht="12.75">
      <c r="A160" s="4"/>
      <c r="B160" s="29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29"/>
      <c r="N160" s="29"/>
      <c r="O160" s="29"/>
      <c r="P160" s="32"/>
      <c r="Q160" s="32"/>
      <c r="R160" s="4"/>
      <c r="S160" s="4"/>
      <c r="T160" s="4"/>
      <c r="U160" s="4"/>
      <c r="V160" s="4"/>
      <c r="W160" s="4"/>
    </row>
    <row x14ac:dyDescent="0.25" r="161" customHeight="1" ht="12.75">
      <c r="A161" s="4"/>
      <c r="B161" s="29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29"/>
      <c r="N161" s="29"/>
      <c r="O161" s="29"/>
      <c r="P161" s="32"/>
      <c r="Q161" s="32"/>
      <c r="R161" s="4"/>
      <c r="S161" s="4"/>
      <c r="T161" s="4"/>
      <c r="U161" s="4"/>
      <c r="V161" s="4"/>
      <c r="W161" s="4"/>
    </row>
    <row x14ac:dyDescent="0.25" r="162" customHeight="1" ht="12.75">
      <c r="A162" s="4"/>
      <c r="B162" s="29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29"/>
      <c r="N162" s="29"/>
      <c r="O162" s="29"/>
      <c r="P162" s="32"/>
      <c r="Q162" s="32"/>
      <c r="R162" s="4"/>
      <c r="S162" s="4"/>
      <c r="T162" s="4"/>
      <c r="U162" s="4"/>
      <c r="V162" s="4"/>
      <c r="W162" s="4"/>
    </row>
    <row x14ac:dyDescent="0.25" r="163" customHeight="1" ht="12.75">
      <c r="A163" s="4"/>
      <c r="B163" s="29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29"/>
      <c r="N163" s="29"/>
      <c r="O163" s="29"/>
      <c r="P163" s="32"/>
      <c r="Q163" s="32"/>
      <c r="R163" s="4"/>
      <c r="S163" s="4"/>
      <c r="T163" s="4"/>
      <c r="U163" s="4"/>
      <c r="V163" s="4"/>
      <c r="W163" s="4"/>
    </row>
    <row x14ac:dyDescent="0.25" r="164" customHeight="1" ht="12.75">
      <c r="A164" s="4"/>
      <c r="B164" s="29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29"/>
      <c r="N164" s="29"/>
      <c r="O164" s="29"/>
      <c r="P164" s="32"/>
      <c r="Q164" s="32"/>
      <c r="R164" s="4"/>
      <c r="S164" s="4"/>
      <c r="T164" s="4"/>
      <c r="U164" s="4"/>
      <c r="V164" s="4"/>
      <c r="W164" s="4"/>
    </row>
    <row x14ac:dyDescent="0.25" r="165" customHeight="1" ht="12.75">
      <c r="A165" s="4"/>
      <c r="B165" s="29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29"/>
      <c r="N165" s="29"/>
      <c r="O165" s="29"/>
      <c r="P165" s="32"/>
      <c r="Q165" s="32"/>
      <c r="R165" s="4"/>
      <c r="S165" s="4"/>
      <c r="T165" s="4"/>
      <c r="U165" s="4"/>
      <c r="V165" s="4"/>
      <c r="W165" s="4"/>
    </row>
    <row x14ac:dyDescent="0.25" r="166" customHeight="1" ht="12.75">
      <c r="A166" s="4"/>
      <c r="B166" s="29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29"/>
      <c r="N166" s="29"/>
      <c r="O166" s="29"/>
      <c r="P166" s="32"/>
      <c r="Q166" s="32"/>
      <c r="R166" s="4"/>
      <c r="S166" s="4"/>
      <c r="T166" s="4"/>
      <c r="U166" s="4"/>
      <c r="V166" s="4"/>
      <c r="W166" s="4"/>
    </row>
    <row x14ac:dyDescent="0.25" r="167" customHeight="1" ht="12.75">
      <c r="A167" s="4"/>
      <c r="B167" s="29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29"/>
      <c r="N167" s="29"/>
      <c r="O167" s="29"/>
      <c r="P167" s="32"/>
      <c r="Q167" s="32"/>
      <c r="R167" s="4"/>
      <c r="S167" s="4"/>
      <c r="T167" s="4"/>
      <c r="U167" s="4"/>
      <c r="V167" s="4"/>
      <c r="W167" s="4"/>
    </row>
    <row x14ac:dyDescent="0.25" r="168" customHeight="1" ht="12.75">
      <c r="A168" s="4"/>
      <c r="B168" s="29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29"/>
      <c r="N168" s="29"/>
      <c r="O168" s="29"/>
      <c r="P168" s="32"/>
      <c r="Q168" s="32"/>
      <c r="R168" s="4"/>
      <c r="S168" s="4"/>
      <c r="T168" s="4"/>
      <c r="U168" s="4"/>
      <c r="V168" s="4"/>
      <c r="W168" s="4"/>
    </row>
    <row x14ac:dyDescent="0.25" r="169" customHeight="1" ht="12.75">
      <c r="A169" s="4"/>
      <c r="B169" s="29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29"/>
      <c r="N169" s="29"/>
      <c r="O169" s="29"/>
      <c r="P169" s="32"/>
      <c r="Q169" s="32"/>
      <c r="R169" s="4"/>
      <c r="S169" s="4"/>
      <c r="T169" s="4"/>
      <c r="U169" s="4"/>
      <c r="V169" s="4"/>
      <c r="W169" s="4"/>
    </row>
    <row x14ac:dyDescent="0.25" r="170" customHeight="1" ht="12.75">
      <c r="A170" s="4"/>
      <c r="B170" s="29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29"/>
      <c r="N170" s="29"/>
      <c r="O170" s="29"/>
      <c r="P170" s="32"/>
      <c r="Q170" s="32"/>
      <c r="R170" s="4"/>
      <c r="S170" s="4"/>
      <c r="T170" s="4"/>
      <c r="U170" s="4"/>
      <c r="V170" s="4"/>
      <c r="W170" s="4"/>
    </row>
    <row x14ac:dyDescent="0.25" r="171" customHeight="1" ht="12.75">
      <c r="A171" s="4"/>
      <c r="B171" s="29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29"/>
      <c r="N171" s="29"/>
      <c r="O171" s="29"/>
      <c r="P171" s="32"/>
      <c r="Q171" s="32"/>
      <c r="R171" s="4"/>
      <c r="S171" s="4"/>
      <c r="T171" s="4"/>
      <c r="U171" s="4"/>
      <c r="V171" s="4"/>
      <c r="W171" s="4"/>
    </row>
    <row x14ac:dyDescent="0.25" r="172" customHeight="1" ht="12.75">
      <c r="A172" s="4"/>
      <c r="B172" s="29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29"/>
      <c r="N172" s="29"/>
      <c r="O172" s="29"/>
      <c r="P172" s="32"/>
      <c r="Q172" s="32"/>
      <c r="R172" s="4"/>
      <c r="S172" s="4"/>
      <c r="T172" s="4"/>
      <c r="U172" s="4"/>
      <c r="V172" s="4"/>
      <c r="W172" s="4"/>
    </row>
    <row x14ac:dyDescent="0.25" r="173" customHeight="1" ht="12.75">
      <c r="A173" s="4"/>
      <c r="B173" s="29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29"/>
      <c r="N173" s="29"/>
      <c r="O173" s="29"/>
      <c r="P173" s="32"/>
      <c r="Q173" s="32"/>
      <c r="R173" s="4"/>
      <c r="S173" s="4"/>
      <c r="T173" s="4"/>
      <c r="U173" s="4"/>
      <c r="V173" s="4"/>
      <c r="W173" s="4"/>
    </row>
    <row x14ac:dyDescent="0.25" r="174" customHeight="1" ht="12.75">
      <c r="A174" s="4"/>
      <c r="B174" s="29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29"/>
      <c r="N174" s="29"/>
      <c r="O174" s="29"/>
      <c r="P174" s="32"/>
      <c r="Q174" s="32"/>
      <c r="R174" s="4"/>
      <c r="S174" s="4"/>
      <c r="T174" s="4"/>
      <c r="U174" s="4"/>
      <c r="V174" s="4"/>
      <c r="W174" s="4"/>
    </row>
    <row x14ac:dyDescent="0.25" r="175" customHeight="1" ht="12.75">
      <c r="A175" s="4"/>
      <c r="B175" s="29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29"/>
      <c r="N175" s="29"/>
      <c r="O175" s="29"/>
      <c r="P175" s="32"/>
      <c r="Q175" s="32"/>
      <c r="R175" s="4"/>
      <c r="S175" s="4"/>
      <c r="T175" s="4"/>
      <c r="U175" s="4"/>
      <c r="V175" s="4"/>
      <c r="W175" s="4"/>
    </row>
    <row x14ac:dyDescent="0.25" r="176" customHeight="1" ht="12.75">
      <c r="A176" s="4"/>
      <c r="B176" s="29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29"/>
      <c r="N176" s="29"/>
      <c r="O176" s="29"/>
      <c r="P176" s="32"/>
      <c r="Q176" s="32"/>
      <c r="R176" s="4"/>
      <c r="S176" s="4"/>
      <c r="T176" s="4"/>
      <c r="U176" s="4"/>
      <c r="V176" s="4"/>
      <c r="W176" s="4"/>
    </row>
    <row x14ac:dyDescent="0.25" r="177" customHeight="1" ht="12.75">
      <c r="A177" s="4"/>
      <c r="B177" s="29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29"/>
      <c r="N177" s="29"/>
      <c r="O177" s="29"/>
      <c r="P177" s="32"/>
      <c r="Q177" s="32"/>
      <c r="R177" s="4"/>
      <c r="S177" s="4"/>
      <c r="T177" s="4"/>
      <c r="U177" s="4"/>
      <c r="V177" s="4"/>
      <c r="W177" s="4"/>
    </row>
    <row x14ac:dyDescent="0.25" r="178" customHeight="1" ht="12.75">
      <c r="A178" s="4"/>
      <c r="B178" s="29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29"/>
      <c r="N178" s="29"/>
      <c r="O178" s="29"/>
      <c r="P178" s="32"/>
      <c r="Q178" s="32"/>
      <c r="R178" s="4"/>
      <c r="S178" s="4"/>
      <c r="T178" s="4"/>
      <c r="U178" s="4"/>
      <c r="V178" s="4"/>
      <c r="W178" s="4"/>
    </row>
    <row x14ac:dyDescent="0.25" r="179" customHeight="1" ht="12.75">
      <c r="A179" s="4"/>
      <c r="B179" s="29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29"/>
      <c r="N179" s="29"/>
      <c r="O179" s="29"/>
      <c r="P179" s="32"/>
      <c r="Q179" s="32"/>
      <c r="R179" s="4"/>
      <c r="S179" s="4"/>
      <c r="T179" s="4"/>
      <c r="U179" s="4"/>
      <c r="V179" s="4"/>
      <c r="W179" s="4"/>
    </row>
    <row x14ac:dyDescent="0.25" r="180" customHeight="1" ht="12.75">
      <c r="A180" s="4"/>
      <c r="B180" s="29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29"/>
      <c r="N180" s="29"/>
      <c r="O180" s="29"/>
      <c r="P180" s="32"/>
      <c r="Q180" s="32"/>
      <c r="R180" s="4"/>
      <c r="S180" s="4"/>
      <c r="T180" s="4"/>
      <c r="U180" s="4"/>
      <c r="V180" s="4"/>
      <c r="W180" s="4"/>
    </row>
    <row x14ac:dyDescent="0.25" r="181" customHeight="1" ht="12.75">
      <c r="A181" s="4"/>
      <c r="B181" s="29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29"/>
      <c r="N181" s="29"/>
      <c r="O181" s="29"/>
      <c r="P181" s="32"/>
      <c r="Q181" s="32"/>
      <c r="R181" s="4"/>
      <c r="S181" s="4"/>
      <c r="T181" s="4"/>
      <c r="U181" s="4"/>
      <c r="V181" s="4"/>
      <c r="W181" s="4"/>
    </row>
    <row x14ac:dyDescent="0.25" r="182" customHeight="1" ht="12.75">
      <c r="A182" s="4"/>
      <c r="B182" s="29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29"/>
      <c r="N182" s="29"/>
      <c r="O182" s="29"/>
      <c r="P182" s="32"/>
      <c r="Q182" s="32"/>
      <c r="R182" s="4"/>
      <c r="S182" s="4"/>
      <c r="T182" s="4"/>
      <c r="U182" s="4"/>
      <c r="V182" s="4"/>
      <c r="W182" s="4"/>
    </row>
    <row x14ac:dyDescent="0.25" r="183" customHeight="1" ht="12.75">
      <c r="A183" s="4"/>
      <c r="B183" s="29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29"/>
      <c r="N183" s="29"/>
      <c r="O183" s="29"/>
      <c r="P183" s="32"/>
      <c r="Q183" s="32"/>
      <c r="R183" s="4"/>
      <c r="S183" s="4"/>
      <c r="T183" s="4"/>
      <c r="U183" s="4"/>
      <c r="V183" s="4"/>
      <c r="W183" s="4"/>
    </row>
    <row x14ac:dyDescent="0.25" r="184" customHeight="1" ht="12.75">
      <c r="A184" s="4"/>
      <c r="B184" s="29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29"/>
      <c r="N184" s="29"/>
      <c r="O184" s="29"/>
      <c r="P184" s="32"/>
      <c r="Q184" s="32"/>
      <c r="R184" s="4"/>
      <c r="S184" s="4"/>
      <c r="T184" s="4"/>
      <c r="U184" s="4"/>
      <c r="V184" s="4"/>
      <c r="W184" s="4"/>
    </row>
    <row x14ac:dyDescent="0.25" r="185" customHeight="1" ht="12.75">
      <c r="A185" s="4"/>
      <c r="B185" s="29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29"/>
      <c r="N185" s="29"/>
      <c r="O185" s="29"/>
      <c r="P185" s="32"/>
      <c r="Q185" s="32"/>
      <c r="R185" s="4"/>
      <c r="S185" s="4"/>
      <c r="T185" s="4"/>
      <c r="U185" s="4"/>
      <c r="V185" s="4"/>
      <c r="W185" s="4"/>
    </row>
    <row x14ac:dyDescent="0.25" r="186" customHeight="1" ht="12.75">
      <c r="A186" s="4"/>
      <c r="B186" s="29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29"/>
      <c r="N186" s="29"/>
      <c r="O186" s="29"/>
      <c r="P186" s="32"/>
      <c r="Q186" s="32"/>
      <c r="R186" s="4"/>
      <c r="S186" s="4"/>
      <c r="T186" s="4"/>
      <c r="U186" s="4"/>
      <c r="V186" s="4"/>
      <c r="W186" s="4"/>
    </row>
    <row x14ac:dyDescent="0.25" r="187" customHeight="1" ht="12.75">
      <c r="A187" s="4"/>
      <c r="B187" s="29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29"/>
      <c r="N187" s="29"/>
      <c r="O187" s="29"/>
      <c r="P187" s="32"/>
      <c r="Q187" s="32"/>
      <c r="R187" s="4"/>
      <c r="S187" s="4"/>
      <c r="T187" s="4"/>
      <c r="U187" s="4"/>
      <c r="V187" s="4"/>
      <c r="W187" s="4"/>
    </row>
    <row x14ac:dyDescent="0.25" r="188" customHeight="1" ht="12.75">
      <c r="A188" s="4"/>
      <c r="B188" s="29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29"/>
      <c r="N188" s="29"/>
      <c r="O188" s="29"/>
      <c r="P188" s="32"/>
      <c r="Q188" s="32"/>
      <c r="R188" s="4"/>
      <c r="S188" s="4"/>
      <c r="T188" s="4"/>
      <c r="U188" s="4"/>
      <c r="V188" s="4"/>
      <c r="W188" s="4"/>
    </row>
    <row x14ac:dyDescent="0.25" r="189" customHeight="1" ht="12.75">
      <c r="A189" s="4"/>
      <c r="B189" s="29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29"/>
      <c r="N189" s="29"/>
      <c r="O189" s="29"/>
      <c r="P189" s="32"/>
      <c r="Q189" s="32"/>
      <c r="R189" s="4"/>
      <c r="S189" s="4"/>
      <c r="T189" s="4"/>
      <c r="U189" s="4"/>
      <c r="V189" s="4"/>
      <c r="W189" s="4"/>
    </row>
    <row x14ac:dyDescent="0.25" r="190" customHeight="1" ht="12.75">
      <c r="A190" s="4"/>
      <c r="B190" s="29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29"/>
      <c r="N190" s="29"/>
      <c r="O190" s="29"/>
      <c r="P190" s="32"/>
      <c r="Q190" s="32"/>
      <c r="R190" s="4"/>
      <c r="S190" s="4"/>
      <c r="T190" s="4"/>
      <c r="U190" s="4"/>
      <c r="V190" s="4"/>
      <c r="W190" s="4"/>
    </row>
    <row x14ac:dyDescent="0.25" r="191" customHeight="1" ht="12.75">
      <c r="A191" s="4"/>
      <c r="B191" s="29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29"/>
      <c r="N191" s="29"/>
      <c r="O191" s="29"/>
      <c r="P191" s="32"/>
      <c r="Q191" s="32"/>
      <c r="R191" s="4"/>
      <c r="S191" s="4"/>
      <c r="T191" s="4"/>
      <c r="U191" s="4"/>
      <c r="V191" s="4"/>
      <c r="W191" s="4"/>
    </row>
    <row x14ac:dyDescent="0.25" r="192" customHeight="1" ht="12.75">
      <c r="A192" s="4"/>
      <c r="B192" s="29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29"/>
      <c r="N192" s="29"/>
      <c r="O192" s="29"/>
      <c r="P192" s="32"/>
      <c r="Q192" s="32"/>
      <c r="R192" s="4"/>
      <c r="S192" s="4"/>
      <c r="T192" s="4"/>
      <c r="U192" s="4"/>
      <c r="V192" s="4"/>
      <c r="W192" s="4"/>
    </row>
    <row x14ac:dyDescent="0.25" r="193" customHeight="1" ht="12.75">
      <c r="A193" s="4"/>
      <c r="B193" s="29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29"/>
      <c r="N193" s="29"/>
      <c r="O193" s="29"/>
      <c r="P193" s="32"/>
      <c r="Q193" s="32"/>
      <c r="R193" s="4"/>
      <c r="S193" s="4"/>
      <c r="T193" s="4"/>
      <c r="U193" s="4"/>
      <c r="V193" s="4"/>
      <c r="W193" s="4"/>
    </row>
    <row x14ac:dyDescent="0.25" r="194" customHeight="1" ht="12.75">
      <c r="A194" s="4"/>
      <c r="B194" s="29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29"/>
      <c r="N194" s="29"/>
      <c r="O194" s="29"/>
      <c r="P194" s="32"/>
      <c r="Q194" s="32"/>
      <c r="R194" s="4"/>
      <c r="S194" s="4"/>
      <c r="T194" s="4"/>
      <c r="U194" s="4"/>
      <c r="V194" s="4"/>
      <c r="W194" s="4"/>
    </row>
    <row x14ac:dyDescent="0.25" r="195" customHeight="1" ht="12.75">
      <c r="A195" s="4"/>
      <c r="B195" s="29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29"/>
      <c r="N195" s="29"/>
      <c r="O195" s="29"/>
      <c r="P195" s="32"/>
      <c r="Q195" s="32"/>
      <c r="R195" s="4"/>
      <c r="S195" s="4"/>
      <c r="T195" s="4"/>
      <c r="U195" s="4"/>
      <c r="V195" s="4"/>
      <c r="W195" s="4"/>
    </row>
    <row x14ac:dyDescent="0.25" r="196" customHeight="1" ht="12.75">
      <c r="A196" s="4"/>
      <c r="B196" s="29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29"/>
      <c r="N196" s="29"/>
      <c r="O196" s="29"/>
      <c r="P196" s="32"/>
      <c r="Q196" s="32"/>
      <c r="R196" s="4"/>
      <c r="S196" s="4"/>
      <c r="T196" s="4"/>
      <c r="U196" s="4"/>
      <c r="V196" s="4"/>
      <c r="W196" s="4"/>
    </row>
    <row x14ac:dyDescent="0.25" r="197" customHeight="1" ht="12.75">
      <c r="A197" s="4"/>
      <c r="B197" s="29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29"/>
      <c r="N197" s="29"/>
      <c r="O197" s="29"/>
      <c r="P197" s="32"/>
      <c r="Q197" s="32"/>
      <c r="R197" s="4"/>
      <c r="S197" s="4"/>
      <c r="T197" s="4"/>
      <c r="U197" s="4"/>
      <c r="V197" s="4"/>
      <c r="W197" s="4"/>
    </row>
    <row x14ac:dyDescent="0.25" r="198" customHeight="1" ht="12.75">
      <c r="A198" s="4"/>
      <c r="B198" s="29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29"/>
      <c r="N198" s="29"/>
      <c r="O198" s="29"/>
      <c r="P198" s="32"/>
      <c r="Q198" s="32"/>
      <c r="R198" s="4"/>
      <c r="S198" s="4"/>
      <c r="T198" s="4"/>
      <c r="U198" s="4"/>
      <c r="V198" s="4"/>
      <c r="W198" s="4"/>
    </row>
    <row x14ac:dyDescent="0.25" r="199" customHeight="1" ht="12.75">
      <c r="A199" s="4"/>
      <c r="B199" s="29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29"/>
      <c r="N199" s="29"/>
      <c r="O199" s="29"/>
      <c r="P199" s="32"/>
      <c r="Q199" s="32"/>
      <c r="R199" s="4"/>
      <c r="S199" s="4"/>
      <c r="T199" s="4"/>
      <c r="U199" s="4"/>
      <c r="V199" s="4"/>
      <c r="W199" s="4"/>
    </row>
    <row x14ac:dyDescent="0.25" r="200" customHeight="1" ht="12.75">
      <c r="A200" s="4"/>
      <c r="B200" s="29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29"/>
      <c r="N200" s="29"/>
      <c r="O200" s="29"/>
      <c r="P200" s="32"/>
      <c r="Q200" s="32"/>
      <c r="R200" s="4"/>
      <c r="S200" s="4"/>
      <c r="T200" s="4"/>
      <c r="U200" s="4"/>
      <c r="V200" s="4"/>
      <c r="W200" s="4"/>
    </row>
    <row x14ac:dyDescent="0.25" r="201" customHeight="1" ht="12.75">
      <c r="A201" s="4"/>
      <c r="B201" s="29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29"/>
      <c r="N201" s="29"/>
      <c r="O201" s="29"/>
      <c r="P201" s="32"/>
      <c r="Q201" s="32"/>
      <c r="R201" s="4"/>
      <c r="S201" s="4"/>
      <c r="T201" s="4"/>
      <c r="U201" s="4"/>
      <c r="V201" s="4"/>
      <c r="W201" s="4"/>
    </row>
    <row x14ac:dyDescent="0.25" r="202" customHeight="1" ht="12.75">
      <c r="A202" s="4"/>
      <c r="B202" s="29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29"/>
      <c r="N202" s="29"/>
      <c r="O202" s="29"/>
      <c r="P202" s="32"/>
      <c r="Q202" s="32"/>
      <c r="R202" s="4"/>
      <c r="S202" s="4"/>
      <c r="T202" s="4"/>
      <c r="U202" s="4"/>
      <c r="V202" s="4"/>
      <c r="W202" s="4"/>
    </row>
    <row x14ac:dyDescent="0.25" r="203" customHeight="1" ht="12.75">
      <c r="A203" s="4"/>
      <c r="B203" s="29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29"/>
      <c r="N203" s="29"/>
      <c r="O203" s="29"/>
      <c r="P203" s="32"/>
      <c r="Q203" s="32"/>
      <c r="R203" s="4"/>
      <c r="S203" s="4"/>
      <c r="T203" s="4"/>
      <c r="U203" s="4"/>
      <c r="V203" s="4"/>
      <c r="W203" s="4"/>
    </row>
    <row x14ac:dyDescent="0.25" r="204" customHeight="1" ht="12.75">
      <c r="A204" s="4"/>
      <c r="B204" s="29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29"/>
      <c r="N204" s="29"/>
      <c r="O204" s="29"/>
      <c r="P204" s="32"/>
      <c r="Q204" s="32"/>
      <c r="R204" s="4"/>
      <c r="S204" s="4"/>
      <c r="T204" s="4"/>
      <c r="U204" s="4"/>
      <c r="V204" s="4"/>
      <c r="W204" s="4"/>
    </row>
    <row x14ac:dyDescent="0.25" r="205" customHeight="1" ht="12.75">
      <c r="A205" s="4"/>
      <c r="B205" s="29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29"/>
      <c r="N205" s="29"/>
      <c r="O205" s="29"/>
      <c r="P205" s="32"/>
      <c r="Q205" s="32"/>
      <c r="R205" s="4"/>
      <c r="S205" s="4"/>
      <c r="T205" s="4"/>
      <c r="U205" s="4"/>
      <c r="V205" s="4"/>
      <c r="W205" s="4"/>
    </row>
    <row x14ac:dyDescent="0.25" r="206" customHeight="1" ht="12.75">
      <c r="A206" s="4"/>
      <c r="B206" s="29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29"/>
      <c r="N206" s="29"/>
      <c r="O206" s="29"/>
      <c r="P206" s="32"/>
      <c r="Q206" s="32"/>
      <c r="R206" s="4"/>
      <c r="S206" s="4"/>
      <c r="T206" s="4"/>
      <c r="U206" s="4"/>
      <c r="V206" s="4"/>
      <c r="W206" s="4"/>
    </row>
    <row x14ac:dyDescent="0.25" r="207" customHeight="1" ht="12.75">
      <c r="A207" s="4"/>
      <c r="B207" s="29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29"/>
      <c r="N207" s="29"/>
      <c r="O207" s="29"/>
      <c r="P207" s="32"/>
      <c r="Q207" s="32"/>
      <c r="R207" s="4"/>
      <c r="S207" s="4"/>
      <c r="T207" s="4"/>
      <c r="U207" s="4"/>
      <c r="V207" s="4"/>
      <c r="W207" s="4"/>
    </row>
    <row x14ac:dyDescent="0.25" r="208" customHeight="1" ht="12.75">
      <c r="A208" s="4"/>
      <c r="B208" s="29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29"/>
      <c r="N208" s="29"/>
      <c r="O208" s="29"/>
      <c r="P208" s="32"/>
      <c r="Q208" s="32"/>
      <c r="R208" s="4"/>
      <c r="S208" s="4"/>
      <c r="T208" s="4"/>
      <c r="U208" s="4"/>
      <c r="V208" s="4"/>
      <c r="W208" s="4"/>
    </row>
    <row x14ac:dyDescent="0.25" r="209" customHeight="1" ht="12.75">
      <c r="A209" s="4"/>
      <c r="B209" s="29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29"/>
      <c r="N209" s="29"/>
      <c r="O209" s="29"/>
      <c r="P209" s="32"/>
      <c r="Q209" s="32"/>
      <c r="R209" s="4"/>
      <c r="S209" s="4"/>
      <c r="T209" s="4"/>
      <c r="U209" s="4"/>
      <c r="V209" s="4"/>
      <c r="W209" s="4"/>
    </row>
    <row x14ac:dyDescent="0.25" r="210" customHeight="1" ht="12.75">
      <c r="A210" s="4"/>
      <c r="B210" s="29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29"/>
      <c r="N210" s="29"/>
      <c r="O210" s="29"/>
      <c r="P210" s="32"/>
      <c r="Q210" s="32"/>
      <c r="R210" s="4"/>
      <c r="S210" s="4"/>
      <c r="T210" s="4"/>
      <c r="U210" s="4"/>
      <c r="V210" s="4"/>
      <c r="W210" s="4"/>
    </row>
    <row x14ac:dyDescent="0.25" r="211" customHeight="1" ht="12.75">
      <c r="A211" s="4"/>
      <c r="B211" s="29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29"/>
      <c r="N211" s="29"/>
      <c r="O211" s="29"/>
      <c r="P211" s="32"/>
      <c r="Q211" s="32"/>
      <c r="R211" s="4"/>
      <c r="S211" s="4"/>
      <c r="T211" s="4"/>
      <c r="U211" s="4"/>
      <c r="V211" s="4"/>
      <c r="W211" s="4"/>
    </row>
    <row x14ac:dyDescent="0.25" r="212" customHeight="1" ht="12.75">
      <c r="A212" s="4"/>
      <c r="B212" s="29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29"/>
      <c r="N212" s="29"/>
      <c r="O212" s="29"/>
      <c r="P212" s="32"/>
      <c r="Q212" s="32"/>
      <c r="R212" s="4"/>
      <c r="S212" s="4"/>
      <c r="T212" s="4"/>
      <c r="U212" s="4"/>
      <c r="V212" s="4"/>
      <c r="W212" s="4"/>
    </row>
    <row x14ac:dyDescent="0.25" r="213" customHeight="1" ht="12.75">
      <c r="A213" s="4"/>
      <c r="B213" s="29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29"/>
      <c r="N213" s="29"/>
      <c r="O213" s="29"/>
      <c r="P213" s="32"/>
      <c r="Q213" s="32"/>
      <c r="R213" s="4"/>
      <c r="S213" s="4"/>
      <c r="T213" s="4"/>
      <c r="U213" s="4"/>
      <c r="V213" s="4"/>
      <c r="W213" s="4"/>
    </row>
    <row x14ac:dyDescent="0.25" r="214" customHeight="1" ht="12.75">
      <c r="A214" s="4"/>
      <c r="B214" s="29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29"/>
      <c r="N214" s="29"/>
      <c r="O214" s="29"/>
      <c r="P214" s="32"/>
      <c r="Q214" s="32"/>
      <c r="R214" s="4"/>
      <c r="S214" s="4"/>
      <c r="T214" s="4"/>
      <c r="U214" s="4"/>
      <c r="V214" s="4"/>
      <c r="W214" s="4"/>
    </row>
    <row x14ac:dyDescent="0.25" r="215" customHeight="1" ht="12.75">
      <c r="A215" s="4"/>
      <c r="B215" s="29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29"/>
      <c r="N215" s="29"/>
      <c r="O215" s="29"/>
      <c r="P215" s="32"/>
      <c r="Q215" s="32"/>
      <c r="R215" s="4"/>
      <c r="S215" s="4"/>
      <c r="T215" s="4"/>
      <c r="U215" s="4"/>
      <c r="V215" s="4"/>
      <c r="W215" s="4"/>
    </row>
    <row x14ac:dyDescent="0.25" r="216" customHeight="1" ht="12.75">
      <c r="A216" s="4"/>
      <c r="B216" s="29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29"/>
      <c r="N216" s="29"/>
      <c r="O216" s="29"/>
      <c r="P216" s="32"/>
      <c r="Q216" s="32"/>
      <c r="R216" s="4"/>
      <c r="S216" s="4"/>
      <c r="T216" s="4"/>
      <c r="U216" s="4"/>
      <c r="V216" s="4"/>
      <c r="W216" s="4"/>
    </row>
    <row x14ac:dyDescent="0.25" r="217" customHeight="1" ht="12.75">
      <c r="A217" s="4"/>
      <c r="B217" s="29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29"/>
      <c r="N217" s="29"/>
      <c r="O217" s="29"/>
      <c r="P217" s="32"/>
      <c r="Q217" s="32"/>
      <c r="R217" s="4"/>
      <c r="S217" s="4"/>
      <c r="T217" s="4"/>
      <c r="U217" s="4"/>
      <c r="V217" s="4"/>
      <c r="W217" s="4"/>
    </row>
    <row x14ac:dyDescent="0.25" r="218" customHeight="1" ht="12.75">
      <c r="A218" s="4"/>
      <c r="B218" s="29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29"/>
      <c r="N218" s="29"/>
      <c r="O218" s="29"/>
      <c r="P218" s="32"/>
      <c r="Q218" s="32"/>
      <c r="R218" s="4"/>
      <c r="S218" s="4"/>
      <c r="T218" s="4"/>
      <c r="U218" s="4"/>
      <c r="V218" s="4"/>
      <c r="W218" s="4"/>
    </row>
    <row x14ac:dyDescent="0.25" r="219" customHeight="1" ht="12.75">
      <c r="A219" s="4"/>
      <c r="B219" s="29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29"/>
      <c r="N219" s="29"/>
      <c r="O219" s="29"/>
      <c r="P219" s="32"/>
      <c r="Q219" s="32"/>
      <c r="R219" s="4"/>
      <c r="S219" s="4"/>
      <c r="T219" s="4"/>
      <c r="U219" s="4"/>
      <c r="V219" s="4"/>
      <c r="W219" s="4"/>
    </row>
    <row x14ac:dyDescent="0.25" r="220" customHeight="1" ht="12.75">
      <c r="A220" s="4"/>
      <c r="B220" s="29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29"/>
      <c r="N220" s="29"/>
      <c r="O220" s="29"/>
      <c r="P220" s="32"/>
      <c r="Q220" s="32"/>
      <c r="R220" s="4"/>
      <c r="S220" s="4"/>
      <c r="T220" s="4"/>
      <c r="U220" s="4"/>
      <c r="V220" s="4"/>
      <c r="W220" s="4"/>
    </row>
    <row x14ac:dyDescent="0.25" r="221" customHeight="1" ht="12.75">
      <c r="A221" s="4"/>
      <c r="B221" s="29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29"/>
      <c r="N221" s="29"/>
      <c r="O221" s="29"/>
      <c r="P221" s="32"/>
      <c r="Q221" s="32"/>
      <c r="R221" s="4"/>
      <c r="S221" s="4"/>
      <c r="T221" s="4"/>
      <c r="U221" s="4"/>
      <c r="V221" s="4"/>
      <c r="W221" s="4"/>
    </row>
    <row x14ac:dyDescent="0.25" r="222" customHeight="1" ht="12.75">
      <c r="A222" s="4"/>
      <c r="B222" s="29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29"/>
      <c r="N222" s="29"/>
      <c r="O222" s="29"/>
      <c r="P222" s="32"/>
      <c r="Q222" s="32"/>
      <c r="R222" s="4"/>
      <c r="S222" s="4"/>
      <c r="T222" s="4"/>
      <c r="U222" s="4"/>
      <c r="V222" s="4"/>
      <c r="W222" s="4"/>
    </row>
    <row x14ac:dyDescent="0.25" r="223" customHeight="1" ht="12.75">
      <c r="A223" s="4"/>
      <c r="B223" s="29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29"/>
      <c r="N223" s="29"/>
      <c r="O223" s="29"/>
      <c r="P223" s="32"/>
      <c r="Q223" s="32"/>
      <c r="R223" s="4"/>
      <c r="S223" s="4"/>
      <c r="T223" s="4"/>
      <c r="U223" s="4"/>
      <c r="V223" s="4"/>
      <c r="W223" s="4"/>
    </row>
    <row x14ac:dyDescent="0.25" r="224" customHeight="1" ht="12.75">
      <c r="A224" s="4"/>
      <c r="B224" s="29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29"/>
      <c r="N224" s="29"/>
      <c r="O224" s="29"/>
      <c r="P224" s="32"/>
      <c r="Q224" s="32"/>
      <c r="R224" s="4"/>
      <c r="S224" s="4"/>
      <c r="T224" s="4"/>
      <c r="U224" s="4"/>
      <c r="V224" s="4"/>
      <c r="W224" s="4"/>
    </row>
    <row x14ac:dyDescent="0.25" r="225" customHeight="1" ht="12.75">
      <c r="A225" s="4"/>
      <c r="B225" s="29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29"/>
      <c r="N225" s="29"/>
      <c r="O225" s="29"/>
      <c r="P225" s="32"/>
      <c r="Q225" s="32"/>
      <c r="R225" s="4"/>
      <c r="S225" s="4"/>
      <c r="T225" s="4"/>
      <c r="U225" s="4"/>
      <c r="V225" s="4"/>
      <c r="W225" s="4"/>
    </row>
    <row x14ac:dyDescent="0.25" r="226" customHeight="1" ht="12.75">
      <c r="A226" s="4"/>
      <c r="B226" s="29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29"/>
      <c r="N226" s="29"/>
      <c r="O226" s="29"/>
      <c r="P226" s="32"/>
      <c r="Q226" s="32"/>
      <c r="R226" s="4"/>
      <c r="S226" s="4"/>
      <c r="T226" s="4"/>
      <c r="U226" s="4"/>
      <c r="V226" s="4"/>
      <c r="W226" s="4"/>
    </row>
    <row x14ac:dyDescent="0.25" r="227" customHeight="1" ht="12.75">
      <c r="A227" s="4"/>
      <c r="B227" s="29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29"/>
      <c r="N227" s="29"/>
      <c r="O227" s="29"/>
      <c r="P227" s="32"/>
      <c r="Q227" s="32"/>
      <c r="R227" s="4"/>
      <c r="S227" s="4"/>
      <c r="T227" s="4"/>
      <c r="U227" s="4"/>
      <c r="V227" s="4"/>
      <c r="W227" s="4"/>
    </row>
    <row x14ac:dyDescent="0.25" r="228" customHeight="1" ht="12.75">
      <c r="A228" s="4"/>
      <c r="B228" s="29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29"/>
      <c r="N228" s="29"/>
      <c r="O228" s="29"/>
      <c r="P228" s="32"/>
      <c r="Q228" s="32"/>
      <c r="R228" s="4"/>
      <c r="S228" s="4"/>
      <c r="T228" s="4"/>
      <c r="U228" s="4"/>
      <c r="V228" s="4"/>
      <c r="W228" s="4"/>
    </row>
    <row x14ac:dyDescent="0.25" r="229" customHeight="1" ht="12.75">
      <c r="A229" s="4"/>
      <c r="B229" s="29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29"/>
      <c r="N229" s="29"/>
      <c r="O229" s="29"/>
      <c r="P229" s="32"/>
      <c r="Q229" s="32"/>
      <c r="R229" s="4"/>
      <c r="S229" s="4"/>
      <c r="T229" s="4"/>
      <c r="U229" s="4"/>
      <c r="V229" s="4"/>
      <c r="W229" s="4"/>
    </row>
    <row x14ac:dyDescent="0.25" r="230" customHeight="1" ht="12.75">
      <c r="A230" s="4"/>
      <c r="B230" s="29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29"/>
      <c r="N230" s="29"/>
      <c r="O230" s="29"/>
      <c r="P230" s="32"/>
      <c r="Q230" s="32"/>
      <c r="R230" s="4"/>
      <c r="S230" s="4"/>
      <c r="T230" s="4"/>
      <c r="U230" s="4"/>
      <c r="V230" s="4"/>
      <c r="W230" s="4"/>
    </row>
    <row x14ac:dyDescent="0.25" r="231" customHeight="1" ht="12.75">
      <c r="A231" s="4"/>
      <c r="B231" s="29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29"/>
      <c r="N231" s="29"/>
      <c r="O231" s="29"/>
      <c r="P231" s="32"/>
      <c r="Q231" s="32"/>
      <c r="R231" s="4"/>
      <c r="S231" s="4"/>
      <c r="T231" s="4"/>
      <c r="U231" s="4"/>
      <c r="V231" s="4"/>
      <c r="W231" s="4"/>
    </row>
    <row x14ac:dyDescent="0.25" r="232" customHeight="1" ht="12.75">
      <c r="A232" s="4"/>
      <c r="B232" s="29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29"/>
      <c r="N232" s="29"/>
      <c r="O232" s="29"/>
      <c r="P232" s="32"/>
      <c r="Q232" s="32"/>
      <c r="R232" s="4"/>
      <c r="S232" s="4"/>
      <c r="T232" s="4"/>
      <c r="U232" s="4"/>
      <c r="V232" s="4"/>
      <c r="W232" s="4"/>
    </row>
    <row x14ac:dyDescent="0.25" r="233" customHeight="1" ht="12.75">
      <c r="A233" s="4"/>
      <c r="B233" s="29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29"/>
      <c r="N233" s="29"/>
      <c r="O233" s="29"/>
      <c r="P233" s="32"/>
      <c r="Q233" s="32"/>
      <c r="R233" s="4"/>
      <c r="S233" s="4"/>
      <c r="T233" s="4"/>
      <c r="U233" s="4"/>
      <c r="V233" s="4"/>
      <c r="W233" s="4"/>
    </row>
    <row x14ac:dyDescent="0.25" r="234" customHeight="1" ht="12.75">
      <c r="A234" s="4"/>
      <c r="B234" s="29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29"/>
      <c r="N234" s="29"/>
      <c r="O234" s="29"/>
      <c r="P234" s="32"/>
      <c r="Q234" s="32"/>
      <c r="R234" s="4"/>
      <c r="S234" s="4"/>
      <c r="T234" s="4"/>
      <c r="U234" s="4"/>
      <c r="V234" s="4"/>
      <c r="W234" s="4"/>
    </row>
    <row x14ac:dyDescent="0.25" r="235" customHeight="1" ht="12.75">
      <c r="A235" s="4"/>
      <c r="B235" s="29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29"/>
      <c r="N235" s="29"/>
      <c r="O235" s="29"/>
      <c r="P235" s="32"/>
      <c r="Q235" s="32"/>
      <c r="R235" s="4"/>
      <c r="S235" s="4"/>
      <c r="T235" s="4"/>
      <c r="U235" s="4"/>
      <c r="V235" s="4"/>
      <c r="W235" s="4"/>
    </row>
    <row x14ac:dyDescent="0.25" r="236" customHeight="1" ht="12.75">
      <c r="A236" s="4"/>
      <c r="B236" s="29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29"/>
      <c r="N236" s="29"/>
      <c r="O236" s="29"/>
      <c r="P236" s="32"/>
      <c r="Q236" s="32"/>
      <c r="R236" s="4"/>
      <c r="S236" s="4"/>
      <c r="T236" s="4"/>
      <c r="U236" s="4"/>
      <c r="V236" s="4"/>
      <c r="W236" s="4"/>
    </row>
    <row x14ac:dyDescent="0.25" r="237" customHeight="1" ht="12.75">
      <c r="A237" s="4"/>
      <c r="B237" s="29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29"/>
      <c r="N237" s="29"/>
      <c r="O237" s="29"/>
      <c r="P237" s="32"/>
      <c r="Q237" s="32"/>
      <c r="R237" s="4"/>
      <c r="S237" s="4"/>
      <c r="T237" s="4"/>
      <c r="U237" s="4"/>
      <c r="V237" s="4"/>
      <c r="W237" s="4"/>
    </row>
    <row x14ac:dyDescent="0.25" r="238" customHeight="1" ht="12.75">
      <c r="A238" s="4"/>
      <c r="B238" s="29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29"/>
      <c r="N238" s="29"/>
      <c r="O238" s="29"/>
      <c r="P238" s="32"/>
      <c r="Q238" s="32"/>
      <c r="R238" s="4"/>
      <c r="S238" s="4"/>
      <c r="T238" s="4"/>
      <c r="U238" s="4"/>
      <c r="V238" s="4"/>
      <c r="W238" s="4"/>
    </row>
    <row x14ac:dyDescent="0.25" r="239" customHeight="1" ht="12.75">
      <c r="A239" s="4"/>
      <c r="B239" s="29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29"/>
      <c r="N239" s="29"/>
      <c r="O239" s="29"/>
      <c r="P239" s="32"/>
      <c r="Q239" s="32"/>
      <c r="R239" s="4"/>
      <c r="S239" s="4"/>
      <c r="T239" s="4"/>
      <c r="U239" s="4"/>
      <c r="V239" s="4"/>
      <c r="W239" s="4"/>
    </row>
    <row x14ac:dyDescent="0.25" r="240" customHeight="1" ht="12.75">
      <c r="A240" s="4"/>
      <c r="B240" s="29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29"/>
      <c r="N240" s="29"/>
      <c r="O240" s="29"/>
      <c r="P240" s="32"/>
      <c r="Q240" s="32"/>
      <c r="R240" s="4"/>
      <c r="S240" s="4"/>
      <c r="T240" s="4"/>
      <c r="U240" s="4"/>
      <c r="V240" s="4"/>
      <c r="W240" s="4"/>
    </row>
    <row x14ac:dyDescent="0.25" r="241" customHeight="1" ht="12.75">
      <c r="A241" s="4"/>
      <c r="B241" s="29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29"/>
      <c r="N241" s="29"/>
      <c r="O241" s="29"/>
      <c r="P241" s="32"/>
      <c r="Q241" s="32"/>
      <c r="R241" s="4"/>
      <c r="S241" s="4"/>
      <c r="T241" s="4"/>
      <c r="U241" s="4"/>
      <c r="V241" s="4"/>
      <c r="W241" s="4"/>
    </row>
    <row x14ac:dyDescent="0.25" r="242" customHeight="1" ht="12.75">
      <c r="A242" s="4"/>
      <c r="B242" s="29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29"/>
      <c r="N242" s="29"/>
      <c r="O242" s="29"/>
      <c r="P242" s="32"/>
      <c r="Q242" s="32"/>
      <c r="R242" s="4"/>
      <c r="S242" s="4"/>
      <c r="T242" s="4"/>
      <c r="U242" s="4"/>
      <c r="V242" s="4"/>
      <c r="W242" s="4"/>
    </row>
    <row x14ac:dyDescent="0.25" r="243" customHeight="1" ht="12.75">
      <c r="A243" s="4"/>
      <c r="B243" s="29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29"/>
      <c r="N243" s="29"/>
      <c r="O243" s="29"/>
      <c r="P243" s="32"/>
      <c r="Q243" s="32"/>
      <c r="R243" s="4"/>
      <c r="S243" s="4"/>
      <c r="T243" s="4"/>
      <c r="U243" s="4"/>
      <c r="V243" s="4"/>
      <c r="W243" s="4"/>
    </row>
    <row x14ac:dyDescent="0.25" r="244" customHeight="1" ht="12.75">
      <c r="A244" s="4"/>
      <c r="B244" s="29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29"/>
      <c r="N244" s="29"/>
      <c r="O244" s="29"/>
      <c r="P244" s="32"/>
      <c r="Q244" s="32"/>
      <c r="R244" s="4"/>
      <c r="S244" s="4"/>
      <c r="T244" s="4"/>
      <c r="U244" s="4"/>
      <c r="V244" s="4"/>
      <c r="W244" s="4"/>
    </row>
    <row x14ac:dyDescent="0.25" r="245" customHeight="1" ht="12.75">
      <c r="A245" s="4"/>
      <c r="B245" s="29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29"/>
      <c r="N245" s="29"/>
      <c r="O245" s="29"/>
      <c r="P245" s="32"/>
      <c r="Q245" s="32"/>
      <c r="R245" s="4"/>
      <c r="S245" s="4"/>
      <c r="T245" s="4"/>
      <c r="U245" s="4"/>
      <c r="V245" s="4"/>
      <c r="W245" s="4"/>
    </row>
    <row x14ac:dyDescent="0.25" r="246" customHeight="1" ht="12.75">
      <c r="A246" s="4"/>
      <c r="B246" s="29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29"/>
      <c r="N246" s="29"/>
      <c r="O246" s="29"/>
      <c r="P246" s="32"/>
      <c r="Q246" s="32"/>
      <c r="R246" s="4"/>
      <c r="S246" s="4"/>
      <c r="T246" s="4"/>
      <c r="U246" s="4"/>
      <c r="V246" s="4"/>
      <c r="W246" s="4"/>
    </row>
    <row x14ac:dyDescent="0.25" r="247" customHeight="1" ht="12.75">
      <c r="A247" s="4"/>
      <c r="B247" s="29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29"/>
      <c r="N247" s="29"/>
      <c r="O247" s="29"/>
      <c r="P247" s="32"/>
      <c r="Q247" s="32"/>
      <c r="R247" s="4"/>
      <c r="S247" s="4"/>
      <c r="T247" s="4"/>
      <c r="U247" s="4"/>
      <c r="V247" s="4"/>
      <c r="W247" s="4"/>
    </row>
    <row x14ac:dyDescent="0.25" r="248" customHeight="1" ht="12.75">
      <c r="A248" s="4"/>
      <c r="B248" s="29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29"/>
      <c r="N248" s="29"/>
      <c r="O248" s="29"/>
      <c r="P248" s="32"/>
      <c r="Q248" s="32"/>
      <c r="R248" s="4"/>
      <c r="S248" s="4"/>
      <c r="T248" s="4"/>
      <c r="U248" s="4"/>
      <c r="V248" s="4"/>
      <c r="W248" s="4"/>
    </row>
    <row x14ac:dyDescent="0.25" r="249" customHeight="1" ht="12.75">
      <c r="A249" s="4"/>
      <c r="B249" s="29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29"/>
      <c r="N249" s="29"/>
      <c r="O249" s="29"/>
      <c r="P249" s="32"/>
      <c r="Q249" s="32"/>
      <c r="R249" s="4"/>
      <c r="S249" s="4"/>
      <c r="T249" s="4"/>
      <c r="U249" s="4"/>
      <c r="V249" s="4"/>
      <c r="W249" s="4"/>
    </row>
    <row x14ac:dyDescent="0.25" r="250" customHeight="1" ht="12.75">
      <c r="A250" s="4"/>
      <c r="B250" s="29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29"/>
      <c r="N250" s="29"/>
      <c r="O250" s="29"/>
      <c r="P250" s="32"/>
      <c r="Q250" s="32"/>
      <c r="R250" s="4"/>
      <c r="S250" s="4"/>
      <c r="T250" s="4"/>
      <c r="U250" s="4"/>
      <c r="V250" s="4"/>
      <c r="W250" s="4"/>
    </row>
    <row x14ac:dyDescent="0.25" r="251" customHeight="1" ht="12.75">
      <c r="A251" s="4"/>
      <c r="B251" s="29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29"/>
      <c r="N251" s="29"/>
      <c r="O251" s="29"/>
      <c r="P251" s="32"/>
      <c r="Q251" s="32"/>
      <c r="R251" s="4"/>
      <c r="S251" s="4"/>
      <c r="T251" s="4"/>
      <c r="U251" s="4"/>
      <c r="V251" s="4"/>
      <c r="W251" s="4"/>
    </row>
    <row x14ac:dyDescent="0.25" r="252" customHeight="1" ht="12.75">
      <c r="A252" s="4"/>
      <c r="B252" s="29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29"/>
      <c r="N252" s="29"/>
      <c r="O252" s="29"/>
      <c r="P252" s="32"/>
      <c r="Q252" s="32"/>
      <c r="R252" s="4"/>
      <c r="S252" s="4"/>
      <c r="T252" s="4"/>
      <c r="U252" s="4"/>
      <c r="V252" s="4"/>
      <c r="W252" s="4"/>
    </row>
    <row x14ac:dyDescent="0.25" r="253" customHeight="1" ht="12.75">
      <c r="A253" s="4"/>
      <c r="B253" s="29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29"/>
      <c r="N253" s="29"/>
      <c r="O253" s="29"/>
      <c r="P253" s="32"/>
      <c r="Q253" s="32"/>
      <c r="R253" s="4"/>
      <c r="S253" s="4"/>
      <c r="T253" s="4"/>
      <c r="U253" s="4"/>
      <c r="V253" s="4"/>
      <c r="W253" s="4"/>
    </row>
    <row x14ac:dyDescent="0.25" r="254" customHeight="1" ht="12.75">
      <c r="A254" s="4"/>
      <c r="B254" s="29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29"/>
      <c r="N254" s="29"/>
      <c r="O254" s="29"/>
      <c r="P254" s="32"/>
      <c r="Q254" s="32"/>
      <c r="R254" s="4"/>
      <c r="S254" s="4"/>
      <c r="T254" s="4"/>
      <c r="U254" s="4"/>
      <c r="V254" s="4"/>
      <c r="W254" s="4"/>
    </row>
    <row x14ac:dyDescent="0.25" r="255" customHeight="1" ht="12.75">
      <c r="A255" s="4"/>
      <c r="B255" s="29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29"/>
      <c r="N255" s="29"/>
      <c r="O255" s="29"/>
      <c r="P255" s="32"/>
      <c r="Q255" s="32"/>
      <c r="R255" s="4"/>
      <c r="S255" s="4"/>
      <c r="T255" s="4"/>
      <c r="U255" s="4"/>
      <c r="V255" s="4"/>
      <c r="W255" s="4"/>
    </row>
    <row x14ac:dyDescent="0.25" r="256" customHeight="1" ht="12.75">
      <c r="A256" s="4"/>
      <c r="B256" s="29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29"/>
      <c r="N256" s="29"/>
      <c r="O256" s="29"/>
      <c r="P256" s="32"/>
      <c r="Q256" s="32"/>
      <c r="R256" s="4"/>
      <c r="S256" s="4"/>
      <c r="T256" s="4"/>
      <c r="U256" s="4"/>
      <c r="V256" s="4"/>
      <c r="W256" s="4"/>
    </row>
    <row x14ac:dyDescent="0.25" r="257" customHeight="1" ht="12.75">
      <c r="A257" s="4"/>
      <c r="B257" s="29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29"/>
      <c r="N257" s="29"/>
      <c r="O257" s="29"/>
      <c r="P257" s="32"/>
      <c r="Q257" s="32"/>
      <c r="R257" s="4"/>
      <c r="S257" s="4"/>
      <c r="T257" s="4"/>
      <c r="U257" s="4"/>
      <c r="V257" s="4"/>
      <c r="W257" s="4"/>
    </row>
    <row x14ac:dyDescent="0.25" r="258" customHeight="1" ht="12.75">
      <c r="A258" s="4"/>
      <c r="B258" s="29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29"/>
      <c r="N258" s="29"/>
      <c r="O258" s="29"/>
      <c r="P258" s="32"/>
      <c r="Q258" s="32"/>
      <c r="R258" s="4"/>
      <c r="S258" s="4"/>
      <c r="T258" s="4"/>
      <c r="U258" s="4"/>
      <c r="V258" s="4"/>
      <c r="W258" s="4"/>
    </row>
    <row x14ac:dyDescent="0.25" r="259" customHeight="1" ht="12.75">
      <c r="A259" s="4"/>
      <c r="B259" s="29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29"/>
      <c r="N259" s="29"/>
      <c r="O259" s="29"/>
      <c r="P259" s="32"/>
      <c r="Q259" s="32"/>
      <c r="R259" s="4"/>
      <c r="S259" s="4"/>
      <c r="T259" s="4"/>
      <c r="U259" s="4"/>
      <c r="V259" s="4"/>
      <c r="W259" s="4"/>
    </row>
    <row x14ac:dyDescent="0.25" r="260" customHeight="1" ht="12.75">
      <c r="A260" s="4"/>
      <c r="B260" s="29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29"/>
      <c r="N260" s="29"/>
      <c r="O260" s="29"/>
      <c r="P260" s="32"/>
      <c r="Q260" s="32"/>
      <c r="R260" s="4"/>
      <c r="S260" s="4"/>
      <c r="T260" s="4"/>
      <c r="U260" s="4"/>
      <c r="V260" s="4"/>
      <c r="W260" s="4"/>
    </row>
    <row x14ac:dyDescent="0.25" r="261" customHeight="1" ht="12.75">
      <c r="A261" s="4"/>
      <c r="B261" s="29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29"/>
      <c r="N261" s="29"/>
      <c r="O261" s="29"/>
      <c r="P261" s="32"/>
      <c r="Q261" s="32"/>
      <c r="R261" s="4"/>
      <c r="S261" s="4"/>
      <c r="T261" s="4"/>
      <c r="U261" s="4"/>
      <c r="V261" s="4"/>
      <c r="W261" s="4"/>
    </row>
    <row x14ac:dyDescent="0.25" r="262" customHeight="1" ht="12.75">
      <c r="A262" s="4"/>
      <c r="B262" s="29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29"/>
      <c r="N262" s="29"/>
      <c r="O262" s="29"/>
      <c r="P262" s="32"/>
      <c r="Q262" s="32"/>
      <c r="R262" s="4"/>
      <c r="S262" s="4"/>
      <c r="T262" s="4"/>
      <c r="U262" s="4"/>
      <c r="V262" s="4"/>
      <c r="W262" s="4"/>
    </row>
    <row x14ac:dyDescent="0.25" r="263" customHeight="1" ht="12.75">
      <c r="A263" s="4"/>
      <c r="B263" s="29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29"/>
      <c r="N263" s="29"/>
      <c r="O263" s="29"/>
      <c r="P263" s="32"/>
      <c r="Q263" s="32"/>
      <c r="R263" s="4"/>
      <c r="S263" s="4"/>
      <c r="T263" s="4"/>
      <c r="U263" s="4"/>
      <c r="V263" s="4"/>
      <c r="W263" s="4"/>
    </row>
    <row x14ac:dyDescent="0.25" r="264" customHeight="1" ht="12.75">
      <c r="A264" s="4"/>
      <c r="B264" s="29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29"/>
      <c r="N264" s="29"/>
      <c r="O264" s="29"/>
      <c r="P264" s="32"/>
      <c r="Q264" s="32"/>
      <c r="R264" s="4"/>
      <c r="S264" s="4"/>
      <c r="T264" s="4"/>
      <c r="U264" s="4"/>
      <c r="V264" s="4"/>
      <c r="W264" s="4"/>
    </row>
    <row x14ac:dyDescent="0.25" r="265" customHeight="1" ht="12.75">
      <c r="A265" s="4"/>
      <c r="B265" s="29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29"/>
      <c r="N265" s="29"/>
      <c r="O265" s="29"/>
      <c r="P265" s="32"/>
      <c r="Q265" s="32"/>
      <c r="R265" s="4"/>
      <c r="S265" s="4"/>
      <c r="T265" s="4"/>
      <c r="U265" s="4"/>
      <c r="V265" s="4"/>
      <c r="W265" s="4"/>
    </row>
    <row x14ac:dyDescent="0.25" r="266" customHeight="1" ht="12.75">
      <c r="A266" s="4"/>
      <c r="B266" s="29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29"/>
      <c r="N266" s="29"/>
      <c r="O266" s="29"/>
      <c r="P266" s="32"/>
      <c r="Q266" s="32"/>
      <c r="R266" s="4"/>
      <c r="S266" s="4"/>
      <c r="T266" s="4"/>
      <c r="U266" s="4"/>
      <c r="V266" s="4"/>
      <c r="W266" s="4"/>
    </row>
    <row x14ac:dyDescent="0.25" r="267" customHeight="1" ht="12.75">
      <c r="A267" s="4"/>
      <c r="B267" s="29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29"/>
      <c r="N267" s="29"/>
      <c r="O267" s="29"/>
      <c r="P267" s="32"/>
      <c r="Q267" s="32"/>
      <c r="R267" s="4"/>
      <c r="S267" s="4"/>
      <c r="T267" s="4"/>
      <c r="U267" s="4"/>
      <c r="V267" s="4"/>
      <c r="W267" s="4"/>
    </row>
    <row x14ac:dyDescent="0.25" r="268" customHeight="1" ht="12.75">
      <c r="A268" s="4"/>
      <c r="B268" s="29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29"/>
      <c r="N268" s="29"/>
      <c r="O268" s="29"/>
      <c r="P268" s="32"/>
      <c r="Q268" s="32"/>
      <c r="R268" s="4"/>
      <c r="S268" s="4"/>
      <c r="T268" s="4"/>
      <c r="U268" s="4"/>
      <c r="V268" s="4"/>
      <c r="W268" s="4"/>
    </row>
    <row x14ac:dyDescent="0.25" r="269" customHeight="1" ht="12.75">
      <c r="A269" s="4"/>
      <c r="B269" s="29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29"/>
      <c r="N269" s="29"/>
      <c r="O269" s="29"/>
      <c r="P269" s="32"/>
      <c r="Q269" s="32"/>
      <c r="R269" s="4"/>
      <c r="S269" s="4"/>
      <c r="T269" s="4"/>
      <c r="U269" s="4"/>
      <c r="V269" s="4"/>
      <c r="W269" s="4"/>
    </row>
    <row x14ac:dyDescent="0.25" r="270" customHeight="1" ht="12.75">
      <c r="A270" s="4"/>
      <c r="B270" s="29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29"/>
      <c r="N270" s="29"/>
      <c r="O270" s="29"/>
      <c r="P270" s="32"/>
      <c r="Q270" s="32"/>
      <c r="R270" s="4"/>
      <c r="S270" s="4"/>
      <c r="T270" s="4"/>
      <c r="U270" s="4"/>
      <c r="V270" s="4"/>
      <c r="W270" s="4"/>
    </row>
    <row x14ac:dyDescent="0.25" r="271" customHeight="1" ht="12.75">
      <c r="A271" s="4"/>
      <c r="B271" s="29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29"/>
      <c r="N271" s="29"/>
      <c r="O271" s="29"/>
      <c r="P271" s="32"/>
      <c r="Q271" s="32"/>
      <c r="R271" s="4"/>
      <c r="S271" s="4"/>
      <c r="T271" s="4"/>
      <c r="U271" s="4"/>
      <c r="V271" s="4"/>
      <c r="W271" s="4"/>
    </row>
    <row x14ac:dyDescent="0.25" r="272" customHeight="1" ht="12.75">
      <c r="A272" s="4"/>
      <c r="B272" s="29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29"/>
      <c r="N272" s="29"/>
      <c r="O272" s="29"/>
      <c r="P272" s="32"/>
      <c r="Q272" s="32"/>
      <c r="R272" s="4"/>
      <c r="S272" s="4"/>
      <c r="T272" s="4"/>
      <c r="U272" s="4"/>
      <c r="V272" s="4"/>
      <c r="W272" s="4"/>
    </row>
    <row x14ac:dyDescent="0.25" r="273" customHeight="1" ht="12.75">
      <c r="A273" s="4"/>
      <c r="B273" s="29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29"/>
      <c r="N273" s="29"/>
      <c r="O273" s="29"/>
      <c r="P273" s="32"/>
      <c r="Q273" s="32"/>
      <c r="R273" s="4"/>
      <c r="S273" s="4"/>
      <c r="T273" s="4"/>
      <c r="U273" s="4"/>
      <c r="V273" s="4"/>
      <c r="W273" s="4"/>
    </row>
    <row x14ac:dyDescent="0.25" r="274" customHeight="1" ht="12.75">
      <c r="A274" s="4"/>
      <c r="B274" s="29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29"/>
      <c r="N274" s="29"/>
      <c r="O274" s="29"/>
      <c r="P274" s="32"/>
      <c r="Q274" s="32"/>
      <c r="R274" s="4"/>
      <c r="S274" s="4"/>
      <c r="T274" s="4"/>
      <c r="U274" s="4"/>
      <c r="V274" s="4"/>
      <c r="W274" s="4"/>
    </row>
    <row x14ac:dyDescent="0.25" r="275" customHeight="1" ht="12.75">
      <c r="A275" s="4"/>
      <c r="B275" s="29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29"/>
      <c r="N275" s="29"/>
      <c r="O275" s="29"/>
      <c r="P275" s="32"/>
      <c r="Q275" s="32"/>
      <c r="R275" s="4"/>
      <c r="S275" s="4"/>
      <c r="T275" s="4"/>
      <c r="U275" s="4"/>
      <c r="V275" s="4"/>
      <c r="W275" s="4"/>
    </row>
    <row x14ac:dyDescent="0.25" r="276" customHeight="1" ht="12.75">
      <c r="A276" s="4"/>
      <c r="B276" s="29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29"/>
      <c r="N276" s="29"/>
      <c r="O276" s="29"/>
      <c r="P276" s="32"/>
      <c r="Q276" s="32"/>
      <c r="R276" s="4"/>
      <c r="S276" s="4"/>
      <c r="T276" s="4"/>
      <c r="U276" s="4"/>
      <c r="V276" s="4"/>
      <c r="W276" s="4"/>
    </row>
    <row x14ac:dyDescent="0.25" r="277" customHeight="1" ht="12.75">
      <c r="A277" s="4"/>
      <c r="B277" s="29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29"/>
      <c r="N277" s="29"/>
      <c r="O277" s="29"/>
      <c r="P277" s="32"/>
      <c r="Q277" s="32"/>
      <c r="R277" s="4"/>
      <c r="S277" s="4"/>
      <c r="T277" s="4"/>
      <c r="U277" s="4"/>
      <c r="V277" s="4"/>
      <c r="W277" s="4"/>
    </row>
    <row x14ac:dyDescent="0.25" r="278" customHeight="1" ht="12.75">
      <c r="A278" s="4"/>
      <c r="B278" s="29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29"/>
      <c r="N278" s="29"/>
      <c r="O278" s="29"/>
      <c r="P278" s="32"/>
      <c r="Q278" s="32"/>
      <c r="R278" s="4"/>
      <c r="S278" s="4"/>
      <c r="T278" s="4"/>
      <c r="U278" s="4"/>
      <c r="V278" s="4"/>
      <c r="W278" s="4"/>
    </row>
    <row x14ac:dyDescent="0.25" r="279" customHeight="1" ht="12.75">
      <c r="A279" s="4"/>
      <c r="B279" s="29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29"/>
      <c r="N279" s="29"/>
      <c r="O279" s="29"/>
      <c r="P279" s="32"/>
      <c r="Q279" s="32"/>
      <c r="R279" s="4"/>
      <c r="S279" s="4"/>
      <c r="T279" s="4"/>
      <c r="U279" s="4"/>
      <c r="V279" s="4"/>
      <c r="W279" s="4"/>
    </row>
    <row x14ac:dyDescent="0.25" r="280" customHeight="1" ht="12.75">
      <c r="A280" s="4"/>
      <c r="B280" s="29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29"/>
      <c r="N280" s="29"/>
      <c r="O280" s="29"/>
      <c r="P280" s="32"/>
      <c r="Q280" s="32"/>
      <c r="R280" s="4"/>
      <c r="S280" s="4"/>
      <c r="T280" s="4"/>
      <c r="U280" s="4"/>
      <c r="V280" s="4"/>
      <c r="W280" s="4"/>
    </row>
    <row x14ac:dyDescent="0.25" r="281" customHeight="1" ht="12.75">
      <c r="A281" s="4"/>
      <c r="B281" s="29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29"/>
      <c r="N281" s="29"/>
      <c r="O281" s="29"/>
      <c r="P281" s="32"/>
      <c r="Q281" s="32"/>
      <c r="R281" s="4"/>
      <c r="S281" s="4"/>
      <c r="T281" s="4"/>
      <c r="U281" s="4"/>
      <c r="V281" s="4"/>
      <c r="W281" s="4"/>
    </row>
    <row x14ac:dyDescent="0.25" r="282" customHeight="1" ht="12.75">
      <c r="A282" s="4"/>
      <c r="B282" s="29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29"/>
      <c r="N282" s="29"/>
      <c r="O282" s="29"/>
      <c r="P282" s="32"/>
      <c r="Q282" s="32"/>
      <c r="R282" s="4"/>
      <c r="S282" s="4"/>
      <c r="T282" s="4"/>
      <c r="U282" s="4"/>
      <c r="V282" s="4"/>
      <c r="W282" s="4"/>
    </row>
    <row x14ac:dyDescent="0.25" r="283" customHeight="1" ht="12.75">
      <c r="A283" s="4"/>
      <c r="B283" s="29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29"/>
      <c r="N283" s="29"/>
      <c r="O283" s="29"/>
      <c r="P283" s="32"/>
      <c r="Q283" s="32"/>
      <c r="R283" s="4"/>
      <c r="S283" s="4"/>
      <c r="T283" s="4"/>
      <c r="U283" s="4"/>
      <c r="V283" s="4"/>
      <c r="W283" s="4"/>
    </row>
    <row x14ac:dyDescent="0.25" r="284" customHeight="1" ht="12.75">
      <c r="A284" s="4"/>
      <c r="B284" s="29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29"/>
      <c r="N284" s="29"/>
      <c r="O284" s="29"/>
      <c r="P284" s="32"/>
      <c r="Q284" s="32"/>
      <c r="R284" s="4"/>
      <c r="S284" s="4"/>
      <c r="T284" s="4"/>
      <c r="U284" s="4"/>
      <c r="V284" s="4"/>
      <c r="W284" s="4"/>
    </row>
    <row x14ac:dyDescent="0.25" r="285" customHeight="1" ht="12.75">
      <c r="A285" s="4"/>
      <c r="B285" s="29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29"/>
      <c r="N285" s="29"/>
      <c r="O285" s="29"/>
      <c r="P285" s="32"/>
      <c r="Q285" s="32"/>
      <c r="R285" s="4"/>
      <c r="S285" s="4"/>
      <c r="T285" s="4"/>
      <c r="U285" s="4"/>
      <c r="V285" s="4"/>
      <c r="W285" s="4"/>
    </row>
    <row x14ac:dyDescent="0.25" r="286" customHeight="1" ht="12.75">
      <c r="A286" s="4"/>
      <c r="B286" s="29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29"/>
      <c r="N286" s="29"/>
      <c r="O286" s="29"/>
      <c r="P286" s="32"/>
      <c r="Q286" s="32"/>
      <c r="R286" s="4"/>
      <c r="S286" s="4"/>
      <c r="T286" s="4"/>
      <c r="U286" s="4"/>
      <c r="V286" s="4"/>
      <c r="W286" s="4"/>
    </row>
    <row x14ac:dyDescent="0.25" r="287" customHeight="1" ht="12.75">
      <c r="A287" s="4"/>
      <c r="B287" s="29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29"/>
      <c r="N287" s="29"/>
      <c r="O287" s="29"/>
      <c r="P287" s="32"/>
      <c r="Q287" s="32"/>
      <c r="R287" s="4"/>
      <c r="S287" s="4"/>
      <c r="T287" s="4"/>
      <c r="U287" s="4"/>
      <c r="V287" s="4"/>
      <c r="W287" s="4"/>
    </row>
    <row x14ac:dyDescent="0.25" r="288" customHeight="1" ht="12.75">
      <c r="A288" s="4"/>
      <c r="B288" s="29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29"/>
      <c r="N288" s="29"/>
      <c r="O288" s="29"/>
      <c r="P288" s="32"/>
      <c r="Q288" s="32"/>
      <c r="R288" s="4"/>
      <c r="S288" s="4"/>
      <c r="T288" s="4"/>
      <c r="U288" s="4"/>
      <c r="V288" s="4"/>
      <c r="W288" s="4"/>
    </row>
    <row x14ac:dyDescent="0.25" r="289" customHeight="1" ht="12.75">
      <c r="A289" s="4"/>
      <c r="B289" s="29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29"/>
      <c r="N289" s="29"/>
      <c r="O289" s="29"/>
      <c r="P289" s="32"/>
      <c r="Q289" s="32"/>
      <c r="R289" s="4"/>
      <c r="S289" s="4"/>
      <c r="T289" s="4"/>
      <c r="U289" s="4"/>
      <c r="V289" s="4"/>
      <c r="W289" s="4"/>
    </row>
    <row x14ac:dyDescent="0.25" r="290" customHeight="1" ht="12.75">
      <c r="A290" s="4"/>
      <c r="B290" s="29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29"/>
      <c r="N290" s="29"/>
      <c r="O290" s="29"/>
      <c r="P290" s="32"/>
      <c r="Q290" s="32"/>
      <c r="R290" s="4"/>
      <c r="S290" s="4"/>
      <c r="T290" s="4"/>
      <c r="U290" s="4"/>
      <c r="V290" s="4"/>
      <c r="W290" s="4"/>
    </row>
    <row x14ac:dyDescent="0.25" r="291" customHeight="1" ht="12.75">
      <c r="A291" s="4"/>
      <c r="B291" s="29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29"/>
      <c r="N291" s="29"/>
      <c r="O291" s="29"/>
      <c r="P291" s="32"/>
      <c r="Q291" s="32"/>
      <c r="R291" s="4"/>
      <c r="S291" s="4"/>
      <c r="T291" s="4"/>
      <c r="U291" s="4"/>
      <c r="V291" s="4"/>
      <c r="W291" s="4"/>
    </row>
    <row x14ac:dyDescent="0.25" r="292" customHeight="1" ht="12.75">
      <c r="A292" s="4"/>
      <c r="B292" s="29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29"/>
      <c r="N292" s="29"/>
      <c r="O292" s="29"/>
      <c r="P292" s="32"/>
      <c r="Q292" s="32"/>
      <c r="R292" s="4"/>
      <c r="S292" s="4"/>
      <c r="T292" s="4"/>
      <c r="U292" s="4"/>
      <c r="V292" s="4"/>
      <c r="W292" s="4"/>
    </row>
    <row x14ac:dyDescent="0.25" r="293" customHeight="1" ht="12.75">
      <c r="A293" s="4"/>
      <c r="B293" s="29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29"/>
      <c r="N293" s="29"/>
      <c r="O293" s="29"/>
      <c r="P293" s="32"/>
      <c r="Q293" s="32"/>
      <c r="R293" s="4"/>
      <c r="S293" s="4"/>
      <c r="T293" s="4"/>
      <c r="U293" s="4"/>
      <c r="V293" s="4"/>
      <c r="W293" s="4"/>
    </row>
    <row x14ac:dyDescent="0.25" r="294" customHeight="1" ht="12.75">
      <c r="A294" s="4"/>
      <c r="B294" s="29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29"/>
      <c r="N294" s="29"/>
      <c r="O294" s="29"/>
      <c r="P294" s="32"/>
      <c r="Q294" s="32"/>
      <c r="R294" s="4"/>
      <c r="S294" s="4"/>
      <c r="T294" s="4"/>
      <c r="U294" s="4"/>
      <c r="V294" s="4"/>
      <c r="W294" s="4"/>
    </row>
    <row x14ac:dyDescent="0.25" r="295" customHeight="1" ht="12.75">
      <c r="A295" s="4"/>
      <c r="B295" s="29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29"/>
      <c r="N295" s="29"/>
      <c r="O295" s="29"/>
      <c r="P295" s="32"/>
      <c r="Q295" s="32"/>
      <c r="R295" s="4"/>
      <c r="S295" s="4"/>
      <c r="T295" s="4"/>
      <c r="U295" s="4"/>
      <c r="V295" s="4"/>
      <c r="W295" s="4"/>
    </row>
    <row x14ac:dyDescent="0.25" r="296" customHeight="1" ht="12.75">
      <c r="A296" s="4"/>
      <c r="B296" s="29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29"/>
      <c r="N296" s="29"/>
      <c r="O296" s="29"/>
      <c r="P296" s="32"/>
      <c r="Q296" s="32"/>
      <c r="R296" s="4"/>
      <c r="S296" s="4"/>
      <c r="T296" s="4"/>
      <c r="U296" s="4"/>
      <c r="V296" s="4"/>
      <c r="W296" s="4"/>
    </row>
    <row x14ac:dyDescent="0.25" r="297" customHeight="1" ht="12.75">
      <c r="A297" s="4"/>
      <c r="B297" s="29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29"/>
      <c r="N297" s="29"/>
      <c r="O297" s="29"/>
      <c r="P297" s="32"/>
      <c r="Q297" s="32"/>
      <c r="R297" s="4"/>
      <c r="S297" s="4"/>
      <c r="T297" s="4"/>
      <c r="U297" s="4"/>
      <c r="V297" s="4"/>
      <c r="W297" s="4"/>
    </row>
    <row x14ac:dyDescent="0.25" r="298" customHeight="1" ht="12.75">
      <c r="A298" s="4"/>
      <c r="B298" s="29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29"/>
      <c r="N298" s="29"/>
      <c r="O298" s="29"/>
      <c r="P298" s="32"/>
      <c r="Q298" s="32"/>
      <c r="R298" s="4"/>
      <c r="S298" s="4"/>
      <c r="T298" s="4"/>
      <c r="U298" s="4"/>
      <c r="V298" s="4"/>
      <c r="W298" s="4"/>
    </row>
    <row x14ac:dyDescent="0.25" r="299" customHeight="1" ht="12.75">
      <c r="A299" s="4"/>
      <c r="B299" s="29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29"/>
      <c r="N299" s="29"/>
      <c r="O299" s="29"/>
      <c r="P299" s="32"/>
      <c r="Q299" s="32"/>
      <c r="R299" s="4"/>
      <c r="S299" s="4"/>
      <c r="T299" s="4"/>
      <c r="U299" s="4"/>
      <c r="V299" s="4"/>
      <c r="W299" s="4"/>
    </row>
    <row x14ac:dyDescent="0.25" r="300" customHeight="1" ht="12.75">
      <c r="A300" s="4"/>
      <c r="B300" s="29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29"/>
      <c r="N300" s="29"/>
      <c r="O300" s="29"/>
      <c r="P300" s="32"/>
      <c r="Q300" s="32"/>
      <c r="R300" s="4"/>
      <c r="S300" s="4"/>
      <c r="T300" s="4"/>
      <c r="U300" s="4"/>
      <c r="V300" s="4"/>
      <c r="W300" s="4"/>
    </row>
    <row x14ac:dyDescent="0.25" r="301" customHeight="1" ht="12.75">
      <c r="A301" s="4"/>
      <c r="B301" s="29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29"/>
      <c r="N301" s="29"/>
      <c r="O301" s="29"/>
      <c r="P301" s="32"/>
      <c r="Q301" s="32"/>
      <c r="R301" s="4"/>
      <c r="S301" s="4"/>
      <c r="T301" s="4"/>
      <c r="U301" s="4"/>
      <c r="V301" s="4"/>
      <c r="W301" s="4"/>
    </row>
    <row x14ac:dyDescent="0.25" r="302" customHeight="1" ht="12.75">
      <c r="A302" s="4"/>
      <c r="B302" s="29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29"/>
      <c r="N302" s="29"/>
      <c r="O302" s="29"/>
      <c r="P302" s="32"/>
      <c r="Q302" s="32"/>
      <c r="R302" s="4"/>
      <c r="S302" s="4"/>
      <c r="T302" s="4"/>
      <c r="U302" s="4"/>
      <c r="V302" s="4"/>
      <c r="W302" s="4"/>
    </row>
    <row x14ac:dyDescent="0.25" r="303" customHeight="1" ht="12.75">
      <c r="A303" s="4"/>
      <c r="B303" s="29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29"/>
      <c r="N303" s="29"/>
      <c r="O303" s="29"/>
      <c r="P303" s="32"/>
      <c r="Q303" s="32"/>
      <c r="R303" s="4"/>
      <c r="S303" s="4"/>
      <c r="T303" s="4"/>
      <c r="U303" s="4"/>
      <c r="V303" s="4"/>
      <c r="W303" s="4"/>
    </row>
    <row x14ac:dyDescent="0.25" r="304" customHeight="1" ht="12.75">
      <c r="A304" s="4"/>
      <c r="B304" s="29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29"/>
      <c r="N304" s="29"/>
      <c r="O304" s="29"/>
      <c r="P304" s="32"/>
      <c r="Q304" s="32"/>
      <c r="R304" s="4"/>
      <c r="S304" s="4"/>
      <c r="T304" s="4"/>
      <c r="U304" s="4"/>
      <c r="V304" s="4"/>
      <c r="W304" s="4"/>
    </row>
    <row x14ac:dyDescent="0.25" r="305" customHeight="1" ht="12.75">
      <c r="A305" s="4"/>
      <c r="B305" s="29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29"/>
      <c r="N305" s="29"/>
      <c r="O305" s="29"/>
      <c r="P305" s="32"/>
      <c r="Q305" s="32"/>
      <c r="R305" s="4"/>
      <c r="S305" s="4"/>
      <c r="T305" s="4"/>
      <c r="U305" s="4"/>
      <c r="V305" s="4"/>
      <c r="W305" s="4"/>
    </row>
    <row x14ac:dyDescent="0.25" r="306" customHeight="1" ht="12.75">
      <c r="A306" s="4"/>
      <c r="B306" s="29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29"/>
      <c r="N306" s="29"/>
      <c r="O306" s="29"/>
      <c r="P306" s="32"/>
      <c r="Q306" s="32"/>
      <c r="R306" s="4"/>
      <c r="S306" s="4"/>
      <c r="T306" s="4"/>
      <c r="U306" s="4"/>
      <c r="V306" s="4"/>
      <c r="W306" s="4"/>
    </row>
    <row x14ac:dyDescent="0.25" r="307" customHeight="1" ht="12.75">
      <c r="A307" s="4"/>
      <c r="B307" s="29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29"/>
      <c r="N307" s="29"/>
      <c r="O307" s="29"/>
      <c r="P307" s="32"/>
      <c r="Q307" s="32"/>
      <c r="R307" s="4"/>
      <c r="S307" s="4"/>
      <c r="T307" s="4"/>
      <c r="U307" s="4"/>
      <c r="V307" s="4"/>
      <c r="W307" s="4"/>
    </row>
    <row x14ac:dyDescent="0.25" r="308" customHeight="1" ht="12.75">
      <c r="A308" s="4"/>
      <c r="B308" s="29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29"/>
      <c r="N308" s="29"/>
      <c r="O308" s="29"/>
      <c r="P308" s="32"/>
      <c r="Q308" s="32"/>
      <c r="R308" s="4"/>
      <c r="S308" s="4"/>
      <c r="T308" s="4"/>
      <c r="U308" s="4"/>
      <c r="V308" s="4"/>
      <c r="W308" s="4"/>
    </row>
    <row x14ac:dyDescent="0.25" r="309" customHeight="1" ht="12.75">
      <c r="A309" s="4"/>
      <c r="B309" s="29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29"/>
      <c r="N309" s="29"/>
      <c r="O309" s="29"/>
      <c r="P309" s="32"/>
      <c r="Q309" s="32"/>
      <c r="R309" s="4"/>
      <c r="S309" s="4"/>
      <c r="T309" s="4"/>
      <c r="U309" s="4"/>
      <c r="V309" s="4"/>
      <c r="W309" s="4"/>
    </row>
    <row x14ac:dyDescent="0.25" r="310" customHeight="1" ht="12.75">
      <c r="A310" s="4"/>
      <c r="B310" s="29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29"/>
      <c r="N310" s="29"/>
      <c r="O310" s="29"/>
      <c r="P310" s="32"/>
      <c r="Q310" s="32"/>
      <c r="R310" s="4"/>
      <c r="S310" s="4"/>
      <c r="T310" s="4"/>
      <c r="U310" s="4"/>
      <c r="V310" s="4"/>
      <c r="W310" s="4"/>
    </row>
    <row x14ac:dyDescent="0.25" r="311" customHeight="1" ht="12.75">
      <c r="A311" s="4"/>
      <c r="B311" s="29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29"/>
      <c r="N311" s="29"/>
      <c r="O311" s="29"/>
      <c r="P311" s="32"/>
      <c r="Q311" s="32"/>
      <c r="R311" s="4"/>
      <c r="S311" s="4"/>
      <c r="T311" s="4"/>
      <c r="U311" s="4"/>
      <c r="V311" s="4"/>
      <c r="W311" s="4"/>
    </row>
    <row x14ac:dyDescent="0.25" r="312" customHeight="1" ht="12.75">
      <c r="A312" s="4"/>
      <c r="B312" s="29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29"/>
      <c r="N312" s="29"/>
      <c r="O312" s="29"/>
      <c r="P312" s="32"/>
      <c r="Q312" s="32"/>
      <c r="R312" s="4"/>
      <c r="S312" s="4"/>
      <c r="T312" s="4"/>
      <c r="U312" s="4"/>
      <c r="V312" s="4"/>
      <c r="W312" s="4"/>
    </row>
    <row x14ac:dyDescent="0.25" r="313" customHeight="1" ht="12.75">
      <c r="A313" s="4"/>
      <c r="B313" s="29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29"/>
      <c r="N313" s="29"/>
      <c r="O313" s="29"/>
      <c r="P313" s="32"/>
      <c r="Q313" s="32"/>
      <c r="R313" s="4"/>
      <c r="S313" s="4"/>
      <c r="T313" s="4"/>
      <c r="U313" s="4"/>
      <c r="V313" s="4"/>
      <c r="W313" s="4"/>
    </row>
    <row x14ac:dyDescent="0.25" r="314" customHeight="1" ht="12.75">
      <c r="A314" s="4"/>
      <c r="B314" s="29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29"/>
      <c r="N314" s="29"/>
      <c r="O314" s="29"/>
      <c r="P314" s="32"/>
      <c r="Q314" s="32"/>
      <c r="R314" s="4"/>
      <c r="S314" s="4"/>
      <c r="T314" s="4"/>
      <c r="U314" s="4"/>
      <c r="V314" s="4"/>
      <c r="W314" s="4"/>
    </row>
    <row x14ac:dyDescent="0.25" r="315" customHeight="1" ht="12.75">
      <c r="A315" s="4"/>
      <c r="B315" s="29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29"/>
      <c r="N315" s="29"/>
      <c r="O315" s="29"/>
      <c r="P315" s="32"/>
      <c r="Q315" s="32"/>
      <c r="R315" s="4"/>
      <c r="S315" s="4"/>
      <c r="T315" s="4"/>
      <c r="U315" s="4"/>
      <c r="V315" s="4"/>
      <c r="W315" s="4"/>
    </row>
    <row x14ac:dyDescent="0.25" r="316" customHeight="1" ht="12.75">
      <c r="A316" s="4"/>
      <c r="B316" s="29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29"/>
      <c r="N316" s="29"/>
      <c r="O316" s="29"/>
      <c r="P316" s="32"/>
      <c r="Q316" s="32"/>
      <c r="R316" s="4"/>
      <c r="S316" s="4"/>
      <c r="T316" s="4"/>
      <c r="U316" s="4"/>
      <c r="V316" s="4"/>
      <c r="W316" s="4"/>
    </row>
    <row x14ac:dyDescent="0.25" r="317" customHeight="1" ht="12.75">
      <c r="A317" s="4"/>
      <c r="B317" s="29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29"/>
      <c r="N317" s="29"/>
      <c r="O317" s="29"/>
      <c r="P317" s="32"/>
      <c r="Q317" s="32"/>
      <c r="R317" s="4"/>
      <c r="S317" s="4"/>
      <c r="T317" s="4"/>
      <c r="U317" s="4"/>
      <c r="V317" s="4"/>
      <c r="W317" s="4"/>
    </row>
    <row x14ac:dyDescent="0.25" r="318" customHeight="1" ht="12.75">
      <c r="A318" s="4"/>
      <c r="B318" s="29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29"/>
      <c r="N318" s="29"/>
      <c r="O318" s="29"/>
      <c r="P318" s="32"/>
      <c r="Q318" s="32"/>
      <c r="R318" s="4"/>
      <c r="S318" s="4"/>
      <c r="T318" s="4"/>
      <c r="U318" s="4"/>
      <c r="V318" s="4"/>
      <c r="W318" s="4"/>
    </row>
    <row x14ac:dyDescent="0.25" r="319" customHeight="1" ht="12.75">
      <c r="A319" s="4"/>
      <c r="B319" s="29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29"/>
      <c r="N319" s="29"/>
      <c r="O319" s="29"/>
      <c r="P319" s="32"/>
      <c r="Q319" s="32"/>
      <c r="R319" s="4"/>
      <c r="S319" s="4"/>
      <c r="T319" s="4"/>
      <c r="U319" s="4"/>
      <c r="V319" s="4"/>
      <c r="W319" s="4"/>
    </row>
    <row x14ac:dyDescent="0.25" r="320" customHeight="1" ht="12.75">
      <c r="A320" s="4"/>
      <c r="B320" s="29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29"/>
      <c r="N320" s="29"/>
      <c r="O320" s="29"/>
      <c r="P320" s="32"/>
      <c r="Q320" s="32"/>
      <c r="R320" s="4"/>
      <c r="S320" s="4"/>
      <c r="T320" s="4"/>
      <c r="U320" s="4"/>
      <c r="V320" s="4"/>
      <c r="W320" s="4"/>
    </row>
    <row x14ac:dyDescent="0.25" r="321" customHeight="1" ht="12.75">
      <c r="A321" s="4"/>
      <c r="B321" s="29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29"/>
      <c r="N321" s="29"/>
      <c r="O321" s="29"/>
      <c r="P321" s="32"/>
      <c r="Q321" s="32"/>
      <c r="R321" s="4"/>
      <c r="S321" s="4"/>
      <c r="T321" s="4"/>
      <c r="U321" s="4"/>
      <c r="V321" s="4"/>
      <c r="W321" s="4"/>
    </row>
    <row x14ac:dyDescent="0.25" r="322" customHeight="1" ht="12.75">
      <c r="A322" s="4"/>
      <c r="B322" s="29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29"/>
      <c r="N322" s="29"/>
      <c r="O322" s="29"/>
      <c r="P322" s="32"/>
      <c r="Q322" s="32"/>
      <c r="R322" s="4"/>
      <c r="S322" s="4"/>
      <c r="T322" s="4"/>
      <c r="U322" s="4"/>
      <c r="V322" s="4"/>
      <c r="W322" s="4"/>
    </row>
    <row x14ac:dyDescent="0.25" r="323" customHeight="1" ht="12.75">
      <c r="A323" s="4"/>
      <c r="B323" s="29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29"/>
      <c r="N323" s="29"/>
      <c r="O323" s="29"/>
      <c r="P323" s="32"/>
      <c r="Q323" s="32"/>
      <c r="R323" s="4"/>
      <c r="S323" s="4"/>
      <c r="T323" s="4"/>
      <c r="U323" s="4"/>
      <c r="V323" s="4"/>
      <c r="W323" s="4"/>
    </row>
    <row x14ac:dyDescent="0.25" r="324" customHeight="1" ht="12.75">
      <c r="A324" s="4"/>
      <c r="B324" s="29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29"/>
      <c r="N324" s="29"/>
      <c r="O324" s="29"/>
      <c r="P324" s="32"/>
      <c r="Q324" s="32"/>
      <c r="R324" s="4"/>
      <c r="S324" s="4"/>
      <c r="T324" s="4"/>
      <c r="U324" s="4"/>
      <c r="V324" s="4"/>
      <c r="W324" s="4"/>
    </row>
    <row x14ac:dyDescent="0.25" r="325" customHeight="1" ht="12.75">
      <c r="A325" s="4"/>
      <c r="B325" s="29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29"/>
      <c r="N325" s="29"/>
      <c r="O325" s="29"/>
      <c r="P325" s="32"/>
      <c r="Q325" s="32"/>
      <c r="R325" s="4"/>
      <c r="S325" s="4"/>
      <c r="T325" s="4"/>
      <c r="U325" s="4"/>
      <c r="V325" s="4"/>
      <c r="W325" s="4"/>
    </row>
    <row x14ac:dyDescent="0.25" r="326" customHeight="1" ht="12.75">
      <c r="A326" s="4"/>
      <c r="B326" s="29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29"/>
      <c r="N326" s="29"/>
      <c r="O326" s="29"/>
      <c r="P326" s="32"/>
      <c r="Q326" s="32"/>
      <c r="R326" s="4"/>
      <c r="S326" s="4"/>
      <c r="T326" s="4"/>
      <c r="U326" s="4"/>
      <c r="V326" s="4"/>
      <c r="W326" s="4"/>
    </row>
    <row x14ac:dyDescent="0.25" r="327" customHeight="1" ht="12.75">
      <c r="A327" s="4"/>
      <c r="B327" s="29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29"/>
      <c r="N327" s="29"/>
      <c r="O327" s="29"/>
      <c r="P327" s="32"/>
      <c r="Q327" s="32"/>
      <c r="R327" s="4"/>
      <c r="S327" s="4"/>
      <c r="T327" s="4"/>
      <c r="U327" s="4"/>
      <c r="V327" s="4"/>
      <c r="W327" s="4"/>
    </row>
    <row x14ac:dyDescent="0.25" r="328" customHeight="1" ht="12.75">
      <c r="A328" s="4"/>
      <c r="B328" s="29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29"/>
      <c r="N328" s="29"/>
      <c r="O328" s="29"/>
      <c r="P328" s="32"/>
      <c r="Q328" s="32"/>
      <c r="R328" s="4"/>
      <c r="S328" s="4"/>
      <c r="T328" s="4"/>
      <c r="U328" s="4"/>
      <c r="V328" s="4"/>
      <c r="W328" s="4"/>
    </row>
    <row x14ac:dyDescent="0.25" r="329" customHeight="1" ht="12.75">
      <c r="A329" s="4"/>
      <c r="B329" s="29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29"/>
      <c r="N329" s="29"/>
      <c r="O329" s="29"/>
      <c r="P329" s="32"/>
      <c r="Q329" s="32"/>
      <c r="R329" s="4"/>
      <c r="S329" s="4"/>
      <c r="T329" s="4"/>
      <c r="U329" s="4"/>
      <c r="V329" s="4"/>
      <c r="W329" s="4"/>
    </row>
    <row x14ac:dyDescent="0.25" r="330" customHeight="1" ht="12.75">
      <c r="A330" s="4"/>
      <c r="B330" s="29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29"/>
      <c r="N330" s="29"/>
      <c r="O330" s="29"/>
      <c r="P330" s="32"/>
      <c r="Q330" s="32"/>
      <c r="R330" s="4"/>
      <c r="S330" s="4"/>
      <c r="T330" s="4"/>
      <c r="U330" s="4"/>
      <c r="V330" s="4"/>
      <c r="W330" s="4"/>
    </row>
    <row x14ac:dyDescent="0.25" r="331" customHeight="1" ht="12.75">
      <c r="A331" s="4"/>
      <c r="B331" s="29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29"/>
      <c r="N331" s="29"/>
      <c r="O331" s="29"/>
      <c r="P331" s="32"/>
      <c r="Q331" s="32"/>
      <c r="R331" s="4"/>
      <c r="S331" s="4"/>
      <c r="T331" s="4"/>
      <c r="U331" s="4"/>
      <c r="V331" s="4"/>
      <c r="W331" s="4"/>
    </row>
    <row x14ac:dyDescent="0.25" r="332" customHeight="1" ht="12.75">
      <c r="A332" s="4"/>
      <c r="B332" s="29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29"/>
      <c r="N332" s="29"/>
      <c r="O332" s="29"/>
      <c r="P332" s="32"/>
      <c r="Q332" s="32"/>
      <c r="R332" s="4"/>
      <c r="S332" s="4"/>
      <c r="T332" s="4"/>
      <c r="U332" s="4"/>
      <c r="V332" s="4"/>
      <c r="W332" s="4"/>
    </row>
    <row x14ac:dyDescent="0.25" r="333" customHeight="1" ht="12.75">
      <c r="A333" s="4"/>
      <c r="B333" s="29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29"/>
      <c r="N333" s="29"/>
      <c r="O333" s="29"/>
      <c r="P333" s="32"/>
      <c r="Q333" s="32"/>
      <c r="R333" s="4"/>
      <c r="S333" s="4"/>
      <c r="T333" s="4"/>
      <c r="U333" s="4"/>
      <c r="V333" s="4"/>
      <c r="W333" s="4"/>
    </row>
    <row x14ac:dyDescent="0.25" r="334" customHeight="1" ht="12.75">
      <c r="A334" s="4"/>
      <c r="B334" s="29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29"/>
      <c r="N334" s="29"/>
      <c r="O334" s="29"/>
      <c r="P334" s="32"/>
      <c r="Q334" s="32"/>
      <c r="R334" s="4"/>
      <c r="S334" s="4"/>
      <c r="T334" s="4"/>
      <c r="U334" s="4"/>
      <c r="V334" s="4"/>
      <c r="W334" s="4"/>
    </row>
    <row x14ac:dyDescent="0.25" r="335" customHeight="1" ht="12.75">
      <c r="A335" s="4"/>
      <c r="B335" s="29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29"/>
      <c r="N335" s="29"/>
      <c r="O335" s="29"/>
      <c r="P335" s="32"/>
      <c r="Q335" s="32"/>
      <c r="R335" s="4"/>
      <c r="S335" s="4"/>
      <c r="T335" s="4"/>
      <c r="U335" s="4"/>
      <c r="V335" s="4"/>
      <c r="W335" s="4"/>
    </row>
    <row x14ac:dyDescent="0.25" r="336" customHeight="1" ht="12.75">
      <c r="A336" s="4"/>
      <c r="B336" s="29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29"/>
      <c r="N336" s="29"/>
      <c r="O336" s="29"/>
      <c r="P336" s="32"/>
      <c r="Q336" s="32"/>
      <c r="R336" s="4"/>
      <c r="S336" s="4"/>
      <c r="T336" s="4"/>
      <c r="U336" s="4"/>
      <c r="V336" s="4"/>
      <c r="W336" s="4"/>
    </row>
    <row x14ac:dyDescent="0.25" r="337" customHeight="1" ht="12.75">
      <c r="A337" s="4"/>
      <c r="B337" s="29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29"/>
      <c r="N337" s="29"/>
      <c r="O337" s="29"/>
      <c r="P337" s="32"/>
      <c r="Q337" s="32"/>
      <c r="R337" s="4"/>
      <c r="S337" s="4"/>
      <c r="T337" s="4"/>
      <c r="U337" s="4"/>
      <c r="V337" s="4"/>
      <c r="W337" s="4"/>
    </row>
    <row x14ac:dyDescent="0.25" r="338" customHeight="1" ht="12.75">
      <c r="A338" s="4"/>
      <c r="B338" s="29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29"/>
      <c r="N338" s="29"/>
      <c r="O338" s="29"/>
      <c r="P338" s="32"/>
      <c r="Q338" s="32"/>
      <c r="R338" s="4"/>
      <c r="S338" s="4"/>
      <c r="T338" s="4"/>
      <c r="U338" s="4"/>
      <c r="V338" s="4"/>
      <c r="W338" s="4"/>
    </row>
    <row x14ac:dyDescent="0.25" r="339" customHeight="1" ht="12.75">
      <c r="A339" s="4"/>
      <c r="B339" s="29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29"/>
      <c r="N339" s="29"/>
      <c r="O339" s="29"/>
      <c r="P339" s="32"/>
      <c r="Q339" s="32"/>
      <c r="R339" s="4"/>
      <c r="S339" s="4"/>
      <c r="T339" s="4"/>
      <c r="U339" s="4"/>
      <c r="V339" s="4"/>
      <c r="W339" s="4"/>
    </row>
    <row x14ac:dyDescent="0.25" r="340" customHeight="1" ht="12.75">
      <c r="A340" s="4"/>
      <c r="B340" s="29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29"/>
      <c r="N340" s="29"/>
      <c r="O340" s="29"/>
      <c r="P340" s="32"/>
      <c r="Q340" s="32"/>
      <c r="R340" s="4"/>
      <c r="S340" s="4"/>
      <c r="T340" s="4"/>
      <c r="U340" s="4"/>
      <c r="V340" s="4"/>
      <c r="W340" s="4"/>
    </row>
    <row x14ac:dyDescent="0.25" r="341" customHeight="1" ht="12.75">
      <c r="A341" s="4"/>
      <c r="B341" s="29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29"/>
      <c r="N341" s="29"/>
      <c r="O341" s="29"/>
      <c r="P341" s="32"/>
      <c r="Q341" s="32"/>
      <c r="R341" s="4"/>
      <c r="S341" s="4"/>
      <c r="T341" s="4"/>
      <c r="U341" s="4"/>
      <c r="V341" s="4"/>
      <c r="W341" s="4"/>
    </row>
    <row x14ac:dyDescent="0.25" r="342" customHeight="1" ht="12.75">
      <c r="A342" s="4"/>
      <c r="B342" s="29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29"/>
      <c r="N342" s="29"/>
      <c r="O342" s="29"/>
      <c r="P342" s="32"/>
      <c r="Q342" s="32"/>
      <c r="R342" s="4"/>
      <c r="S342" s="4"/>
      <c r="T342" s="4"/>
      <c r="U342" s="4"/>
      <c r="V342" s="4"/>
      <c r="W342" s="4"/>
    </row>
    <row x14ac:dyDescent="0.25" r="343" customHeight="1" ht="12.75">
      <c r="A343" s="4"/>
      <c r="B343" s="29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29"/>
      <c r="N343" s="29"/>
      <c r="O343" s="29"/>
      <c r="P343" s="32"/>
      <c r="Q343" s="32"/>
      <c r="R343" s="4"/>
      <c r="S343" s="4"/>
      <c r="T343" s="4"/>
      <c r="U343" s="4"/>
      <c r="V343" s="4"/>
      <c r="W343" s="4"/>
    </row>
    <row x14ac:dyDescent="0.25" r="344" customHeight="1" ht="12.75">
      <c r="A344" s="4"/>
      <c r="B344" s="29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29"/>
      <c r="N344" s="29"/>
      <c r="O344" s="29"/>
      <c r="P344" s="32"/>
      <c r="Q344" s="32"/>
      <c r="R344" s="4"/>
      <c r="S344" s="4"/>
      <c r="T344" s="4"/>
      <c r="U344" s="4"/>
      <c r="V344" s="4"/>
      <c r="W344" s="4"/>
    </row>
    <row x14ac:dyDescent="0.25" r="345" customHeight="1" ht="12.75">
      <c r="A345" s="4"/>
      <c r="B345" s="29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29"/>
      <c r="N345" s="29"/>
      <c r="O345" s="29"/>
      <c r="P345" s="32"/>
      <c r="Q345" s="32"/>
      <c r="R345" s="4"/>
      <c r="S345" s="4"/>
      <c r="T345" s="4"/>
      <c r="U345" s="4"/>
      <c r="V345" s="4"/>
      <c r="W345" s="4"/>
    </row>
    <row x14ac:dyDescent="0.25" r="346" customHeight="1" ht="12.75">
      <c r="A346" s="4"/>
      <c r="B346" s="29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29"/>
      <c r="N346" s="29"/>
      <c r="O346" s="29"/>
      <c r="P346" s="32"/>
      <c r="Q346" s="32"/>
      <c r="R346" s="4"/>
      <c r="S346" s="4"/>
      <c r="T346" s="4"/>
      <c r="U346" s="4"/>
      <c r="V346" s="4"/>
      <c r="W346" s="4"/>
    </row>
    <row x14ac:dyDescent="0.25" r="347" customHeight="1" ht="12.75">
      <c r="A347" s="4"/>
      <c r="B347" s="29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29"/>
      <c r="N347" s="29"/>
      <c r="O347" s="29"/>
      <c r="P347" s="32"/>
      <c r="Q347" s="32"/>
      <c r="R347" s="4"/>
      <c r="S347" s="4"/>
      <c r="T347" s="4"/>
      <c r="U347" s="4"/>
      <c r="V347" s="4"/>
      <c r="W347" s="4"/>
    </row>
    <row x14ac:dyDescent="0.25" r="348" customHeight="1" ht="12.75">
      <c r="A348" s="4"/>
      <c r="B348" s="29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29"/>
      <c r="N348" s="29"/>
      <c r="O348" s="29"/>
      <c r="P348" s="32"/>
      <c r="Q348" s="32"/>
      <c r="R348" s="4"/>
      <c r="S348" s="4"/>
      <c r="T348" s="4"/>
      <c r="U348" s="4"/>
      <c r="V348" s="4"/>
      <c r="W348" s="4"/>
    </row>
    <row x14ac:dyDescent="0.25" r="349" customHeight="1" ht="12.75">
      <c r="A349" s="4"/>
      <c r="B349" s="29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29"/>
      <c r="N349" s="29"/>
      <c r="O349" s="29"/>
      <c r="P349" s="32"/>
      <c r="Q349" s="32"/>
      <c r="R349" s="4"/>
      <c r="S349" s="4"/>
      <c r="T349" s="4"/>
      <c r="U349" s="4"/>
      <c r="V349" s="4"/>
      <c r="W349" s="4"/>
    </row>
    <row x14ac:dyDescent="0.25" r="350" customHeight="1" ht="12.75">
      <c r="A350" s="4"/>
      <c r="B350" s="29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29"/>
      <c r="N350" s="29"/>
      <c r="O350" s="29"/>
      <c r="P350" s="32"/>
      <c r="Q350" s="32"/>
      <c r="R350" s="4"/>
      <c r="S350" s="4"/>
      <c r="T350" s="4"/>
      <c r="U350" s="4"/>
      <c r="V350" s="4"/>
      <c r="W350" s="4"/>
    </row>
    <row x14ac:dyDescent="0.25" r="351" customHeight="1" ht="12.75">
      <c r="A351" s="4"/>
      <c r="B351" s="29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29"/>
      <c r="N351" s="29"/>
      <c r="O351" s="29"/>
      <c r="P351" s="32"/>
      <c r="Q351" s="32"/>
      <c r="R351" s="4"/>
      <c r="S351" s="4"/>
      <c r="T351" s="4"/>
      <c r="U351" s="4"/>
      <c r="V351" s="4"/>
      <c r="W351" s="4"/>
    </row>
    <row x14ac:dyDescent="0.25" r="352" customHeight="1" ht="12.75">
      <c r="A352" s="4"/>
      <c r="B352" s="29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29"/>
      <c r="N352" s="29"/>
      <c r="O352" s="29"/>
      <c r="P352" s="32"/>
      <c r="Q352" s="32"/>
      <c r="R352" s="4"/>
      <c r="S352" s="4"/>
      <c r="T352" s="4"/>
      <c r="U352" s="4"/>
      <c r="V352" s="4"/>
      <c r="W352" s="4"/>
    </row>
    <row x14ac:dyDescent="0.25" r="353" customHeight="1" ht="12.75">
      <c r="A353" s="4"/>
      <c r="B353" s="29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29"/>
      <c r="N353" s="29"/>
      <c r="O353" s="29"/>
      <c r="P353" s="32"/>
      <c r="Q353" s="32"/>
      <c r="R353" s="4"/>
      <c r="S353" s="4"/>
      <c r="T353" s="4"/>
      <c r="U353" s="4"/>
      <c r="V353" s="4"/>
      <c r="W353" s="4"/>
    </row>
    <row x14ac:dyDescent="0.25" r="354" customHeight="1" ht="12.75">
      <c r="A354" s="4"/>
      <c r="B354" s="29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29"/>
      <c r="N354" s="29"/>
      <c r="O354" s="29"/>
      <c r="P354" s="32"/>
      <c r="Q354" s="32"/>
      <c r="R354" s="4"/>
      <c r="S354" s="4"/>
      <c r="T354" s="4"/>
      <c r="U354" s="4"/>
      <c r="V354" s="4"/>
      <c r="W354" s="4"/>
    </row>
    <row x14ac:dyDescent="0.25" r="355" customHeight="1" ht="12.75">
      <c r="A355" s="4"/>
      <c r="B355" s="29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29"/>
      <c r="N355" s="29"/>
      <c r="O355" s="29"/>
      <c r="P355" s="32"/>
      <c r="Q355" s="32"/>
      <c r="R355" s="4"/>
      <c r="S355" s="4"/>
      <c r="T355" s="4"/>
      <c r="U355" s="4"/>
      <c r="V355" s="4"/>
      <c r="W355" s="4"/>
    </row>
    <row x14ac:dyDescent="0.25" r="356" customHeight="1" ht="12.75">
      <c r="A356" s="4"/>
      <c r="B356" s="29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29"/>
      <c r="N356" s="29"/>
      <c r="O356" s="29"/>
      <c r="P356" s="32"/>
      <c r="Q356" s="32"/>
      <c r="R356" s="4"/>
      <c r="S356" s="4"/>
      <c r="T356" s="4"/>
      <c r="U356" s="4"/>
      <c r="V356" s="4"/>
      <c r="W356" s="4"/>
    </row>
    <row x14ac:dyDescent="0.25" r="357" customHeight="1" ht="12.75">
      <c r="A357" s="4"/>
      <c r="B357" s="29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29"/>
      <c r="N357" s="29"/>
      <c r="O357" s="29"/>
      <c r="P357" s="32"/>
      <c r="Q357" s="32"/>
      <c r="R357" s="4"/>
      <c r="S357" s="4"/>
      <c r="T357" s="4"/>
      <c r="U357" s="4"/>
      <c r="V357" s="4"/>
      <c r="W357" s="4"/>
    </row>
    <row x14ac:dyDescent="0.25" r="358" customHeight="1" ht="12.75">
      <c r="A358" s="4"/>
      <c r="B358" s="29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29"/>
      <c r="N358" s="29"/>
      <c r="O358" s="29"/>
      <c r="P358" s="32"/>
      <c r="Q358" s="32"/>
      <c r="R358" s="4"/>
      <c r="S358" s="4"/>
      <c r="T358" s="4"/>
      <c r="U358" s="4"/>
      <c r="V358" s="4"/>
      <c r="W358" s="4"/>
    </row>
    <row x14ac:dyDescent="0.25" r="359" customHeight="1" ht="12.75">
      <c r="A359" s="4"/>
      <c r="B359" s="29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29"/>
      <c r="N359" s="29"/>
      <c r="O359" s="29"/>
      <c r="P359" s="32"/>
      <c r="Q359" s="32"/>
      <c r="R359" s="4"/>
      <c r="S359" s="4"/>
      <c r="T359" s="4"/>
      <c r="U359" s="4"/>
      <c r="V359" s="4"/>
      <c r="W359" s="4"/>
    </row>
    <row x14ac:dyDescent="0.25" r="360" customHeight="1" ht="12.75">
      <c r="A360" s="4"/>
      <c r="B360" s="29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29"/>
      <c r="N360" s="29"/>
      <c r="O360" s="29"/>
      <c r="P360" s="32"/>
      <c r="Q360" s="32"/>
      <c r="R360" s="4"/>
      <c r="S360" s="4"/>
      <c r="T360" s="4"/>
      <c r="U360" s="4"/>
      <c r="V360" s="4"/>
      <c r="W360" s="4"/>
    </row>
    <row x14ac:dyDescent="0.25" r="361" customHeight="1" ht="12.75">
      <c r="A361" s="4"/>
      <c r="B361" s="29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29"/>
      <c r="N361" s="29"/>
      <c r="O361" s="29"/>
      <c r="P361" s="32"/>
      <c r="Q361" s="32"/>
      <c r="R361" s="4"/>
      <c r="S361" s="4"/>
      <c r="T361" s="4"/>
      <c r="U361" s="4"/>
      <c r="V361" s="4"/>
      <c r="W361" s="4"/>
    </row>
    <row x14ac:dyDescent="0.25" r="362" customHeight="1" ht="12.75">
      <c r="A362" s="4"/>
      <c r="B362" s="29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29"/>
      <c r="N362" s="29"/>
      <c r="O362" s="29"/>
      <c r="P362" s="32"/>
      <c r="Q362" s="32"/>
      <c r="R362" s="4"/>
      <c r="S362" s="4"/>
      <c r="T362" s="4"/>
      <c r="U362" s="4"/>
      <c r="V362" s="4"/>
      <c r="W362" s="4"/>
    </row>
    <row x14ac:dyDescent="0.25" r="363" customHeight="1" ht="12.75">
      <c r="A363" s="4"/>
      <c r="B363" s="29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29"/>
      <c r="N363" s="29"/>
      <c r="O363" s="29"/>
      <c r="P363" s="32"/>
      <c r="Q363" s="32"/>
      <c r="R363" s="4"/>
      <c r="S363" s="4"/>
      <c r="T363" s="4"/>
      <c r="U363" s="4"/>
      <c r="V363" s="4"/>
      <c r="W363" s="4"/>
    </row>
    <row x14ac:dyDescent="0.25" r="364" customHeight="1" ht="12.75">
      <c r="A364" s="4"/>
      <c r="B364" s="29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29"/>
      <c r="N364" s="29"/>
      <c r="O364" s="29"/>
      <c r="P364" s="32"/>
      <c r="Q364" s="32"/>
      <c r="R364" s="4"/>
      <c r="S364" s="4"/>
      <c r="T364" s="4"/>
      <c r="U364" s="4"/>
      <c r="V364" s="4"/>
      <c r="W364" s="4"/>
    </row>
    <row x14ac:dyDescent="0.25" r="365" customHeight="1" ht="12.75">
      <c r="A365" s="4"/>
      <c r="B365" s="29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29"/>
      <c r="N365" s="29"/>
      <c r="O365" s="29"/>
      <c r="P365" s="32"/>
      <c r="Q365" s="32"/>
      <c r="R365" s="4"/>
      <c r="S365" s="4"/>
      <c r="T365" s="4"/>
      <c r="U365" s="4"/>
      <c r="V365" s="4"/>
      <c r="W365" s="4"/>
    </row>
    <row x14ac:dyDescent="0.25" r="366" customHeight="1" ht="12.75">
      <c r="A366" s="4"/>
      <c r="B366" s="29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29"/>
      <c r="N366" s="29"/>
      <c r="O366" s="29"/>
      <c r="P366" s="32"/>
      <c r="Q366" s="32"/>
      <c r="R366" s="4"/>
      <c r="S366" s="4"/>
      <c r="T366" s="4"/>
      <c r="U366" s="4"/>
      <c r="V366" s="4"/>
      <c r="W366" s="4"/>
    </row>
    <row x14ac:dyDescent="0.25" r="367" customHeight="1" ht="12.75">
      <c r="A367" s="4"/>
      <c r="B367" s="29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29"/>
      <c r="N367" s="29"/>
      <c r="O367" s="29"/>
      <c r="P367" s="32"/>
      <c r="Q367" s="32"/>
      <c r="R367" s="4"/>
      <c r="S367" s="4"/>
      <c r="T367" s="4"/>
      <c r="U367" s="4"/>
      <c r="V367" s="4"/>
      <c r="W367" s="4"/>
    </row>
    <row x14ac:dyDescent="0.25" r="368" customHeight="1" ht="12.75">
      <c r="A368" s="4"/>
      <c r="B368" s="29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29"/>
      <c r="N368" s="29"/>
      <c r="O368" s="29"/>
      <c r="P368" s="32"/>
      <c r="Q368" s="32"/>
      <c r="R368" s="4"/>
      <c r="S368" s="4"/>
      <c r="T368" s="4"/>
      <c r="U368" s="4"/>
      <c r="V368" s="4"/>
      <c r="W368" s="4"/>
    </row>
    <row x14ac:dyDescent="0.25" r="369" customHeight="1" ht="12.75">
      <c r="A369" s="4"/>
      <c r="B369" s="29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29"/>
      <c r="N369" s="29"/>
      <c r="O369" s="29"/>
      <c r="P369" s="32"/>
      <c r="Q369" s="32"/>
      <c r="R369" s="4"/>
      <c r="S369" s="4"/>
      <c r="T369" s="4"/>
      <c r="U369" s="4"/>
      <c r="V369" s="4"/>
      <c r="W369" s="4"/>
    </row>
    <row x14ac:dyDescent="0.25" r="370" customHeight="1" ht="12.75">
      <c r="A370" s="4"/>
      <c r="B370" s="29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29"/>
      <c r="N370" s="29"/>
      <c r="O370" s="29"/>
      <c r="P370" s="32"/>
      <c r="Q370" s="32"/>
      <c r="R370" s="4"/>
      <c r="S370" s="4"/>
      <c r="T370" s="4"/>
      <c r="U370" s="4"/>
      <c r="V370" s="4"/>
      <c r="W370" s="4"/>
    </row>
    <row x14ac:dyDescent="0.25" r="371" customHeight="1" ht="12.75">
      <c r="A371" s="4"/>
      <c r="B371" s="29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29"/>
      <c r="N371" s="29"/>
      <c r="O371" s="29"/>
      <c r="P371" s="32"/>
      <c r="Q371" s="32"/>
      <c r="R371" s="4"/>
      <c r="S371" s="4"/>
      <c r="T371" s="4"/>
      <c r="U371" s="4"/>
      <c r="V371" s="4"/>
      <c r="W371" s="4"/>
    </row>
    <row x14ac:dyDescent="0.25" r="372" customHeight="1" ht="12.75">
      <c r="A372" s="4"/>
      <c r="B372" s="29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29"/>
      <c r="N372" s="29"/>
      <c r="O372" s="29"/>
      <c r="P372" s="32"/>
      <c r="Q372" s="32"/>
      <c r="R372" s="4"/>
      <c r="S372" s="4"/>
      <c r="T372" s="4"/>
      <c r="U372" s="4"/>
      <c r="V372" s="4"/>
      <c r="W372" s="4"/>
    </row>
    <row x14ac:dyDescent="0.25" r="373" customHeight="1" ht="12.75">
      <c r="A373" s="4"/>
      <c r="B373" s="29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29"/>
      <c r="N373" s="29"/>
      <c r="O373" s="29"/>
      <c r="P373" s="32"/>
      <c r="Q373" s="32"/>
      <c r="R373" s="4"/>
      <c r="S373" s="4"/>
      <c r="T373" s="4"/>
      <c r="U373" s="4"/>
      <c r="V373" s="4"/>
      <c r="W373" s="4"/>
    </row>
    <row x14ac:dyDescent="0.25" r="374" customHeight="1" ht="12.75">
      <c r="A374" s="4"/>
      <c r="B374" s="29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29"/>
      <c r="N374" s="29"/>
      <c r="O374" s="29"/>
      <c r="P374" s="32"/>
      <c r="Q374" s="32"/>
      <c r="R374" s="4"/>
      <c r="S374" s="4"/>
      <c r="T374" s="4"/>
      <c r="U374" s="4"/>
      <c r="V374" s="4"/>
      <c r="W374" s="4"/>
    </row>
    <row x14ac:dyDescent="0.25" r="375" customHeight="1" ht="12.75">
      <c r="A375" s="4"/>
      <c r="B375" s="29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29"/>
      <c r="N375" s="29"/>
      <c r="O375" s="29"/>
      <c r="P375" s="32"/>
      <c r="Q375" s="32"/>
      <c r="R375" s="4"/>
      <c r="S375" s="4"/>
      <c r="T375" s="4"/>
      <c r="U375" s="4"/>
      <c r="V375" s="4"/>
      <c r="W375" s="4"/>
    </row>
    <row x14ac:dyDescent="0.25" r="376" customHeight="1" ht="12.75">
      <c r="A376" s="4"/>
      <c r="B376" s="29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29"/>
      <c r="N376" s="29"/>
      <c r="O376" s="29"/>
      <c r="P376" s="32"/>
      <c r="Q376" s="32"/>
      <c r="R376" s="4"/>
      <c r="S376" s="4"/>
      <c r="T376" s="4"/>
      <c r="U376" s="4"/>
      <c r="V376" s="4"/>
      <c r="W376" s="4"/>
    </row>
    <row x14ac:dyDescent="0.25" r="377" customHeight="1" ht="12.75">
      <c r="A377" s="4"/>
      <c r="B377" s="29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29"/>
      <c r="N377" s="29"/>
      <c r="O377" s="29"/>
      <c r="P377" s="32"/>
      <c r="Q377" s="32"/>
      <c r="R377" s="4"/>
      <c r="S377" s="4"/>
      <c r="T377" s="4"/>
      <c r="U377" s="4"/>
      <c r="V377" s="4"/>
      <c r="W377" s="4"/>
    </row>
    <row x14ac:dyDescent="0.25" r="378" customHeight="1" ht="12.75">
      <c r="A378" s="4"/>
      <c r="B378" s="29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29"/>
      <c r="N378" s="29"/>
      <c r="O378" s="29"/>
      <c r="P378" s="32"/>
      <c r="Q378" s="32"/>
      <c r="R378" s="4"/>
      <c r="S378" s="4"/>
      <c r="T378" s="4"/>
      <c r="U378" s="4"/>
      <c r="V378" s="4"/>
      <c r="W378" s="4"/>
    </row>
    <row x14ac:dyDescent="0.25" r="379" customHeight="1" ht="12.75">
      <c r="A379" s="4"/>
      <c r="B379" s="29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29"/>
      <c r="N379" s="29"/>
      <c r="O379" s="29"/>
      <c r="P379" s="32"/>
      <c r="Q379" s="32"/>
      <c r="R379" s="4"/>
      <c r="S379" s="4"/>
      <c r="T379" s="4"/>
      <c r="U379" s="4"/>
      <c r="V379" s="4"/>
      <c r="W379" s="4"/>
    </row>
    <row x14ac:dyDescent="0.25" r="380" customHeight="1" ht="12.75">
      <c r="A380" s="4"/>
      <c r="B380" s="29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29"/>
      <c r="N380" s="29"/>
      <c r="O380" s="29"/>
      <c r="P380" s="32"/>
      <c r="Q380" s="32"/>
      <c r="R380" s="4"/>
      <c r="S380" s="4"/>
      <c r="T380" s="4"/>
      <c r="U380" s="4"/>
      <c r="V380" s="4"/>
      <c r="W380" s="4"/>
    </row>
    <row x14ac:dyDescent="0.25" r="381" customHeight="1" ht="12.75">
      <c r="A381" s="4"/>
      <c r="B381" s="29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29"/>
      <c r="N381" s="29"/>
      <c r="O381" s="29"/>
      <c r="P381" s="32"/>
      <c r="Q381" s="32"/>
      <c r="R381" s="4"/>
      <c r="S381" s="4"/>
      <c r="T381" s="4"/>
      <c r="U381" s="4"/>
      <c r="V381" s="4"/>
      <c r="W381" s="4"/>
    </row>
    <row x14ac:dyDescent="0.25" r="382" customHeight="1" ht="12.75">
      <c r="A382" s="4"/>
      <c r="B382" s="29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29"/>
      <c r="N382" s="29"/>
      <c r="O382" s="29"/>
      <c r="P382" s="32"/>
      <c r="Q382" s="32"/>
      <c r="R382" s="4"/>
      <c r="S382" s="4"/>
      <c r="T382" s="4"/>
      <c r="U382" s="4"/>
      <c r="V382" s="4"/>
      <c r="W382" s="4"/>
    </row>
    <row x14ac:dyDescent="0.25" r="383" customHeight="1" ht="12.75">
      <c r="A383" s="4"/>
      <c r="B383" s="29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29"/>
      <c r="N383" s="29"/>
      <c r="O383" s="29"/>
      <c r="P383" s="32"/>
      <c r="Q383" s="32"/>
      <c r="R383" s="4"/>
      <c r="S383" s="4"/>
      <c r="T383" s="4"/>
      <c r="U383" s="4"/>
      <c r="V383" s="4"/>
      <c r="W383" s="4"/>
    </row>
    <row x14ac:dyDescent="0.25" r="384" customHeight="1" ht="12.75">
      <c r="A384" s="4"/>
      <c r="B384" s="29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29"/>
      <c r="N384" s="29"/>
      <c r="O384" s="29"/>
      <c r="P384" s="32"/>
      <c r="Q384" s="32"/>
      <c r="R384" s="4"/>
      <c r="S384" s="4"/>
      <c r="T384" s="4"/>
      <c r="U384" s="4"/>
      <c r="V384" s="4"/>
      <c r="W384" s="4"/>
    </row>
    <row x14ac:dyDescent="0.25" r="385" customHeight="1" ht="12.75">
      <c r="A385" s="4"/>
      <c r="B385" s="29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29"/>
      <c r="N385" s="29"/>
      <c r="O385" s="29"/>
      <c r="P385" s="32"/>
      <c r="Q385" s="32"/>
      <c r="R385" s="4"/>
      <c r="S385" s="4"/>
      <c r="T385" s="4"/>
      <c r="U385" s="4"/>
      <c r="V385" s="4"/>
      <c r="W385" s="4"/>
    </row>
    <row x14ac:dyDescent="0.25" r="386" customHeight="1" ht="12.75">
      <c r="A386" s="4"/>
      <c r="B386" s="29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29"/>
      <c r="N386" s="29"/>
      <c r="O386" s="29"/>
      <c r="P386" s="32"/>
      <c r="Q386" s="32"/>
      <c r="R386" s="4"/>
      <c r="S386" s="4"/>
      <c r="T386" s="4"/>
      <c r="U386" s="4"/>
      <c r="V386" s="4"/>
      <c r="W386" s="4"/>
    </row>
    <row x14ac:dyDescent="0.25" r="387" customHeight="1" ht="12.75">
      <c r="A387" s="4"/>
      <c r="B387" s="29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29"/>
      <c r="N387" s="29"/>
      <c r="O387" s="29"/>
      <c r="P387" s="32"/>
      <c r="Q387" s="32"/>
      <c r="R387" s="4"/>
      <c r="S387" s="4"/>
      <c r="T387" s="4"/>
      <c r="U387" s="4"/>
      <c r="V387" s="4"/>
      <c r="W387" s="4"/>
    </row>
    <row x14ac:dyDescent="0.25" r="388" customHeight="1" ht="12.75">
      <c r="A388" s="4"/>
      <c r="B388" s="29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29"/>
      <c r="N388" s="29"/>
      <c r="O388" s="29"/>
      <c r="P388" s="32"/>
      <c r="Q388" s="32"/>
      <c r="R388" s="4"/>
      <c r="S388" s="4"/>
      <c r="T388" s="4"/>
      <c r="U388" s="4"/>
      <c r="V388" s="4"/>
      <c r="W388" s="4"/>
    </row>
    <row x14ac:dyDescent="0.25" r="389" customHeight="1" ht="12.75">
      <c r="A389" s="4"/>
      <c r="B389" s="29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29"/>
      <c r="N389" s="29"/>
      <c r="O389" s="29"/>
      <c r="P389" s="32"/>
      <c r="Q389" s="32"/>
      <c r="R389" s="4"/>
      <c r="S389" s="4"/>
      <c r="T389" s="4"/>
      <c r="U389" s="4"/>
      <c r="V389" s="4"/>
      <c r="W389" s="4"/>
    </row>
    <row x14ac:dyDescent="0.25" r="390" customHeight="1" ht="12.75">
      <c r="A390" s="4"/>
      <c r="B390" s="29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29"/>
      <c r="N390" s="29"/>
      <c r="O390" s="29"/>
      <c r="P390" s="32"/>
      <c r="Q390" s="32"/>
      <c r="R390" s="4"/>
      <c r="S390" s="4"/>
      <c r="T390" s="4"/>
      <c r="U390" s="4"/>
      <c r="V390" s="4"/>
      <c r="W390" s="4"/>
    </row>
    <row x14ac:dyDescent="0.25" r="391" customHeight="1" ht="12.75">
      <c r="A391" s="4"/>
      <c r="B391" s="29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29"/>
      <c r="N391" s="29"/>
      <c r="O391" s="29"/>
      <c r="P391" s="32"/>
      <c r="Q391" s="32"/>
      <c r="R391" s="4"/>
      <c r="S391" s="4"/>
      <c r="T391" s="4"/>
      <c r="U391" s="4"/>
      <c r="V391" s="4"/>
      <c r="W391" s="4"/>
    </row>
    <row x14ac:dyDescent="0.25" r="392" customHeight="1" ht="12.75">
      <c r="A392" s="4"/>
      <c r="B392" s="29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29"/>
      <c r="N392" s="29"/>
      <c r="O392" s="29"/>
      <c r="P392" s="32"/>
      <c r="Q392" s="32"/>
      <c r="R392" s="4"/>
      <c r="S392" s="4"/>
      <c r="T392" s="4"/>
      <c r="U392" s="4"/>
      <c r="V392" s="4"/>
      <c r="W392" s="4"/>
    </row>
    <row x14ac:dyDescent="0.25" r="393" customHeight="1" ht="12.75">
      <c r="A393" s="4"/>
      <c r="B393" s="29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29"/>
      <c r="N393" s="29"/>
      <c r="O393" s="29"/>
      <c r="P393" s="32"/>
      <c r="Q393" s="32"/>
      <c r="R393" s="4"/>
      <c r="S393" s="4"/>
      <c r="T393" s="4"/>
      <c r="U393" s="4"/>
      <c r="V393" s="4"/>
      <c r="W393" s="4"/>
    </row>
    <row x14ac:dyDescent="0.25" r="394" customHeight="1" ht="12.75">
      <c r="A394" s="4"/>
      <c r="B394" s="29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29"/>
      <c r="N394" s="29"/>
      <c r="O394" s="29"/>
      <c r="P394" s="32"/>
      <c r="Q394" s="32"/>
      <c r="R394" s="4"/>
      <c r="S394" s="4"/>
      <c r="T394" s="4"/>
      <c r="U394" s="4"/>
      <c r="V394" s="4"/>
      <c r="W394" s="4"/>
    </row>
    <row x14ac:dyDescent="0.25" r="395" customHeight="1" ht="12.75">
      <c r="A395" s="4"/>
      <c r="B395" s="29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29"/>
      <c r="N395" s="29"/>
      <c r="O395" s="29"/>
      <c r="P395" s="32"/>
      <c r="Q395" s="32"/>
      <c r="R395" s="4"/>
      <c r="S395" s="4"/>
      <c r="T395" s="4"/>
      <c r="U395" s="4"/>
      <c r="V395" s="4"/>
      <c r="W395" s="4"/>
    </row>
    <row x14ac:dyDescent="0.25" r="396" customHeight="1" ht="12.75">
      <c r="A396" s="4"/>
      <c r="B396" s="29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29"/>
      <c r="N396" s="29"/>
      <c r="O396" s="29"/>
      <c r="P396" s="32"/>
      <c r="Q396" s="32"/>
      <c r="R396" s="4"/>
      <c r="S396" s="4"/>
      <c r="T396" s="4"/>
      <c r="U396" s="4"/>
      <c r="V396" s="4"/>
      <c r="W396" s="4"/>
    </row>
    <row x14ac:dyDescent="0.25" r="397" customHeight="1" ht="12.75">
      <c r="A397" s="4"/>
      <c r="B397" s="29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29"/>
      <c r="N397" s="29"/>
      <c r="O397" s="29"/>
      <c r="P397" s="32"/>
      <c r="Q397" s="32"/>
      <c r="R397" s="4"/>
      <c r="S397" s="4"/>
      <c r="T397" s="4"/>
      <c r="U397" s="4"/>
      <c r="V397" s="4"/>
      <c r="W397" s="4"/>
    </row>
    <row x14ac:dyDescent="0.25" r="398" customHeight="1" ht="12.75">
      <c r="A398" s="4"/>
      <c r="B398" s="29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29"/>
      <c r="N398" s="29"/>
      <c r="O398" s="29"/>
      <c r="P398" s="32"/>
      <c r="Q398" s="32"/>
      <c r="R398" s="4"/>
      <c r="S398" s="4"/>
      <c r="T398" s="4"/>
      <c r="U398" s="4"/>
      <c r="V398" s="4"/>
      <c r="W398" s="4"/>
    </row>
    <row x14ac:dyDescent="0.25" r="399" customHeight="1" ht="12.75">
      <c r="A399" s="4"/>
      <c r="B399" s="29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29"/>
      <c r="N399" s="29"/>
      <c r="O399" s="29"/>
      <c r="P399" s="32"/>
      <c r="Q399" s="32"/>
      <c r="R399" s="4"/>
      <c r="S399" s="4"/>
      <c r="T399" s="4"/>
      <c r="U399" s="4"/>
      <c r="V399" s="4"/>
      <c r="W399" s="4"/>
    </row>
    <row x14ac:dyDescent="0.25" r="400" customHeight="1" ht="12.75">
      <c r="A400" s="4"/>
      <c r="B400" s="29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29"/>
      <c r="N400" s="29"/>
      <c r="O400" s="29"/>
      <c r="P400" s="32"/>
      <c r="Q400" s="32"/>
      <c r="R400" s="4"/>
      <c r="S400" s="4"/>
      <c r="T400" s="4"/>
      <c r="U400" s="4"/>
      <c r="V400" s="4"/>
      <c r="W400" s="4"/>
    </row>
    <row x14ac:dyDescent="0.25" r="401" customHeight="1" ht="12.75">
      <c r="A401" s="4"/>
      <c r="B401" s="29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29"/>
      <c r="N401" s="29"/>
      <c r="O401" s="29"/>
      <c r="P401" s="32"/>
      <c r="Q401" s="32"/>
      <c r="R401" s="4"/>
      <c r="S401" s="4"/>
      <c r="T401" s="4"/>
      <c r="U401" s="4"/>
      <c r="V401" s="4"/>
      <c r="W401" s="4"/>
    </row>
    <row x14ac:dyDescent="0.25" r="402" customHeight="1" ht="12.75">
      <c r="A402" s="4"/>
      <c r="B402" s="29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29"/>
      <c r="N402" s="29"/>
      <c r="O402" s="29"/>
      <c r="P402" s="32"/>
      <c r="Q402" s="32"/>
      <c r="R402" s="4"/>
      <c r="S402" s="4"/>
      <c r="T402" s="4"/>
      <c r="U402" s="4"/>
      <c r="V402" s="4"/>
      <c r="W402" s="4"/>
    </row>
    <row x14ac:dyDescent="0.25" r="403" customHeight="1" ht="12.75">
      <c r="A403" s="4"/>
      <c r="B403" s="29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29"/>
      <c r="N403" s="29"/>
      <c r="O403" s="29"/>
      <c r="P403" s="32"/>
      <c r="Q403" s="32"/>
      <c r="R403" s="4"/>
      <c r="S403" s="4"/>
      <c r="T403" s="4"/>
      <c r="U403" s="4"/>
      <c r="V403" s="4"/>
      <c r="W403" s="4"/>
    </row>
    <row x14ac:dyDescent="0.25" r="404" customHeight="1" ht="12.75">
      <c r="A404" s="4"/>
      <c r="B404" s="29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29"/>
      <c r="N404" s="29"/>
      <c r="O404" s="29"/>
      <c r="P404" s="32"/>
      <c r="Q404" s="32"/>
      <c r="R404" s="4"/>
      <c r="S404" s="4"/>
      <c r="T404" s="4"/>
      <c r="U404" s="4"/>
      <c r="V404" s="4"/>
      <c r="W404" s="4"/>
    </row>
    <row x14ac:dyDescent="0.25" r="405" customHeight="1" ht="12.75">
      <c r="A405" s="4"/>
      <c r="B405" s="29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29"/>
      <c r="N405" s="29"/>
      <c r="O405" s="29"/>
      <c r="P405" s="32"/>
      <c r="Q405" s="32"/>
      <c r="R405" s="4"/>
      <c r="S405" s="4"/>
      <c r="T405" s="4"/>
      <c r="U405" s="4"/>
      <c r="V405" s="4"/>
      <c r="W405" s="4"/>
    </row>
    <row x14ac:dyDescent="0.25" r="406" customHeight="1" ht="12.75">
      <c r="A406" s="4"/>
      <c r="B406" s="29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29"/>
      <c r="N406" s="29"/>
      <c r="O406" s="29"/>
      <c r="P406" s="32"/>
      <c r="Q406" s="32"/>
      <c r="R406" s="4"/>
      <c r="S406" s="4"/>
      <c r="T406" s="4"/>
      <c r="U406" s="4"/>
      <c r="V406" s="4"/>
      <c r="W406" s="4"/>
    </row>
    <row x14ac:dyDescent="0.25" r="407" customHeight="1" ht="12.75">
      <c r="A407" s="4"/>
      <c r="B407" s="29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29"/>
      <c r="N407" s="29"/>
      <c r="O407" s="29"/>
      <c r="P407" s="32"/>
      <c r="Q407" s="32"/>
      <c r="R407" s="4"/>
      <c r="S407" s="4"/>
      <c r="T407" s="4"/>
      <c r="U407" s="4"/>
      <c r="V407" s="4"/>
      <c r="W407" s="4"/>
    </row>
    <row x14ac:dyDescent="0.25" r="408" customHeight="1" ht="12.75">
      <c r="A408" s="4"/>
      <c r="B408" s="29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29"/>
      <c r="N408" s="29"/>
      <c r="O408" s="29"/>
      <c r="P408" s="32"/>
      <c r="Q408" s="32"/>
      <c r="R408" s="4"/>
      <c r="S408" s="4"/>
      <c r="T408" s="4"/>
      <c r="U408" s="4"/>
      <c r="V408" s="4"/>
      <c r="W408" s="4"/>
    </row>
    <row x14ac:dyDescent="0.25" r="409" customHeight="1" ht="12.75">
      <c r="A409" s="4"/>
      <c r="B409" s="29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29"/>
      <c r="N409" s="29"/>
      <c r="O409" s="29"/>
      <c r="P409" s="32"/>
      <c r="Q409" s="32"/>
      <c r="R409" s="4"/>
      <c r="S409" s="4"/>
      <c r="T409" s="4"/>
      <c r="U409" s="4"/>
      <c r="V409" s="4"/>
      <c r="W409" s="4"/>
    </row>
    <row x14ac:dyDescent="0.25" r="410" customHeight="1" ht="12.75">
      <c r="A410" s="4"/>
      <c r="B410" s="29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29"/>
      <c r="N410" s="29"/>
      <c r="O410" s="29"/>
      <c r="P410" s="32"/>
      <c r="Q410" s="32"/>
      <c r="R410" s="4"/>
      <c r="S410" s="4"/>
      <c r="T410" s="4"/>
      <c r="U410" s="4"/>
      <c r="V410" s="4"/>
      <c r="W410" s="4"/>
    </row>
    <row x14ac:dyDescent="0.25" r="411" customHeight="1" ht="12.75">
      <c r="A411" s="4"/>
      <c r="B411" s="29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29"/>
      <c r="N411" s="29"/>
      <c r="O411" s="29"/>
      <c r="P411" s="32"/>
      <c r="Q411" s="32"/>
      <c r="R411" s="4"/>
      <c r="S411" s="4"/>
      <c r="T411" s="4"/>
      <c r="U411" s="4"/>
      <c r="V411" s="4"/>
      <c r="W411" s="4"/>
    </row>
    <row x14ac:dyDescent="0.25" r="412" customHeight="1" ht="12.75">
      <c r="A412" s="4"/>
      <c r="B412" s="29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29"/>
      <c r="N412" s="29"/>
      <c r="O412" s="29"/>
      <c r="P412" s="32"/>
      <c r="Q412" s="32"/>
      <c r="R412" s="4"/>
      <c r="S412" s="4"/>
      <c r="T412" s="4"/>
      <c r="U412" s="4"/>
      <c r="V412" s="4"/>
      <c r="W412" s="4"/>
    </row>
    <row x14ac:dyDescent="0.25" r="413" customHeight="1" ht="12.75">
      <c r="A413" s="4"/>
      <c r="B413" s="29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29"/>
      <c r="N413" s="29"/>
      <c r="O413" s="29"/>
      <c r="P413" s="32"/>
      <c r="Q413" s="32"/>
      <c r="R413" s="4"/>
      <c r="S413" s="4"/>
      <c r="T413" s="4"/>
      <c r="U413" s="4"/>
      <c r="V413" s="4"/>
      <c r="W413" s="4"/>
    </row>
    <row x14ac:dyDescent="0.25" r="414" customHeight="1" ht="12.75">
      <c r="A414" s="4"/>
      <c r="B414" s="29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29"/>
      <c r="N414" s="29"/>
      <c r="O414" s="29"/>
      <c r="P414" s="32"/>
      <c r="Q414" s="32"/>
      <c r="R414" s="4"/>
      <c r="S414" s="4"/>
      <c r="T414" s="4"/>
      <c r="U414" s="4"/>
      <c r="V414" s="4"/>
      <c r="W414" s="4"/>
    </row>
    <row x14ac:dyDescent="0.25" r="415" customHeight="1" ht="12.75">
      <c r="A415" s="4"/>
      <c r="B415" s="29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29"/>
      <c r="N415" s="29"/>
      <c r="O415" s="29"/>
      <c r="P415" s="32"/>
      <c r="Q415" s="32"/>
      <c r="R415" s="4"/>
      <c r="S415" s="4"/>
      <c r="T415" s="4"/>
      <c r="U415" s="4"/>
      <c r="V415" s="4"/>
      <c r="W415" s="4"/>
    </row>
    <row x14ac:dyDescent="0.25" r="416" customHeight="1" ht="12.75">
      <c r="A416" s="4"/>
      <c r="B416" s="29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29"/>
      <c r="N416" s="29"/>
      <c r="O416" s="29"/>
      <c r="P416" s="32"/>
      <c r="Q416" s="32"/>
      <c r="R416" s="4"/>
      <c r="S416" s="4"/>
      <c r="T416" s="4"/>
      <c r="U416" s="4"/>
      <c r="V416" s="4"/>
      <c r="W416" s="4"/>
    </row>
    <row x14ac:dyDescent="0.25" r="417" customHeight="1" ht="12.75">
      <c r="A417" s="4"/>
      <c r="B417" s="29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29"/>
      <c r="N417" s="29"/>
      <c r="O417" s="29"/>
      <c r="P417" s="32"/>
      <c r="Q417" s="32"/>
      <c r="R417" s="4"/>
      <c r="S417" s="4"/>
      <c r="T417" s="4"/>
      <c r="U417" s="4"/>
      <c r="V417" s="4"/>
      <c r="W417" s="4"/>
    </row>
    <row x14ac:dyDescent="0.25" r="418" customHeight="1" ht="12.75">
      <c r="A418" s="4"/>
      <c r="B418" s="29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29"/>
      <c r="N418" s="29"/>
      <c r="O418" s="29"/>
      <c r="P418" s="32"/>
      <c r="Q418" s="32"/>
      <c r="R418" s="4"/>
      <c r="S418" s="4"/>
      <c r="T418" s="4"/>
      <c r="U418" s="4"/>
      <c r="V418" s="4"/>
      <c r="W418" s="4"/>
    </row>
    <row x14ac:dyDescent="0.25" r="419" customHeight="1" ht="12.75">
      <c r="A419" s="4"/>
      <c r="B419" s="29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29"/>
      <c r="N419" s="29"/>
      <c r="O419" s="29"/>
      <c r="P419" s="32"/>
      <c r="Q419" s="32"/>
      <c r="R419" s="4"/>
      <c r="S419" s="4"/>
      <c r="T419" s="4"/>
      <c r="U419" s="4"/>
      <c r="V419" s="4"/>
      <c r="W419" s="4"/>
    </row>
    <row x14ac:dyDescent="0.25" r="420" customHeight="1" ht="12.75">
      <c r="A420" s="4"/>
      <c r="B420" s="29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29"/>
      <c r="N420" s="29"/>
      <c r="O420" s="29"/>
      <c r="P420" s="32"/>
      <c r="Q420" s="32"/>
      <c r="R420" s="4"/>
      <c r="S420" s="4"/>
      <c r="T420" s="4"/>
      <c r="U420" s="4"/>
      <c r="V420" s="4"/>
      <c r="W420" s="4"/>
    </row>
    <row x14ac:dyDescent="0.25" r="421" customHeight="1" ht="12.75">
      <c r="A421" s="4"/>
      <c r="B421" s="29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29"/>
      <c r="N421" s="29"/>
      <c r="O421" s="29"/>
      <c r="P421" s="32"/>
      <c r="Q421" s="32"/>
      <c r="R421" s="4"/>
      <c r="S421" s="4"/>
      <c r="T421" s="4"/>
      <c r="U421" s="4"/>
      <c r="V421" s="4"/>
      <c r="W421" s="4"/>
    </row>
    <row x14ac:dyDescent="0.25" r="422" customHeight="1" ht="12.75">
      <c r="A422" s="4"/>
      <c r="B422" s="29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29"/>
      <c r="N422" s="29"/>
      <c r="O422" s="29"/>
      <c r="P422" s="32"/>
      <c r="Q422" s="32"/>
      <c r="R422" s="4"/>
      <c r="S422" s="4"/>
      <c r="T422" s="4"/>
      <c r="U422" s="4"/>
      <c r="V422" s="4"/>
      <c r="W422" s="4"/>
    </row>
    <row x14ac:dyDescent="0.25" r="423" customHeight="1" ht="12.75">
      <c r="A423" s="4"/>
      <c r="B423" s="29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29"/>
      <c r="N423" s="29"/>
      <c r="O423" s="29"/>
      <c r="P423" s="32"/>
      <c r="Q423" s="32"/>
      <c r="R423" s="4"/>
      <c r="S423" s="4"/>
      <c r="T423" s="4"/>
      <c r="U423" s="4"/>
      <c r="V423" s="4"/>
      <c r="W423" s="4"/>
    </row>
    <row x14ac:dyDescent="0.25" r="424" customHeight="1" ht="12.75">
      <c r="A424" s="4"/>
      <c r="B424" s="29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29"/>
      <c r="N424" s="29"/>
      <c r="O424" s="29"/>
      <c r="P424" s="32"/>
      <c r="Q424" s="32"/>
      <c r="R424" s="4"/>
      <c r="S424" s="4"/>
      <c r="T424" s="4"/>
      <c r="U424" s="4"/>
      <c r="V424" s="4"/>
      <c r="W424" s="4"/>
    </row>
    <row x14ac:dyDescent="0.25" r="425" customHeight="1" ht="12.75">
      <c r="A425" s="4"/>
      <c r="B425" s="29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29"/>
      <c r="N425" s="29"/>
      <c r="O425" s="29"/>
      <c r="P425" s="32"/>
      <c r="Q425" s="32"/>
      <c r="R425" s="4"/>
      <c r="S425" s="4"/>
      <c r="T425" s="4"/>
      <c r="U425" s="4"/>
      <c r="V425" s="4"/>
      <c r="W425" s="4"/>
    </row>
    <row x14ac:dyDescent="0.25" r="426" customHeight="1" ht="12.75">
      <c r="A426" s="4"/>
      <c r="B426" s="29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29"/>
      <c r="N426" s="29"/>
      <c r="O426" s="29"/>
      <c r="P426" s="32"/>
      <c r="Q426" s="32"/>
      <c r="R426" s="4"/>
      <c r="S426" s="4"/>
      <c r="T426" s="4"/>
      <c r="U426" s="4"/>
      <c r="V426" s="4"/>
      <c r="W426" s="4"/>
    </row>
    <row x14ac:dyDescent="0.25" r="427" customHeight="1" ht="12.75">
      <c r="A427" s="4"/>
      <c r="B427" s="29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29"/>
      <c r="N427" s="29"/>
      <c r="O427" s="29"/>
      <c r="P427" s="32"/>
      <c r="Q427" s="32"/>
      <c r="R427" s="4"/>
      <c r="S427" s="4"/>
      <c r="T427" s="4"/>
      <c r="U427" s="4"/>
      <c r="V427" s="4"/>
      <c r="W427" s="4"/>
    </row>
    <row x14ac:dyDescent="0.25" r="428" customHeight="1" ht="12.75">
      <c r="A428" s="4"/>
      <c r="B428" s="29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29"/>
      <c r="N428" s="29"/>
      <c r="O428" s="29"/>
      <c r="P428" s="32"/>
      <c r="Q428" s="32"/>
      <c r="R428" s="4"/>
      <c r="S428" s="4"/>
      <c r="T428" s="4"/>
      <c r="U428" s="4"/>
      <c r="V428" s="4"/>
      <c r="W428" s="4"/>
    </row>
    <row x14ac:dyDescent="0.25" r="429" customHeight="1" ht="12.75">
      <c r="A429" s="4"/>
      <c r="B429" s="29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29"/>
      <c r="N429" s="29"/>
      <c r="O429" s="29"/>
      <c r="P429" s="32"/>
      <c r="Q429" s="32"/>
      <c r="R429" s="4"/>
      <c r="S429" s="4"/>
      <c r="T429" s="4"/>
      <c r="U429" s="4"/>
      <c r="V429" s="4"/>
      <c r="W429" s="4"/>
    </row>
    <row x14ac:dyDescent="0.25" r="430" customHeight="1" ht="12.75">
      <c r="A430" s="4"/>
      <c r="B430" s="29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29"/>
      <c r="N430" s="29"/>
      <c r="O430" s="29"/>
      <c r="P430" s="32"/>
      <c r="Q430" s="32"/>
      <c r="R430" s="4"/>
      <c r="S430" s="4"/>
      <c r="T430" s="4"/>
      <c r="U430" s="4"/>
      <c r="V430" s="4"/>
      <c r="W430" s="4"/>
    </row>
    <row x14ac:dyDescent="0.25" r="431" customHeight="1" ht="12.75">
      <c r="A431" s="4"/>
      <c r="B431" s="29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29"/>
      <c r="N431" s="29"/>
      <c r="O431" s="29"/>
      <c r="P431" s="32"/>
      <c r="Q431" s="32"/>
      <c r="R431" s="4"/>
      <c r="S431" s="4"/>
      <c r="T431" s="4"/>
      <c r="U431" s="4"/>
      <c r="V431" s="4"/>
      <c r="W431" s="4"/>
    </row>
    <row x14ac:dyDescent="0.25" r="432" customHeight="1" ht="12.75">
      <c r="A432" s="4"/>
      <c r="B432" s="29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29"/>
      <c r="N432" s="29"/>
      <c r="O432" s="29"/>
      <c r="P432" s="32"/>
      <c r="Q432" s="32"/>
      <c r="R432" s="4"/>
      <c r="S432" s="4"/>
      <c r="T432" s="4"/>
      <c r="U432" s="4"/>
      <c r="V432" s="4"/>
      <c r="W432" s="4"/>
    </row>
    <row x14ac:dyDescent="0.25" r="433" customHeight="1" ht="12.75">
      <c r="A433" s="4"/>
      <c r="B433" s="29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29"/>
      <c r="N433" s="29"/>
      <c r="O433" s="29"/>
      <c r="P433" s="32"/>
      <c r="Q433" s="32"/>
      <c r="R433" s="4"/>
      <c r="S433" s="4"/>
      <c r="T433" s="4"/>
      <c r="U433" s="4"/>
      <c r="V433" s="4"/>
      <c r="W433" s="4"/>
    </row>
    <row x14ac:dyDescent="0.25" r="434" customHeight="1" ht="12.75">
      <c r="A434" s="4"/>
      <c r="B434" s="29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29"/>
      <c r="N434" s="29"/>
      <c r="O434" s="29"/>
      <c r="P434" s="32"/>
      <c r="Q434" s="32"/>
      <c r="R434" s="4"/>
      <c r="S434" s="4"/>
      <c r="T434" s="4"/>
      <c r="U434" s="4"/>
      <c r="V434" s="4"/>
      <c r="W434" s="4"/>
    </row>
    <row x14ac:dyDescent="0.25" r="435" customHeight="1" ht="12.75">
      <c r="A435" s="4"/>
      <c r="B435" s="29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29"/>
      <c r="N435" s="29"/>
      <c r="O435" s="29"/>
      <c r="P435" s="32"/>
      <c r="Q435" s="32"/>
      <c r="R435" s="4"/>
      <c r="S435" s="4"/>
      <c r="T435" s="4"/>
      <c r="U435" s="4"/>
      <c r="V435" s="4"/>
      <c r="W435" s="4"/>
    </row>
    <row x14ac:dyDescent="0.25" r="436" customHeight="1" ht="12.75">
      <c r="A436" s="4"/>
      <c r="B436" s="29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29"/>
      <c r="N436" s="29"/>
      <c r="O436" s="29"/>
      <c r="P436" s="32"/>
      <c r="Q436" s="32"/>
      <c r="R436" s="4"/>
      <c r="S436" s="4"/>
      <c r="T436" s="4"/>
      <c r="U436" s="4"/>
      <c r="V436" s="4"/>
      <c r="W436" s="4"/>
    </row>
    <row x14ac:dyDescent="0.25" r="437" customHeight="1" ht="12.75">
      <c r="A437" s="4"/>
      <c r="B437" s="29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29"/>
      <c r="N437" s="29"/>
      <c r="O437" s="29"/>
      <c r="P437" s="32"/>
      <c r="Q437" s="32"/>
      <c r="R437" s="4"/>
      <c r="S437" s="4"/>
      <c r="T437" s="4"/>
      <c r="U437" s="4"/>
      <c r="V437" s="4"/>
      <c r="W437" s="4"/>
    </row>
    <row x14ac:dyDescent="0.25" r="438" customHeight="1" ht="12.75">
      <c r="A438" s="4"/>
      <c r="B438" s="29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29"/>
      <c r="N438" s="29"/>
      <c r="O438" s="29"/>
      <c r="P438" s="32"/>
      <c r="Q438" s="32"/>
      <c r="R438" s="4"/>
      <c r="S438" s="4"/>
      <c r="T438" s="4"/>
      <c r="U438" s="4"/>
      <c r="V438" s="4"/>
      <c r="W438" s="4"/>
    </row>
    <row x14ac:dyDescent="0.25" r="439" customHeight="1" ht="12.75">
      <c r="A439" s="4"/>
      <c r="B439" s="29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29"/>
      <c r="N439" s="29"/>
      <c r="O439" s="29"/>
      <c r="P439" s="32"/>
      <c r="Q439" s="32"/>
      <c r="R439" s="4"/>
      <c r="S439" s="4"/>
      <c r="T439" s="4"/>
      <c r="U439" s="4"/>
      <c r="V439" s="4"/>
      <c r="W439" s="4"/>
    </row>
    <row x14ac:dyDescent="0.25" r="440" customHeight="1" ht="12.75">
      <c r="A440" s="4"/>
      <c r="B440" s="29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29"/>
      <c r="N440" s="29"/>
      <c r="O440" s="29"/>
      <c r="P440" s="32"/>
      <c r="Q440" s="32"/>
      <c r="R440" s="4"/>
      <c r="S440" s="4"/>
      <c r="T440" s="4"/>
      <c r="U440" s="4"/>
      <c r="V440" s="4"/>
      <c r="W440" s="4"/>
    </row>
    <row x14ac:dyDescent="0.25" r="441" customHeight="1" ht="12.75">
      <c r="A441" s="4"/>
      <c r="B441" s="29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29"/>
      <c r="N441" s="29"/>
      <c r="O441" s="29"/>
      <c r="P441" s="32"/>
      <c r="Q441" s="32"/>
      <c r="R441" s="4"/>
      <c r="S441" s="4"/>
      <c r="T441" s="4"/>
      <c r="U441" s="4"/>
      <c r="V441" s="4"/>
      <c r="W441" s="4"/>
    </row>
    <row x14ac:dyDescent="0.25" r="442" customHeight="1" ht="12.75">
      <c r="A442" s="4"/>
      <c r="B442" s="29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29"/>
      <c r="N442" s="29"/>
      <c r="O442" s="29"/>
      <c r="P442" s="32"/>
      <c r="Q442" s="32"/>
      <c r="R442" s="4"/>
      <c r="S442" s="4"/>
      <c r="T442" s="4"/>
      <c r="U442" s="4"/>
      <c r="V442" s="4"/>
      <c r="W442" s="4"/>
    </row>
    <row x14ac:dyDescent="0.25" r="443" customHeight="1" ht="12.75">
      <c r="A443" s="4"/>
      <c r="B443" s="29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29"/>
      <c r="N443" s="29"/>
      <c r="O443" s="29"/>
      <c r="P443" s="32"/>
      <c r="Q443" s="32"/>
      <c r="R443" s="4"/>
      <c r="S443" s="4"/>
      <c r="T443" s="4"/>
      <c r="U443" s="4"/>
      <c r="V443" s="4"/>
      <c r="W443" s="4"/>
    </row>
    <row x14ac:dyDescent="0.25" r="444" customHeight="1" ht="12.75">
      <c r="A444" s="4"/>
      <c r="B444" s="29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29"/>
      <c r="N444" s="29"/>
      <c r="O444" s="29"/>
      <c r="P444" s="32"/>
      <c r="Q444" s="32"/>
      <c r="R444" s="4"/>
      <c r="S444" s="4"/>
      <c r="T444" s="4"/>
      <c r="U444" s="4"/>
      <c r="V444" s="4"/>
      <c r="W444" s="4"/>
    </row>
    <row x14ac:dyDescent="0.25" r="445" customHeight="1" ht="12.75">
      <c r="A445" s="4"/>
      <c r="B445" s="29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29"/>
      <c r="N445" s="29"/>
      <c r="O445" s="29"/>
      <c r="P445" s="32"/>
      <c r="Q445" s="32"/>
      <c r="R445" s="4"/>
      <c r="S445" s="4"/>
      <c r="T445" s="4"/>
      <c r="U445" s="4"/>
      <c r="V445" s="4"/>
      <c r="W445" s="4"/>
    </row>
    <row x14ac:dyDescent="0.25" r="446" customHeight="1" ht="12.75">
      <c r="A446" s="4"/>
      <c r="B446" s="29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29"/>
      <c r="N446" s="29"/>
      <c r="O446" s="29"/>
      <c r="P446" s="32"/>
      <c r="Q446" s="32"/>
      <c r="R446" s="4"/>
      <c r="S446" s="4"/>
      <c r="T446" s="4"/>
      <c r="U446" s="4"/>
      <c r="V446" s="4"/>
      <c r="W446" s="4"/>
    </row>
    <row x14ac:dyDescent="0.25" r="447" customHeight="1" ht="12.75">
      <c r="A447" s="4"/>
      <c r="B447" s="29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29"/>
      <c r="N447" s="29"/>
      <c r="O447" s="29"/>
      <c r="P447" s="32"/>
      <c r="Q447" s="32"/>
      <c r="R447" s="4"/>
      <c r="S447" s="4"/>
      <c r="T447" s="4"/>
      <c r="U447" s="4"/>
      <c r="V447" s="4"/>
      <c r="W447" s="4"/>
    </row>
    <row x14ac:dyDescent="0.25" r="448" customHeight="1" ht="12.75">
      <c r="A448" s="4"/>
      <c r="B448" s="29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29"/>
      <c r="N448" s="29"/>
      <c r="O448" s="29"/>
      <c r="P448" s="32"/>
      <c r="Q448" s="32"/>
      <c r="R448" s="4"/>
      <c r="S448" s="4"/>
      <c r="T448" s="4"/>
      <c r="U448" s="4"/>
      <c r="V448" s="4"/>
      <c r="W448" s="4"/>
    </row>
    <row x14ac:dyDescent="0.25" r="449" customHeight="1" ht="12.75">
      <c r="A449" s="4"/>
      <c r="B449" s="29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29"/>
      <c r="N449" s="29"/>
      <c r="O449" s="29"/>
      <c r="P449" s="32"/>
      <c r="Q449" s="32"/>
      <c r="R449" s="4"/>
      <c r="S449" s="4"/>
      <c r="T449" s="4"/>
      <c r="U449" s="4"/>
      <c r="V449" s="4"/>
      <c r="W449" s="4"/>
    </row>
    <row x14ac:dyDescent="0.25" r="450" customHeight="1" ht="12.75">
      <c r="A450" s="4"/>
      <c r="B450" s="29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29"/>
      <c r="N450" s="29"/>
      <c r="O450" s="29"/>
      <c r="P450" s="32"/>
      <c r="Q450" s="32"/>
      <c r="R450" s="4"/>
      <c r="S450" s="4"/>
      <c r="T450" s="4"/>
      <c r="U450" s="4"/>
      <c r="V450" s="4"/>
      <c r="W450" s="4"/>
    </row>
    <row x14ac:dyDescent="0.25" r="451" customHeight="1" ht="12.75">
      <c r="A451" s="4"/>
      <c r="B451" s="29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29"/>
      <c r="N451" s="29"/>
      <c r="O451" s="29"/>
      <c r="P451" s="32"/>
      <c r="Q451" s="32"/>
      <c r="R451" s="4"/>
      <c r="S451" s="4"/>
      <c r="T451" s="4"/>
      <c r="U451" s="4"/>
      <c r="V451" s="4"/>
      <c r="W451" s="4"/>
    </row>
    <row x14ac:dyDescent="0.25" r="452" customHeight="1" ht="12.75">
      <c r="A452" s="4"/>
      <c r="B452" s="29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29"/>
      <c r="N452" s="29"/>
      <c r="O452" s="29"/>
      <c r="P452" s="32"/>
      <c r="Q452" s="32"/>
      <c r="R452" s="4"/>
      <c r="S452" s="4"/>
      <c r="T452" s="4"/>
      <c r="U452" s="4"/>
      <c r="V452" s="4"/>
      <c r="W452" s="4"/>
    </row>
    <row x14ac:dyDescent="0.25" r="453" customHeight="1" ht="12.75">
      <c r="A453" s="4"/>
      <c r="B453" s="29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29"/>
      <c r="N453" s="29"/>
      <c r="O453" s="29"/>
      <c r="P453" s="32"/>
      <c r="Q453" s="32"/>
      <c r="R453" s="4"/>
      <c r="S453" s="4"/>
      <c r="T453" s="4"/>
      <c r="U453" s="4"/>
      <c r="V453" s="4"/>
      <c r="W453" s="4"/>
    </row>
    <row x14ac:dyDescent="0.25" r="454" customHeight="1" ht="12.75">
      <c r="A454" s="4"/>
      <c r="B454" s="29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29"/>
      <c r="N454" s="29"/>
      <c r="O454" s="29"/>
      <c r="P454" s="32"/>
      <c r="Q454" s="32"/>
      <c r="R454" s="4"/>
      <c r="S454" s="4"/>
      <c r="T454" s="4"/>
      <c r="U454" s="4"/>
      <c r="V454" s="4"/>
      <c r="W454" s="4"/>
    </row>
    <row x14ac:dyDescent="0.25" r="455" customHeight="1" ht="12.75">
      <c r="A455" s="4"/>
      <c r="B455" s="29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29"/>
      <c r="N455" s="29"/>
      <c r="O455" s="29"/>
      <c r="P455" s="32"/>
      <c r="Q455" s="32"/>
      <c r="R455" s="4"/>
      <c r="S455" s="4"/>
      <c r="T455" s="4"/>
      <c r="U455" s="4"/>
      <c r="V455" s="4"/>
      <c r="W455" s="4"/>
    </row>
    <row x14ac:dyDescent="0.25" r="456" customHeight="1" ht="12.75">
      <c r="A456" s="4"/>
      <c r="B456" s="29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29"/>
      <c r="N456" s="29"/>
      <c r="O456" s="29"/>
      <c r="P456" s="32"/>
      <c r="Q456" s="32"/>
      <c r="R456" s="4"/>
      <c r="S456" s="4"/>
      <c r="T456" s="4"/>
      <c r="U456" s="4"/>
      <c r="V456" s="4"/>
      <c r="W456" s="4"/>
    </row>
    <row x14ac:dyDescent="0.25" r="457" customHeight="1" ht="12.75">
      <c r="A457" s="4"/>
      <c r="B457" s="29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29"/>
      <c r="N457" s="29"/>
      <c r="O457" s="29"/>
      <c r="P457" s="32"/>
      <c r="Q457" s="32"/>
      <c r="R457" s="4"/>
      <c r="S457" s="4"/>
      <c r="T457" s="4"/>
      <c r="U457" s="4"/>
      <c r="V457" s="4"/>
      <c r="W457" s="4"/>
    </row>
    <row x14ac:dyDescent="0.25" r="458" customHeight="1" ht="12.75">
      <c r="A458" s="4"/>
      <c r="B458" s="29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29"/>
      <c r="N458" s="29"/>
      <c r="O458" s="29"/>
      <c r="P458" s="32"/>
      <c r="Q458" s="32"/>
      <c r="R458" s="4"/>
      <c r="S458" s="4"/>
      <c r="T458" s="4"/>
      <c r="U458" s="4"/>
      <c r="V458" s="4"/>
      <c r="W458" s="4"/>
    </row>
    <row x14ac:dyDescent="0.25" r="459" customHeight="1" ht="12.75">
      <c r="A459" s="4"/>
      <c r="B459" s="29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29"/>
      <c r="N459" s="29"/>
      <c r="O459" s="29"/>
      <c r="P459" s="32"/>
      <c r="Q459" s="32"/>
      <c r="R459" s="4"/>
      <c r="S459" s="4"/>
      <c r="T459" s="4"/>
      <c r="U459" s="4"/>
      <c r="V459" s="4"/>
      <c r="W459" s="4"/>
    </row>
    <row x14ac:dyDescent="0.25" r="460" customHeight="1" ht="12.75">
      <c r="A460" s="4"/>
      <c r="B460" s="29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29"/>
      <c r="N460" s="29"/>
      <c r="O460" s="29"/>
      <c r="P460" s="32"/>
      <c r="Q460" s="32"/>
      <c r="R460" s="4"/>
      <c r="S460" s="4"/>
      <c r="T460" s="4"/>
      <c r="U460" s="4"/>
      <c r="V460" s="4"/>
      <c r="W460" s="4"/>
    </row>
    <row x14ac:dyDescent="0.25" r="461" customHeight="1" ht="12.75">
      <c r="A461" s="4"/>
      <c r="B461" s="29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29"/>
      <c r="N461" s="29"/>
      <c r="O461" s="29"/>
      <c r="P461" s="32"/>
      <c r="Q461" s="32"/>
      <c r="R461" s="4"/>
      <c r="S461" s="4"/>
      <c r="T461" s="4"/>
      <c r="U461" s="4"/>
      <c r="V461" s="4"/>
      <c r="W461" s="4"/>
    </row>
    <row x14ac:dyDescent="0.25" r="462" customHeight="1" ht="12.75">
      <c r="A462" s="4"/>
      <c r="B462" s="29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29"/>
      <c r="N462" s="29"/>
      <c r="O462" s="29"/>
      <c r="P462" s="32"/>
      <c r="Q462" s="32"/>
      <c r="R462" s="4"/>
      <c r="S462" s="4"/>
      <c r="T462" s="4"/>
      <c r="U462" s="4"/>
      <c r="V462" s="4"/>
      <c r="W462" s="4"/>
    </row>
    <row x14ac:dyDescent="0.25" r="463" customHeight="1" ht="12.75">
      <c r="A463" s="4"/>
      <c r="B463" s="29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29"/>
      <c r="N463" s="29"/>
      <c r="O463" s="29"/>
      <c r="P463" s="32"/>
      <c r="Q463" s="32"/>
      <c r="R463" s="4"/>
      <c r="S463" s="4"/>
      <c r="T463" s="4"/>
      <c r="U463" s="4"/>
      <c r="V463" s="4"/>
      <c r="W463" s="4"/>
    </row>
    <row x14ac:dyDescent="0.25" r="464" customHeight="1" ht="12.75">
      <c r="A464" s="4"/>
      <c r="B464" s="29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29"/>
      <c r="N464" s="29"/>
      <c r="O464" s="29"/>
      <c r="P464" s="32"/>
      <c r="Q464" s="32"/>
      <c r="R464" s="4"/>
      <c r="S464" s="4"/>
      <c r="T464" s="4"/>
      <c r="U464" s="4"/>
      <c r="V464" s="4"/>
      <c r="W464" s="4"/>
    </row>
    <row x14ac:dyDescent="0.25" r="465" customHeight="1" ht="12.75">
      <c r="A465" s="4"/>
      <c r="B465" s="29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29"/>
      <c r="N465" s="29"/>
      <c r="O465" s="29"/>
      <c r="P465" s="32"/>
      <c r="Q465" s="32"/>
      <c r="R465" s="4"/>
      <c r="S465" s="4"/>
      <c r="T465" s="4"/>
      <c r="U465" s="4"/>
      <c r="V465" s="4"/>
      <c r="W465" s="4"/>
    </row>
    <row x14ac:dyDescent="0.25" r="466" customHeight="1" ht="12.75">
      <c r="A466" s="4"/>
      <c r="B466" s="29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29"/>
      <c r="N466" s="29"/>
      <c r="O466" s="29"/>
      <c r="P466" s="32"/>
      <c r="Q466" s="32"/>
      <c r="R466" s="4"/>
      <c r="S466" s="4"/>
      <c r="T466" s="4"/>
      <c r="U466" s="4"/>
      <c r="V466" s="4"/>
      <c r="W466" s="4"/>
    </row>
    <row x14ac:dyDescent="0.25" r="467" customHeight="1" ht="12.75">
      <c r="A467" s="4"/>
      <c r="B467" s="29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29"/>
      <c r="N467" s="29"/>
      <c r="O467" s="29"/>
      <c r="P467" s="32"/>
      <c r="Q467" s="32"/>
      <c r="R467" s="4"/>
      <c r="S467" s="4"/>
      <c r="T467" s="4"/>
      <c r="U467" s="4"/>
      <c r="V467" s="4"/>
      <c r="W467" s="4"/>
    </row>
    <row x14ac:dyDescent="0.25" r="468" customHeight="1" ht="12.75">
      <c r="A468" s="4"/>
      <c r="B468" s="29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29"/>
      <c r="N468" s="29"/>
      <c r="O468" s="29"/>
      <c r="P468" s="32"/>
      <c r="Q468" s="32"/>
      <c r="R468" s="4"/>
      <c r="S468" s="4"/>
      <c r="T468" s="4"/>
      <c r="U468" s="4"/>
      <c r="V468" s="4"/>
      <c r="W468" s="4"/>
    </row>
    <row x14ac:dyDescent="0.25" r="469" customHeight="1" ht="12.75">
      <c r="A469" s="4"/>
      <c r="B469" s="29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29"/>
      <c r="N469" s="29"/>
      <c r="O469" s="29"/>
      <c r="P469" s="32"/>
      <c r="Q469" s="32"/>
      <c r="R469" s="4"/>
      <c r="S469" s="4"/>
      <c r="T469" s="4"/>
      <c r="U469" s="4"/>
      <c r="V469" s="4"/>
      <c r="W469" s="4"/>
    </row>
    <row x14ac:dyDescent="0.25" r="470" customHeight="1" ht="12.75">
      <c r="A470" s="4"/>
      <c r="B470" s="29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29"/>
      <c r="N470" s="29"/>
      <c r="O470" s="29"/>
      <c r="P470" s="32"/>
      <c r="Q470" s="32"/>
      <c r="R470" s="4"/>
      <c r="S470" s="4"/>
      <c r="T470" s="4"/>
      <c r="U470" s="4"/>
      <c r="V470" s="4"/>
      <c r="W470" s="4"/>
    </row>
    <row x14ac:dyDescent="0.25" r="471" customHeight="1" ht="12.75">
      <c r="A471" s="4"/>
      <c r="B471" s="29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29"/>
      <c r="N471" s="29"/>
      <c r="O471" s="29"/>
      <c r="P471" s="32"/>
      <c r="Q471" s="32"/>
      <c r="R471" s="4"/>
      <c r="S471" s="4"/>
      <c r="T471" s="4"/>
      <c r="U471" s="4"/>
      <c r="V471" s="4"/>
      <c r="W471" s="4"/>
    </row>
    <row x14ac:dyDescent="0.25" r="472" customHeight="1" ht="12.75">
      <c r="A472" s="4"/>
      <c r="B472" s="29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29"/>
      <c r="N472" s="29"/>
      <c r="O472" s="29"/>
      <c r="P472" s="32"/>
      <c r="Q472" s="32"/>
      <c r="R472" s="4"/>
      <c r="S472" s="4"/>
      <c r="T472" s="4"/>
      <c r="U472" s="4"/>
      <c r="V472" s="4"/>
      <c r="W472" s="4"/>
    </row>
    <row x14ac:dyDescent="0.25" r="473" customHeight="1" ht="12.75">
      <c r="A473" s="4"/>
      <c r="B473" s="29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29"/>
      <c r="N473" s="29"/>
      <c r="O473" s="29"/>
      <c r="P473" s="32"/>
      <c r="Q473" s="32"/>
      <c r="R473" s="4"/>
      <c r="S473" s="4"/>
      <c r="T473" s="4"/>
      <c r="U473" s="4"/>
      <c r="V473" s="4"/>
      <c r="W473" s="4"/>
    </row>
    <row x14ac:dyDescent="0.25" r="474" customHeight="1" ht="12.75">
      <c r="A474" s="4"/>
      <c r="B474" s="29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29"/>
      <c r="N474" s="29"/>
      <c r="O474" s="29"/>
      <c r="P474" s="32"/>
      <c r="Q474" s="32"/>
      <c r="R474" s="4"/>
      <c r="S474" s="4"/>
      <c r="T474" s="4"/>
      <c r="U474" s="4"/>
      <c r="V474" s="4"/>
      <c r="W474" s="4"/>
    </row>
    <row x14ac:dyDescent="0.25" r="475" customHeight="1" ht="12.75">
      <c r="A475" s="4"/>
      <c r="B475" s="29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29"/>
      <c r="N475" s="29"/>
      <c r="O475" s="29"/>
      <c r="P475" s="32"/>
      <c r="Q475" s="32"/>
      <c r="R475" s="4"/>
      <c r="S475" s="4"/>
      <c r="T475" s="4"/>
      <c r="U475" s="4"/>
      <c r="V475" s="4"/>
      <c r="W475" s="4"/>
    </row>
    <row x14ac:dyDescent="0.25" r="476" customHeight="1" ht="12.75">
      <c r="A476" s="4"/>
      <c r="B476" s="29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29"/>
      <c r="N476" s="29"/>
      <c r="O476" s="29"/>
      <c r="P476" s="32"/>
      <c r="Q476" s="32"/>
      <c r="R476" s="4"/>
      <c r="S476" s="4"/>
      <c r="T476" s="4"/>
      <c r="U476" s="4"/>
      <c r="V476" s="4"/>
      <c r="W476" s="4"/>
    </row>
    <row x14ac:dyDescent="0.25" r="477" customHeight="1" ht="12.75">
      <c r="A477" s="4"/>
      <c r="B477" s="29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29"/>
      <c r="N477" s="29"/>
      <c r="O477" s="29"/>
      <c r="P477" s="32"/>
      <c r="Q477" s="32"/>
      <c r="R477" s="4"/>
      <c r="S477" s="4"/>
      <c r="T477" s="4"/>
      <c r="U477" s="4"/>
      <c r="V477" s="4"/>
      <c r="W477" s="4"/>
    </row>
    <row x14ac:dyDescent="0.25" r="478" customHeight="1" ht="12.75">
      <c r="A478" s="4"/>
      <c r="B478" s="29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29"/>
      <c r="N478" s="29"/>
      <c r="O478" s="29"/>
      <c r="P478" s="32"/>
      <c r="Q478" s="32"/>
      <c r="R478" s="4"/>
      <c r="S478" s="4"/>
      <c r="T478" s="4"/>
      <c r="U478" s="4"/>
      <c r="V478" s="4"/>
      <c r="W478" s="4"/>
    </row>
    <row x14ac:dyDescent="0.25" r="479" customHeight="1" ht="12.75">
      <c r="A479" s="4"/>
      <c r="B479" s="29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29"/>
      <c r="N479" s="29"/>
      <c r="O479" s="29"/>
      <c r="P479" s="32"/>
      <c r="Q479" s="32"/>
      <c r="R479" s="4"/>
      <c r="S479" s="4"/>
      <c r="T479" s="4"/>
      <c r="U479" s="4"/>
      <c r="V479" s="4"/>
      <c r="W479" s="4"/>
    </row>
    <row x14ac:dyDescent="0.25" r="480" customHeight="1" ht="12.75">
      <c r="A480" s="4"/>
      <c r="B480" s="29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29"/>
      <c r="N480" s="29"/>
      <c r="O480" s="29"/>
      <c r="P480" s="32"/>
      <c r="Q480" s="32"/>
      <c r="R480" s="4"/>
      <c r="S480" s="4"/>
      <c r="T480" s="4"/>
      <c r="U480" s="4"/>
      <c r="V480" s="4"/>
      <c r="W480" s="4"/>
    </row>
    <row x14ac:dyDescent="0.25" r="481" customHeight="1" ht="12.75">
      <c r="A481" s="4"/>
      <c r="B481" s="29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29"/>
      <c r="N481" s="29"/>
      <c r="O481" s="29"/>
      <c r="P481" s="32"/>
      <c r="Q481" s="32"/>
      <c r="R481" s="4"/>
      <c r="S481" s="4"/>
      <c r="T481" s="4"/>
      <c r="U481" s="4"/>
      <c r="V481" s="4"/>
      <c r="W481" s="4"/>
    </row>
    <row x14ac:dyDescent="0.25" r="482" customHeight="1" ht="12.75">
      <c r="A482" s="4"/>
      <c r="B482" s="29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29"/>
      <c r="N482" s="29"/>
      <c r="O482" s="29"/>
      <c r="P482" s="32"/>
      <c r="Q482" s="32"/>
      <c r="R482" s="4"/>
      <c r="S482" s="4"/>
      <c r="T482" s="4"/>
      <c r="U482" s="4"/>
      <c r="V482" s="4"/>
      <c r="W482" s="4"/>
    </row>
    <row x14ac:dyDescent="0.25" r="483" customHeight="1" ht="12.75">
      <c r="A483" s="4"/>
      <c r="B483" s="29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29"/>
      <c r="N483" s="29"/>
      <c r="O483" s="29"/>
      <c r="P483" s="32"/>
      <c r="Q483" s="32"/>
      <c r="R483" s="4"/>
      <c r="S483" s="4"/>
      <c r="T483" s="4"/>
      <c r="U483" s="4"/>
      <c r="V483" s="4"/>
      <c r="W483" s="4"/>
    </row>
    <row x14ac:dyDescent="0.25" r="484" customHeight="1" ht="12.75">
      <c r="A484" s="4"/>
      <c r="B484" s="29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29"/>
      <c r="N484" s="29"/>
      <c r="O484" s="29"/>
      <c r="P484" s="32"/>
      <c r="Q484" s="32"/>
      <c r="R484" s="4"/>
      <c r="S484" s="4"/>
      <c r="T484" s="4"/>
      <c r="U484" s="4"/>
      <c r="V484" s="4"/>
      <c r="W484" s="4"/>
    </row>
    <row x14ac:dyDescent="0.25" r="485" customHeight="1" ht="12.75">
      <c r="A485" s="4"/>
      <c r="B485" s="29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29"/>
      <c r="N485" s="29"/>
      <c r="O485" s="29"/>
      <c r="P485" s="32"/>
      <c r="Q485" s="32"/>
      <c r="R485" s="4"/>
      <c r="S485" s="4"/>
      <c r="T485" s="4"/>
      <c r="U485" s="4"/>
      <c r="V485" s="4"/>
      <c r="W485" s="4"/>
    </row>
    <row x14ac:dyDescent="0.25" r="486" customHeight="1" ht="12.75">
      <c r="A486" s="4"/>
      <c r="B486" s="29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29"/>
      <c r="N486" s="29"/>
      <c r="O486" s="29"/>
      <c r="P486" s="32"/>
      <c r="Q486" s="32"/>
      <c r="R486" s="4"/>
      <c r="S486" s="4"/>
      <c r="T486" s="4"/>
      <c r="U486" s="4"/>
      <c r="V486" s="4"/>
      <c r="W486" s="4"/>
    </row>
    <row x14ac:dyDescent="0.25" r="487" customHeight="1" ht="12.75">
      <c r="A487" s="4"/>
      <c r="B487" s="29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29"/>
      <c r="N487" s="29"/>
      <c r="O487" s="29"/>
      <c r="P487" s="32"/>
      <c r="Q487" s="32"/>
      <c r="R487" s="4"/>
      <c r="S487" s="4"/>
      <c r="T487" s="4"/>
      <c r="U487" s="4"/>
      <c r="V487" s="4"/>
      <c r="W487" s="4"/>
    </row>
    <row x14ac:dyDescent="0.25" r="488" customHeight="1" ht="12.75">
      <c r="A488" s="4"/>
      <c r="B488" s="29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29"/>
      <c r="N488" s="29"/>
      <c r="O488" s="29"/>
      <c r="P488" s="32"/>
      <c r="Q488" s="32"/>
      <c r="R488" s="4"/>
      <c r="S488" s="4"/>
      <c r="T488" s="4"/>
      <c r="U488" s="4"/>
      <c r="V488" s="4"/>
      <c r="W488" s="4"/>
    </row>
    <row x14ac:dyDescent="0.25" r="489" customHeight="1" ht="12.75">
      <c r="A489" s="4"/>
      <c r="B489" s="29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29"/>
      <c r="N489" s="29"/>
      <c r="O489" s="29"/>
      <c r="P489" s="32"/>
      <c r="Q489" s="32"/>
      <c r="R489" s="4"/>
      <c r="S489" s="4"/>
      <c r="T489" s="4"/>
      <c r="U489" s="4"/>
      <c r="V489" s="4"/>
      <c r="W489" s="4"/>
    </row>
    <row x14ac:dyDescent="0.25" r="490" customHeight="1" ht="12.75">
      <c r="A490" s="4"/>
      <c r="B490" s="29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29"/>
      <c r="N490" s="29"/>
      <c r="O490" s="29"/>
      <c r="P490" s="32"/>
      <c r="Q490" s="32"/>
      <c r="R490" s="4"/>
      <c r="S490" s="4"/>
      <c r="T490" s="4"/>
      <c r="U490" s="4"/>
      <c r="V490" s="4"/>
      <c r="W490" s="4"/>
    </row>
    <row x14ac:dyDescent="0.25" r="491" customHeight="1" ht="12.75">
      <c r="A491" s="4"/>
      <c r="B491" s="29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29"/>
      <c r="N491" s="29"/>
      <c r="O491" s="29"/>
      <c r="P491" s="32"/>
      <c r="Q491" s="32"/>
      <c r="R491" s="4"/>
      <c r="S491" s="4"/>
      <c r="T491" s="4"/>
      <c r="U491" s="4"/>
      <c r="V491" s="4"/>
      <c r="W491" s="4"/>
    </row>
    <row x14ac:dyDescent="0.25" r="492" customHeight="1" ht="12.75">
      <c r="A492" s="4"/>
      <c r="B492" s="29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29"/>
      <c r="N492" s="29"/>
      <c r="O492" s="29"/>
      <c r="P492" s="32"/>
      <c r="Q492" s="32"/>
      <c r="R492" s="4"/>
      <c r="S492" s="4"/>
      <c r="T492" s="4"/>
      <c r="U492" s="4"/>
      <c r="V492" s="4"/>
      <c r="W492" s="4"/>
    </row>
    <row x14ac:dyDescent="0.25" r="493" customHeight="1" ht="12.75">
      <c r="A493" s="4"/>
      <c r="B493" s="29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29"/>
      <c r="N493" s="29"/>
      <c r="O493" s="29"/>
      <c r="P493" s="32"/>
      <c r="Q493" s="32"/>
      <c r="R493" s="4"/>
      <c r="S493" s="4"/>
      <c r="T493" s="4"/>
      <c r="U493" s="4"/>
      <c r="V493" s="4"/>
      <c r="W493" s="4"/>
    </row>
    <row x14ac:dyDescent="0.25" r="494" customHeight="1" ht="12.75">
      <c r="A494" s="4"/>
      <c r="B494" s="29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29"/>
      <c r="N494" s="29"/>
      <c r="O494" s="29"/>
      <c r="P494" s="32"/>
      <c r="Q494" s="32"/>
      <c r="R494" s="4"/>
      <c r="S494" s="4"/>
      <c r="T494" s="4"/>
      <c r="U494" s="4"/>
      <c r="V494" s="4"/>
      <c r="W494" s="4"/>
    </row>
    <row x14ac:dyDescent="0.25" r="495" customHeight="1" ht="12.75">
      <c r="A495" s="4"/>
      <c r="B495" s="29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29"/>
      <c r="N495" s="29"/>
      <c r="O495" s="29"/>
      <c r="P495" s="32"/>
      <c r="Q495" s="32"/>
      <c r="R495" s="4"/>
      <c r="S495" s="4"/>
      <c r="T495" s="4"/>
      <c r="U495" s="4"/>
      <c r="V495" s="4"/>
      <c r="W495" s="4"/>
    </row>
    <row x14ac:dyDescent="0.25" r="496" customHeight="1" ht="12.75">
      <c r="A496" s="4"/>
      <c r="B496" s="29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29"/>
      <c r="N496" s="29"/>
      <c r="O496" s="29"/>
      <c r="P496" s="32"/>
      <c r="Q496" s="32"/>
      <c r="R496" s="4"/>
      <c r="S496" s="4"/>
      <c r="T496" s="4"/>
      <c r="U496" s="4"/>
      <c r="V496" s="4"/>
      <c r="W496" s="4"/>
    </row>
    <row x14ac:dyDescent="0.25" r="497" customHeight="1" ht="12.75">
      <c r="A497" s="4"/>
      <c r="B497" s="29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29"/>
      <c r="N497" s="29"/>
      <c r="O497" s="29"/>
      <c r="P497" s="32"/>
      <c r="Q497" s="32"/>
      <c r="R497" s="4"/>
      <c r="S497" s="4"/>
      <c r="T497" s="4"/>
      <c r="U497" s="4"/>
      <c r="V497" s="4"/>
      <c r="W497" s="4"/>
    </row>
    <row x14ac:dyDescent="0.25" r="498" customHeight="1" ht="12.75">
      <c r="A498" s="4"/>
      <c r="B498" s="29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29"/>
      <c r="N498" s="29"/>
      <c r="O498" s="29"/>
      <c r="P498" s="32"/>
      <c r="Q498" s="32"/>
      <c r="R498" s="4"/>
      <c r="S498" s="4"/>
      <c r="T498" s="4"/>
      <c r="U498" s="4"/>
      <c r="V498" s="4"/>
      <c r="W498" s="4"/>
    </row>
    <row x14ac:dyDescent="0.25" r="499" customHeight="1" ht="12.75">
      <c r="A499" s="4"/>
      <c r="B499" s="29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29"/>
      <c r="N499" s="29"/>
      <c r="O499" s="29"/>
      <c r="P499" s="32"/>
      <c r="Q499" s="32"/>
      <c r="R499" s="4"/>
      <c r="S499" s="4"/>
      <c r="T499" s="4"/>
      <c r="U499" s="4"/>
      <c r="V499" s="4"/>
      <c r="W499" s="4"/>
    </row>
    <row x14ac:dyDescent="0.25" r="500" customHeight="1" ht="12.75">
      <c r="A500" s="4"/>
      <c r="B500" s="29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29"/>
      <c r="N500" s="29"/>
      <c r="O500" s="29"/>
      <c r="P500" s="32"/>
      <c r="Q500" s="32"/>
      <c r="R500" s="4"/>
      <c r="S500" s="4"/>
      <c r="T500" s="4"/>
      <c r="U500" s="4"/>
      <c r="V500" s="4"/>
      <c r="W500" s="4"/>
    </row>
    <row x14ac:dyDescent="0.25" r="501" customHeight="1" ht="12.75">
      <c r="A501" s="4"/>
      <c r="B501" s="29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29"/>
      <c r="N501" s="29"/>
      <c r="O501" s="29"/>
      <c r="P501" s="32"/>
      <c r="Q501" s="32"/>
      <c r="R501" s="4"/>
      <c r="S501" s="4"/>
      <c r="T501" s="4"/>
      <c r="U501" s="4"/>
      <c r="V501" s="4"/>
      <c r="W501" s="4"/>
    </row>
    <row x14ac:dyDescent="0.25" r="502" customHeight="1" ht="12.75">
      <c r="A502" s="4"/>
      <c r="B502" s="29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29"/>
      <c r="N502" s="29"/>
      <c r="O502" s="29"/>
      <c r="P502" s="32"/>
      <c r="Q502" s="32"/>
      <c r="R502" s="4"/>
      <c r="S502" s="4"/>
      <c r="T502" s="4"/>
      <c r="U502" s="4"/>
      <c r="V502" s="4"/>
      <c r="W502" s="4"/>
    </row>
    <row x14ac:dyDescent="0.25" r="503" customHeight="1" ht="12.75">
      <c r="A503" s="4"/>
      <c r="B503" s="29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29"/>
      <c r="N503" s="29"/>
      <c r="O503" s="29"/>
      <c r="P503" s="32"/>
      <c r="Q503" s="32"/>
      <c r="R503" s="4"/>
      <c r="S503" s="4"/>
      <c r="T503" s="4"/>
      <c r="U503" s="4"/>
      <c r="V503" s="4"/>
      <c r="W503" s="4"/>
    </row>
    <row x14ac:dyDescent="0.25" r="504" customHeight="1" ht="12.75">
      <c r="A504" s="4"/>
      <c r="B504" s="29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29"/>
      <c r="N504" s="29"/>
      <c r="O504" s="29"/>
      <c r="P504" s="32"/>
      <c r="Q504" s="32"/>
      <c r="R504" s="4"/>
      <c r="S504" s="4"/>
      <c r="T504" s="4"/>
      <c r="U504" s="4"/>
      <c r="V504" s="4"/>
      <c r="W504" s="4"/>
    </row>
    <row x14ac:dyDescent="0.25" r="505" customHeight="1" ht="12.75">
      <c r="A505" s="4"/>
      <c r="B505" s="29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29"/>
      <c r="N505" s="29"/>
      <c r="O505" s="29"/>
      <c r="P505" s="32"/>
      <c r="Q505" s="32"/>
      <c r="R505" s="4"/>
      <c r="S505" s="4"/>
      <c r="T505" s="4"/>
      <c r="U505" s="4"/>
      <c r="V505" s="4"/>
      <c r="W505" s="4"/>
    </row>
    <row x14ac:dyDescent="0.25" r="506" customHeight="1" ht="12.75">
      <c r="A506" s="4"/>
      <c r="B506" s="29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29"/>
      <c r="N506" s="29"/>
      <c r="O506" s="29"/>
      <c r="P506" s="32"/>
      <c r="Q506" s="32"/>
      <c r="R506" s="4"/>
      <c r="S506" s="4"/>
      <c r="T506" s="4"/>
      <c r="U506" s="4"/>
      <c r="V506" s="4"/>
      <c r="W506" s="4"/>
    </row>
    <row x14ac:dyDescent="0.25" r="507" customHeight="1" ht="12.75">
      <c r="A507" s="4"/>
      <c r="B507" s="29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29"/>
      <c r="N507" s="29"/>
      <c r="O507" s="29"/>
      <c r="P507" s="32"/>
      <c r="Q507" s="32"/>
      <c r="R507" s="4"/>
      <c r="S507" s="4"/>
      <c r="T507" s="4"/>
      <c r="U507" s="4"/>
      <c r="V507" s="4"/>
      <c r="W507" s="4"/>
    </row>
    <row x14ac:dyDescent="0.25" r="508" customHeight="1" ht="12.75">
      <c r="A508" s="4"/>
      <c r="B508" s="29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29"/>
      <c r="N508" s="29"/>
      <c r="O508" s="29"/>
      <c r="P508" s="32"/>
      <c r="Q508" s="32"/>
      <c r="R508" s="4"/>
      <c r="S508" s="4"/>
      <c r="T508" s="4"/>
      <c r="U508" s="4"/>
      <c r="V508" s="4"/>
      <c r="W508" s="4"/>
    </row>
    <row x14ac:dyDescent="0.25" r="509" customHeight="1" ht="12.75">
      <c r="A509" s="4"/>
      <c r="B509" s="29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29"/>
      <c r="N509" s="29"/>
      <c r="O509" s="29"/>
      <c r="P509" s="32"/>
      <c r="Q509" s="32"/>
      <c r="R509" s="4"/>
      <c r="S509" s="4"/>
      <c r="T509" s="4"/>
      <c r="U509" s="4"/>
      <c r="V509" s="4"/>
      <c r="W509" s="4"/>
    </row>
    <row x14ac:dyDescent="0.25" r="510" customHeight="1" ht="12.75">
      <c r="A510" s="4"/>
      <c r="B510" s="29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29"/>
      <c r="N510" s="29"/>
      <c r="O510" s="29"/>
      <c r="P510" s="32"/>
      <c r="Q510" s="32"/>
      <c r="R510" s="4"/>
      <c r="S510" s="4"/>
      <c r="T510" s="4"/>
      <c r="U510" s="4"/>
      <c r="V510" s="4"/>
      <c r="W510" s="4"/>
    </row>
    <row x14ac:dyDescent="0.25" r="511" customHeight="1" ht="12.75">
      <c r="A511" s="4"/>
      <c r="B511" s="29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29"/>
      <c r="N511" s="29"/>
      <c r="O511" s="29"/>
      <c r="P511" s="32"/>
      <c r="Q511" s="32"/>
      <c r="R511" s="4"/>
      <c r="S511" s="4"/>
      <c r="T511" s="4"/>
      <c r="U511" s="4"/>
      <c r="V511" s="4"/>
      <c r="W511" s="4"/>
    </row>
    <row x14ac:dyDescent="0.25" r="512" customHeight="1" ht="12.75">
      <c r="A512" s="4"/>
      <c r="B512" s="29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29"/>
      <c r="N512" s="29"/>
      <c r="O512" s="29"/>
      <c r="P512" s="32"/>
      <c r="Q512" s="32"/>
      <c r="R512" s="4"/>
      <c r="S512" s="4"/>
      <c r="T512" s="4"/>
      <c r="U512" s="4"/>
      <c r="V512" s="4"/>
      <c r="W512" s="4"/>
    </row>
    <row x14ac:dyDescent="0.25" r="513" customHeight="1" ht="12.75">
      <c r="A513" s="4"/>
      <c r="B513" s="29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29"/>
      <c r="N513" s="29"/>
      <c r="O513" s="29"/>
      <c r="P513" s="32"/>
      <c r="Q513" s="32"/>
      <c r="R513" s="4"/>
      <c r="S513" s="4"/>
      <c r="T513" s="4"/>
      <c r="U513" s="4"/>
      <c r="V513" s="4"/>
      <c r="W513" s="4"/>
    </row>
    <row x14ac:dyDescent="0.25" r="514" customHeight="1" ht="12.75">
      <c r="A514" s="4"/>
      <c r="B514" s="29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29"/>
      <c r="N514" s="29"/>
      <c r="O514" s="29"/>
      <c r="P514" s="32"/>
      <c r="Q514" s="32"/>
      <c r="R514" s="4"/>
      <c r="S514" s="4"/>
      <c r="T514" s="4"/>
      <c r="U514" s="4"/>
      <c r="V514" s="4"/>
      <c r="W514" s="4"/>
    </row>
    <row x14ac:dyDescent="0.25" r="515" customHeight="1" ht="12.75">
      <c r="A515" s="4"/>
      <c r="B515" s="29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29"/>
      <c r="N515" s="29"/>
      <c r="O515" s="29"/>
      <c r="P515" s="32"/>
      <c r="Q515" s="32"/>
      <c r="R515" s="4"/>
      <c r="S515" s="4"/>
      <c r="T515" s="4"/>
      <c r="U515" s="4"/>
      <c r="V515" s="4"/>
      <c r="W515" s="4"/>
    </row>
    <row x14ac:dyDescent="0.25" r="516" customHeight="1" ht="12.75">
      <c r="A516" s="4"/>
      <c r="B516" s="29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29"/>
      <c r="N516" s="29"/>
      <c r="O516" s="29"/>
      <c r="P516" s="32"/>
      <c r="Q516" s="32"/>
      <c r="R516" s="4"/>
      <c r="S516" s="4"/>
      <c r="T516" s="4"/>
      <c r="U516" s="4"/>
      <c r="V516" s="4"/>
      <c r="W516" s="4"/>
    </row>
    <row x14ac:dyDescent="0.25" r="517" customHeight="1" ht="12.75">
      <c r="A517" s="4"/>
      <c r="B517" s="29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29"/>
      <c r="N517" s="29"/>
      <c r="O517" s="29"/>
      <c r="P517" s="32"/>
      <c r="Q517" s="32"/>
      <c r="R517" s="4"/>
      <c r="S517" s="4"/>
      <c r="T517" s="4"/>
      <c r="U517" s="4"/>
      <c r="V517" s="4"/>
      <c r="W517" s="4"/>
    </row>
    <row x14ac:dyDescent="0.25" r="518" customHeight="1" ht="12.75">
      <c r="A518" s="4"/>
      <c r="B518" s="29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29"/>
      <c r="N518" s="29"/>
      <c r="O518" s="29"/>
      <c r="P518" s="32"/>
      <c r="Q518" s="32"/>
      <c r="R518" s="4"/>
      <c r="S518" s="4"/>
      <c r="T518" s="4"/>
      <c r="U518" s="4"/>
      <c r="V518" s="4"/>
      <c r="W518" s="4"/>
    </row>
    <row x14ac:dyDescent="0.25" r="519" customHeight="1" ht="12.75">
      <c r="A519" s="4"/>
      <c r="B519" s="29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29"/>
      <c r="N519" s="29"/>
      <c r="O519" s="29"/>
      <c r="P519" s="32"/>
      <c r="Q519" s="32"/>
      <c r="R519" s="4"/>
      <c r="S519" s="4"/>
      <c r="T519" s="4"/>
      <c r="U519" s="4"/>
      <c r="V519" s="4"/>
      <c r="W519" s="4"/>
    </row>
    <row x14ac:dyDescent="0.25" r="520" customHeight="1" ht="12.75">
      <c r="A520" s="4"/>
      <c r="B520" s="29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29"/>
      <c r="N520" s="29"/>
      <c r="O520" s="29"/>
      <c r="P520" s="32"/>
      <c r="Q520" s="32"/>
      <c r="R520" s="4"/>
      <c r="S520" s="4"/>
      <c r="T520" s="4"/>
      <c r="U520" s="4"/>
      <c r="V520" s="4"/>
      <c r="W520" s="4"/>
    </row>
    <row x14ac:dyDescent="0.25" r="521" customHeight="1" ht="12.75">
      <c r="A521" s="4"/>
      <c r="B521" s="29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29"/>
      <c r="N521" s="29"/>
      <c r="O521" s="29"/>
      <c r="P521" s="32"/>
      <c r="Q521" s="32"/>
      <c r="R521" s="4"/>
      <c r="S521" s="4"/>
      <c r="T521" s="4"/>
      <c r="U521" s="4"/>
      <c r="V521" s="4"/>
      <c r="W521" s="4"/>
    </row>
    <row x14ac:dyDescent="0.25" r="522" customHeight="1" ht="12.75">
      <c r="A522" s="4"/>
      <c r="B522" s="29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29"/>
      <c r="N522" s="29"/>
      <c r="O522" s="29"/>
      <c r="P522" s="32"/>
      <c r="Q522" s="32"/>
      <c r="R522" s="4"/>
      <c r="S522" s="4"/>
      <c r="T522" s="4"/>
      <c r="U522" s="4"/>
      <c r="V522" s="4"/>
      <c r="W522" s="4"/>
    </row>
    <row x14ac:dyDescent="0.25" r="523" customHeight="1" ht="12.75">
      <c r="A523" s="4"/>
      <c r="B523" s="29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29"/>
      <c r="N523" s="29"/>
      <c r="O523" s="29"/>
      <c r="P523" s="32"/>
      <c r="Q523" s="32"/>
      <c r="R523" s="4"/>
      <c r="S523" s="4"/>
      <c r="T523" s="4"/>
      <c r="U523" s="4"/>
      <c r="V523" s="4"/>
      <c r="W523" s="4"/>
    </row>
    <row x14ac:dyDescent="0.25" r="524" customHeight="1" ht="12.75">
      <c r="A524" s="4"/>
      <c r="B524" s="29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29"/>
      <c r="N524" s="29"/>
      <c r="O524" s="29"/>
      <c r="P524" s="32"/>
      <c r="Q524" s="32"/>
      <c r="R524" s="4"/>
      <c r="S524" s="4"/>
      <c r="T524" s="4"/>
      <c r="U524" s="4"/>
      <c r="V524" s="4"/>
      <c r="W524" s="4"/>
    </row>
    <row x14ac:dyDescent="0.25" r="525" customHeight="1" ht="12.75">
      <c r="A525" s="4"/>
      <c r="B525" s="29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29"/>
      <c r="N525" s="29"/>
      <c r="O525" s="29"/>
      <c r="P525" s="32"/>
      <c r="Q525" s="32"/>
      <c r="R525" s="4"/>
      <c r="S525" s="4"/>
      <c r="T525" s="4"/>
      <c r="U525" s="4"/>
      <c r="V525" s="4"/>
      <c r="W525" s="4"/>
    </row>
    <row x14ac:dyDescent="0.25" r="526" customHeight="1" ht="12.75">
      <c r="A526" s="4"/>
      <c r="B526" s="29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29"/>
      <c r="N526" s="29"/>
      <c r="O526" s="29"/>
      <c r="P526" s="32"/>
      <c r="Q526" s="32"/>
      <c r="R526" s="4"/>
      <c r="S526" s="4"/>
      <c r="T526" s="4"/>
      <c r="U526" s="4"/>
      <c r="V526" s="4"/>
      <c r="W526" s="4"/>
    </row>
    <row x14ac:dyDescent="0.25" r="527" customHeight="1" ht="12.75">
      <c r="A527" s="4"/>
      <c r="B527" s="29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29"/>
      <c r="N527" s="29"/>
      <c r="O527" s="29"/>
      <c r="P527" s="32"/>
      <c r="Q527" s="32"/>
      <c r="R527" s="4"/>
      <c r="S527" s="4"/>
      <c r="T527" s="4"/>
      <c r="U527" s="4"/>
      <c r="V527" s="4"/>
      <c r="W527" s="4"/>
    </row>
    <row x14ac:dyDescent="0.25" r="528" customHeight="1" ht="12.75">
      <c r="A528" s="4"/>
      <c r="B528" s="29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29"/>
      <c r="N528" s="29"/>
      <c r="O528" s="29"/>
      <c r="P528" s="32"/>
      <c r="Q528" s="32"/>
      <c r="R528" s="4"/>
      <c r="S528" s="4"/>
      <c r="T528" s="4"/>
      <c r="U528" s="4"/>
      <c r="V528" s="4"/>
      <c r="W528" s="4"/>
    </row>
    <row x14ac:dyDescent="0.25" r="529" customHeight="1" ht="12.75">
      <c r="A529" s="4"/>
      <c r="B529" s="29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29"/>
      <c r="N529" s="29"/>
      <c r="O529" s="29"/>
      <c r="P529" s="32"/>
      <c r="Q529" s="32"/>
      <c r="R529" s="4"/>
      <c r="S529" s="4"/>
      <c r="T529" s="4"/>
      <c r="U529" s="4"/>
      <c r="V529" s="4"/>
      <c r="W529" s="4"/>
    </row>
    <row x14ac:dyDescent="0.25" r="530" customHeight="1" ht="12.75">
      <c r="A530" s="4"/>
      <c r="B530" s="29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29"/>
      <c r="N530" s="29"/>
      <c r="O530" s="29"/>
      <c r="P530" s="32"/>
      <c r="Q530" s="32"/>
      <c r="R530" s="4"/>
      <c r="S530" s="4"/>
      <c r="T530" s="4"/>
      <c r="U530" s="4"/>
      <c r="V530" s="4"/>
      <c r="W530" s="4"/>
    </row>
    <row x14ac:dyDescent="0.25" r="531" customHeight="1" ht="12.75">
      <c r="A531" s="4"/>
      <c r="B531" s="29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29"/>
      <c r="N531" s="29"/>
      <c r="O531" s="29"/>
      <c r="P531" s="32"/>
      <c r="Q531" s="32"/>
      <c r="R531" s="4"/>
      <c r="S531" s="4"/>
      <c r="T531" s="4"/>
      <c r="U531" s="4"/>
      <c r="V531" s="4"/>
      <c r="W531" s="4"/>
    </row>
    <row x14ac:dyDescent="0.25" r="532" customHeight="1" ht="12.75">
      <c r="A532" s="4"/>
      <c r="B532" s="29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29"/>
      <c r="N532" s="29"/>
      <c r="O532" s="29"/>
      <c r="P532" s="32"/>
      <c r="Q532" s="32"/>
      <c r="R532" s="4"/>
      <c r="S532" s="4"/>
      <c r="T532" s="4"/>
      <c r="U532" s="4"/>
      <c r="V532" s="4"/>
      <c r="W532" s="4"/>
    </row>
    <row x14ac:dyDescent="0.25" r="533" customHeight="1" ht="12.75">
      <c r="A533" s="4"/>
      <c r="B533" s="29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29"/>
      <c r="N533" s="29"/>
      <c r="O533" s="29"/>
      <c r="P533" s="32"/>
      <c r="Q533" s="32"/>
      <c r="R533" s="4"/>
      <c r="S533" s="4"/>
      <c r="T533" s="4"/>
      <c r="U533" s="4"/>
      <c r="V533" s="4"/>
      <c r="W533" s="4"/>
    </row>
    <row x14ac:dyDescent="0.25" r="534" customHeight="1" ht="12.75">
      <c r="A534" s="4"/>
      <c r="B534" s="29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29"/>
      <c r="N534" s="29"/>
      <c r="O534" s="29"/>
      <c r="P534" s="32"/>
      <c r="Q534" s="32"/>
      <c r="R534" s="4"/>
      <c r="S534" s="4"/>
      <c r="T534" s="4"/>
      <c r="U534" s="4"/>
      <c r="V534" s="4"/>
      <c r="W534" s="4"/>
    </row>
    <row x14ac:dyDescent="0.25" r="535" customHeight="1" ht="12.75">
      <c r="A535" s="4"/>
      <c r="B535" s="29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29"/>
      <c r="N535" s="29"/>
      <c r="O535" s="29"/>
      <c r="P535" s="32"/>
      <c r="Q535" s="32"/>
      <c r="R535" s="4"/>
      <c r="S535" s="4"/>
      <c r="T535" s="4"/>
      <c r="U535" s="4"/>
      <c r="V535" s="4"/>
      <c r="W535" s="4"/>
    </row>
    <row x14ac:dyDescent="0.25" r="536" customHeight="1" ht="12.75">
      <c r="A536" s="4"/>
      <c r="B536" s="29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29"/>
      <c r="N536" s="29"/>
      <c r="O536" s="29"/>
      <c r="P536" s="32"/>
      <c r="Q536" s="32"/>
      <c r="R536" s="4"/>
      <c r="S536" s="4"/>
      <c r="T536" s="4"/>
      <c r="U536" s="4"/>
      <c r="V536" s="4"/>
      <c r="W536" s="4"/>
    </row>
    <row x14ac:dyDescent="0.25" r="537" customHeight="1" ht="12.75">
      <c r="A537" s="4"/>
      <c r="B537" s="29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29"/>
      <c r="N537" s="29"/>
      <c r="O537" s="29"/>
      <c r="P537" s="32"/>
      <c r="Q537" s="32"/>
      <c r="R537" s="4"/>
      <c r="S537" s="4"/>
      <c r="T537" s="4"/>
      <c r="U537" s="4"/>
      <c r="V537" s="4"/>
      <c r="W537" s="4"/>
    </row>
    <row x14ac:dyDescent="0.25" r="538" customHeight="1" ht="12.75">
      <c r="A538" s="4"/>
      <c r="B538" s="29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29"/>
      <c r="N538" s="29"/>
      <c r="O538" s="29"/>
      <c r="P538" s="32"/>
      <c r="Q538" s="32"/>
      <c r="R538" s="4"/>
      <c r="S538" s="4"/>
      <c r="T538" s="4"/>
      <c r="U538" s="4"/>
      <c r="V538" s="4"/>
      <c r="W538" s="4"/>
    </row>
    <row x14ac:dyDescent="0.25" r="539" customHeight="1" ht="12.75">
      <c r="A539" s="4"/>
      <c r="B539" s="29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29"/>
      <c r="N539" s="29"/>
      <c r="O539" s="29"/>
      <c r="P539" s="32"/>
      <c r="Q539" s="32"/>
      <c r="R539" s="4"/>
      <c r="S539" s="4"/>
      <c r="T539" s="4"/>
      <c r="U539" s="4"/>
      <c r="V539" s="4"/>
      <c r="W539" s="4"/>
    </row>
    <row x14ac:dyDescent="0.25" r="540" customHeight="1" ht="12.75">
      <c r="A540" s="4"/>
      <c r="B540" s="29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29"/>
      <c r="N540" s="29"/>
      <c r="O540" s="29"/>
      <c r="P540" s="32"/>
      <c r="Q540" s="32"/>
      <c r="R540" s="4"/>
      <c r="S540" s="4"/>
      <c r="T540" s="4"/>
      <c r="U540" s="4"/>
      <c r="V540" s="4"/>
      <c r="W540" s="4"/>
    </row>
    <row x14ac:dyDescent="0.25" r="541" customHeight="1" ht="12.75">
      <c r="A541" s="4"/>
      <c r="B541" s="29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29"/>
      <c r="N541" s="29"/>
      <c r="O541" s="29"/>
      <c r="P541" s="32"/>
      <c r="Q541" s="32"/>
      <c r="R541" s="4"/>
      <c r="S541" s="4"/>
      <c r="T541" s="4"/>
      <c r="U541" s="4"/>
      <c r="V541" s="4"/>
      <c r="W541" s="4"/>
    </row>
    <row x14ac:dyDescent="0.25" r="542" customHeight="1" ht="12.75">
      <c r="A542" s="4"/>
      <c r="B542" s="29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29"/>
      <c r="N542" s="29"/>
      <c r="O542" s="29"/>
      <c r="P542" s="32"/>
      <c r="Q542" s="32"/>
      <c r="R542" s="4"/>
      <c r="S542" s="4"/>
      <c r="T542" s="4"/>
      <c r="U542" s="4"/>
      <c r="V542" s="4"/>
      <c r="W542" s="4"/>
    </row>
    <row x14ac:dyDescent="0.25" r="543" customHeight="1" ht="12.75">
      <c r="A543" s="4"/>
      <c r="B543" s="29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29"/>
      <c r="N543" s="29"/>
      <c r="O543" s="29"/>
      <c r="P543" s="32"/>
      <c r="Q543" s="32"/>
      <c r="R543" s="4"/>
      <c r="S543" s="4"/>
      <c r="T543" s="4"/>
      <c r="U543" s="4"/>
      <c r="V543" s="4"/>
      <c r="W543" s="4"/>
    </row>
    <row x14ac:dyDescent="0.25" r="544" customHeight="1" ht="12.75">
      <c r="A544" s="4"/>
      <c r="B544" s="29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29"/>
      <c r="N544" s="29"/>
      <c r="O544" s="29"/>
      <c r="P544" s="32"/>
      <c r="Q544" s="32"/>
      <c r="R544" s="4"/>
      <c r="S544" s="4"/>
      <c r="T544" s="4"/>
      <c r="U544" s="4"/>
      <c r="V544" s="4"/>
      <c r="W544" s="4"/>
    </row>
    <row x14ac:dyDescent="0.25" r="545" customHeight="1" ht="12.75">
      <c r="A545" s="4"/>
      <c r="B545" s="29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29"/>
      <c r="N545" s="29"/>
      <c r="O545" s="29"/>
      <c r="P545" s="32"/>
      <c r="Q545" s="32"/>
      <c r="R545" s="4"/>
      <c r="S545" s="4"/>
      <c r="T545" s="4"/>
      <c r="U545" s="4"/>
      <c r="V545" s="4"/>
      <c r="W545" s="4"/>
    </row>
    <row x14ac:dyDescent="0.25" r="546" customHeight="1" ht="12.75">
      <c r="A546" s="4"/>
      <c r="B546" s="29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29"/>
      <c r="N546" s="29"/>
      <c r="O546" s="29"/>
      <c r="P546" s="32"/>
      <c r="Q546" s="32"/>
      <c r="R546" s="4"/>
      <c r="S546" s="4"/>
      <c r="T546" s="4"/>
      <c r="U546" s="4"/>
      <c r="V546" s="4"/>
      <c r="W546" s="4"/>
    </row>
    <row x14ac:dyDescent="0.25" r="547" customHeight="1" ht="12.75">
      <c r="A547" s="4"/>
      <c r="B547" s="29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29"/>
      <c r="N547" s="29"/>
      <c r="O547" s="29"/>
      <c r="P547" s="32"/>
      <c r="Q547" s="32"/>
      <c r="R547" s="4"/>
      <c r="S547" s="4"/>
      <c r="T547" s="4"/>
      <c r="U547" s="4"/>
      <c r="V547" s="4"/>
      <c r="W547" s="4"/>
    </row>
    <row x14ac:dyDescent="0.25" r="548" customHeight="1" ht="12.75">
      <c r="A548" s="4"/>
      <c r="B548" s="29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29"/>
      <c r="N548" s="29"/>
      <c r="O548" s="29"/>
      <c r="P548" s="32"/>
      <c r="Q548" s="32"/>
      <c r="R548" s="4"/>
      <c r="S548" s="4"/>
      <c r="T548" s="4"/>
      <c r="U548" s="4"/>
      <c r="V548" s="4"/>
      <c r="W548" s="4"/>
    </row>
    <row x14ac:dyDescent="0.25" r="549" customHeight="1" ht="12.75">
      <c r="A549" s="4"/>
      <c r="B549" s="29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29"/>
      <c r="N549" s="29"/>
      <c r="O549" s="29"/>
      <c r="P549" s="32"/>
      <c r="Q549" s="32"/>
      <c r="R549" s="4"/>
      <c r="S549" s="4"/>
      <c r="T549" s="4"/>
      <c r="U549" s="4"/>
      <c r="V549" s="4"/>
      <c r="W549" s="4"/>
    </row>
    <row x14ac:dyDescent="0.25" r="550" customHeight="1" ht="12.75">
      <c r="A550" s="4"/>
      <c r="B550" s="29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29"/>
      <c r="N550" s="29"/>
      <c r="O550" s="29"/>
      <c r="P550" s="32"/>
      <c r="Q550" s="32"/>
      <c r="R550" s="4"/>
      <c r="S550" s="4"/>
      <c r="T550" s="4"/>
      <c r="U550" s="4"/>
      <c r="V550" s="4"/>
      <c r="W550" s="4"/>
    </row>
    <row x14ac:dyDescent="0.25" r="551" customHeight="1" ht="12.75">
      <c r="A551" s="4"/>
      <c r="B551" s="29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29"/>
      <c r="N551" s="29"/>
      <c r="O551" s="29"/>
      <c r="P551" s="32"/>
      <c r="Q551" s="32"/>
      <c r="R551" s="4"/>
      <c r="S551" s="4"/>
      <c r="T551" s="4"/>
      <c r="U551" s="4"/>
      <c r="V551" s="4"/>
      <c r="W551" s="4"/>
    </row>
    <row x14ac:dyDescent="0.25" r="552" customHeight="1" ht="12.75">
      <c r="A552" s="4"/>
      <c r="B552" s="29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29"/>
      <c r="N552" s="29"/>
      <c r="O552" s="29"/>
      <c r="P552" s="32"/>
      <c r="Q552" s="32"/>
      <c r="R552" s="4"/>
      <c r="S552" s="4"/>
      <c r="T552" s="4"/>
      <c r="U552" s="4"/>
      <c r="V552" s="4"/>
      <c r="W552" s="4"/>
    </row>
    <row x14ac:dyDescent="0.25" r="553" customHeight="1" ht="12.75">
      <c r="A553" s="4"/>
      <c r="B553" s="29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29"/>
      <c r="N553" s="29"/>
      <c r="O553" s="29"/>
      <c r="P553" s="32"/>
      <c r="Q553" s="32"/>
      <c r="R553" s="4"/>
      <c r="S553" s="4"/>
      <c r="T553" s="4"/>
      <c r="U553" s="4"/>
      <c r="V553" s="4"/>
      <c r="W553" s="4"/>
    </row>
    <row x14ac:dyDescent="0.25" r="554" customHeight="1" ht="12.75">
      <c r="A554" s="4"/>
      <c r="B554" s="29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29"/>
      <c r="N554" s="29"/>
      <c r="O554" s="29"/>
      <c r="P554" s="32"/>
      <c r="Q554" s="32"/>
      <c r="R554" s="4"/>
      <c r="S554" s="4"/>
      <c r="T554" s="4"/>
      <c r="U554" s="4"/>
      <c r="V554" s="4"/>
      <c r="W554" s="4"/>
    </row>
    <row x14ac:dyDescent="0.25" r="555" customHeight="1" ht="12.75">
      <c r="A555" s="4"/>
      <c r="B555" s="29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29"/>
      <c r="N555" s="29"/>
      <c r="O555" s="29"/>
      <c r="P555" s="32"/>
      <c r="Q555" s="32"/>
      <c r="R555" s="4"/>
      <c r="S555" s="4"/>
      <c r="T555" s="4"/>
      <c r="U555" s="4"/>
      <c r="V555" s="4"/>
      <c r="W555" s="4"/>
    </row>
    <row x14ac:dyDescent="0.25" r="556" customHeight="1" ht="12.75">
      <c r="A556" s="4"/>
      <c r="B556" s="29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29"/>
      <c r="N556" s="29"/>
      <c r="O556" s="29"/>
      <c r="P556" s="32"/>
      <c r="Q556" s="32"/>
      <c r="R556" s="4"/>
      <c r="S556" s="4"/>
      <c r="T556" s="4"/>
      <c r="U556" s="4"/>
      <c r="V556" s="4"/>
      <c r="W556" s="4"/>
    </row>
    <row x14ac:dyDescent="0.25" r="557" customHeight="1" ht="12.75">
      <c r="A557" s="4"/>
      <c r="B557" s="29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29"/>
      <c r="N557" s="29"/>
      <c r="O557" s="29"/>
      <c r="P557" s="32"/>
      <c r="Q557" s="32"/>
      <c r="R557" s="4"/>
      <c r="S557" s="4"/>
      <c r="T557" s="4"/>
      <c r="U557" s="4"/>
      <c r="V557" s="4"/>
      <c r="W557" s="4"/>
    </row>
    <row x14ac:dyDescent="0.25" r="558" customHeight="1" ht="12.75">
      <c r="A558" s="4"/>
      <c r="B558" s="29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29"/>
      <c r="N558" s="29"/>
      <c r="O558" s="29"/>
      <c r="P558" s="32"/>
      <c r="Q558" s="32"/>
      <c r="R558" s="4"/>
      <c r="S558" s="4"/>
      <c r="T558" s="4"/>
      <c r="U558" s="4"/>
      <c r="V558" s="4"/>
      <c r="W558" s="4"/>
    </row>
    <row x14ac:dyDescent="0.25" r="559" customHeight="1" ht="12.75">
      <c r="A559" s="4"/>
      <c r="B559" s="29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29"/>
      <c r="N559" s="29"/>
      <c r="O559" s="29"/>
      <c r="P559" s="32"/>
      <c r="Q559" s="32"/>
      <c r="R559" s="4"/>
      <c r="S559" s="4"/>
      <c r="T559" s="4"/>
      <c r="U559" s="4"/>
      <c r="V559" s="4"/>
      <c r="W559" s="4"/>
    </row>
    <row x14ac:dyDescent="0.25" r="560" customHeight="1" ht="12.75">
      <c r="A560" s="4"/>
      <c r="B560" s="29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29"/>
      <c r="N560" s="29"/>
      <c r="O560" s="29"/>
      <c r="P560" s="32"/>
      <c r="Q560" s="32"/>
      <c r="R560" s="4"/>
      <c r="S560" s="4"/>
      <c r="T560" s="4"/>
      <c r="U560" s="4"/>
      <c r="V560" s="4"/>
      <c r="W560" s="4"/>
    </row>
    <row x14ac:dyDescent="0.25" r="561" customHeight="1" ht="12.75">
      <c r="A561" s="4"/>
      <c r="B561" s="29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29"/>
      <c r="N561" s="29"/>
      <c r="O561" s="29"/>
      <c r="P561" s="32"/>
      <c r="Q561" s="32"/>
      <c r="R561" s="4"/>
      <c r="S561" s="4"/>
      <c r="T561" s="4"/>
      <c r="U561" s="4"/>
      <c r="V561" s="4"/>
      <c r="W561" s="4"/>
    </row>
    <row x14ac:dyDescent="0.25" r="562" customHeight="1" ht="12.75">
      <c r="A562" s="4"/>
      <c r="B562" s="29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29"/>
      <c r="N562" s="29"/>
      <c r="O562" s="29"/>
      <c r="P562" s="32"/>
      <c r="Q562" s="32"/>
      <c r="R562" s="4"/>
      <c r="S562" s="4"/>
      <c r="T562" s="4"/>
      <c r="U562" s="4"/>
      <c r="V562" s="4"/>
      <c r="W562" s="4"/>
    </row>
    <row x14ac:dyDescent="0.25" r="563" customHeight="1" ht="12.75">
      <c r="A563" s="4"/>
      <c r="B563" s="29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29"/>
      <c r="N563" s="29"/>
      <c r="O563" s="29"/>
      <c r="P563" s="32"/>
      <c r="Q563" s="32"/>
      <c r="R563" s="4"/>
      <c r="S563" s="4"/>
      <c r="T563" s="4"/>
      <c r="U563" s="4"/>
      <c r="V563" s="4"/>
      <c r="W563" s="4"/>
    </row>
    <row x14ac:dyDescent="0.25" r="564" customHeight="1" ht="12.75">
      <c r="A564" s="4"/>
      <c r="B564" s="29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29"/>
      <c r="N564" s="29"/>
      <c r="O564" s="29"/>
      <c r="P564" s="32"/>
      <c r="Q564" s="32"/>
      <c r="R564" s="4"/>
      <c r="S564" s="4"/>
      <c r="T564" s="4"/>
      <c r="U564" s="4"/>
      <c r="V564" s="4"/>
      <c r="W564" s="4"/>
    </row>
    <row x14ac:dyDescent="0.25" r="565" customHeight="1" ht="12.75">
      <c r="A565" s="4"/>
      <c r="B565" s="29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29"/>
      <c r="N565" s="29"/>
      <c r="O565" s="29"/>
      <c r="P565" s="32"/>
      <c r="Q565" s="32"/>
      <c r="R565" s="4"/>
      <c r="S565" s="4"/>
      <c r="T565" s="4"/>
      <c r="U565" s="4"/>
      <c r="V565" s="4"/>
      <c r="W565" s="4"/>
    </row>
    <row x14ac:dyDescent="0.25" r="566" customHeight="1" ht="12.75">
      <c r="A566" s="4"/>
      <c r="B566" s="29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29"/>
      <c r="N566" s="29"/>
      <c r="O566" s="29"/>
      <c r="P566" s="32"/>
      <c r="Q566" s="32"/>
      <c r="R566" s="4"/>
      <c r="S566" s="4"/>
      <c r="T566" s="4"/>
      <c r="U566" s="4"/>
      <c r="V566" s="4"/>
      <c r="W566" s="4"/>
    </row>
    <row x14ac:dyDescent="0.25" r="567" customHeight="1" ht="12.75">
      <c r="A567" s="4"/>
      <c r="B567" s="29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29"/>
      <c r="N567" s="29"/>
      <c r="O567" s="29"/>
      <c r="P567" s="32"/>
      <c r="Q567" s="32"/>
      <c r="R567" s="4"/>
      <c r="S567" s="4"/>
      <c r="T567" s="4"/>
      <c r="U567" s="4"/>
      <c r="V567" s="4"/>
      <c r="W567" s="4"/>
    </row>
    <row x14ac:dyDescent="0.25" r="568" customHeight="1" ht="12.75">
      <c r="A568" s="4"/>
      <c r="B568" s="29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29"/>
      <c r="N568" s="29"/>
      <c r="O568" s="29"/>
      <c r="P568" s="32"/>
      <c r="Q568" s="32"/>
      <c r="R568" s="4"/>
      <c r="S568" s="4"/>
      <c r="T568" s="4"/>
      <c r="U568" s="4"/>
      <c r="V568" s="4"/>
      <c r="W568" s="4"/>
    </row>
    <row x14ac:dyDescent="0.25" r="569" customHeight="1" ht="12.75">
      <c r="A569" s="4"/>
      <c r="B569" s="29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29"/>
      <c r="N569" s="29"/>
      <c r="O569" s="29"/>
      <c r="P569" s="32"/>
      <c r="Q569" s="32"/>
      <c r="R569" s="4"/>
      <c r="S569" s="4"/>
      <c r="T569" s="4"/>
      <c r="U569" s="4"/>
      <c r="V569" s="4"/>
      <c r="W569" s="4"/>
    </row>
    <row x14ac:dyDescent="0.25" r="570" customHeight="1" ht="12.75">
      <c r="A570" s="4"/>
      <c r="B570" s="29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29"/>
      <c r="N570" s="29"/>
      <c r="O570" s="29"/>
      <c r="P570" s="32"/>
      <c r="Q570" s="32"/>
      <c r="R570" s="4"/>
      <c r="S570" s="4"/>
      <c r="T570" s="4"/>
      <c r="U570" s="4"/>
      <c r="V570" s="4"/>
      <c r="W570" s="4"/>
    </row>
    <row x14ac:dyDescent="0.25" r="571" customHeight="1" ht="12.75">
      <c r="A571" s="4"/>
      <c r="B571" s="29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29"/>
      <c r="N571" s="29"/>
      <c r="O571" s="29"/>
      <c r="P571" s="32"/>
      <c r="Q571" s="32"/>
      <c r="R571" s="4"/>
      <c r="S571" s="4"/>
      <c r="T571" s="4"/>
      <c r="U571" s="4"/>
      <c r="V571" s="4"/>
      <c r="W571" s="4"/>
    </row>
    <row x14ac:dyDescent="0.25" r="572" customHeight="1" ht="12.75">
      <c r="A572" s="4"/>
      <c r="B572" s="29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29"/>
      <c r="N572" s="29"/>
      <c r="O572" s="29"/>
      <c r="P572" s="32"/>
      <c r="Q572" s="32"/>
      <c r="R572" s="4"/>
      <c r="S572" s="4"/>
      <c r="T572" s="4"/>
      <c r="U572" s="4"/>
      <c r="V572" s="4"/>
      <c r="W572" s="4"/>
    </row>
    <row x14ac:dyDescent="0.25" r="573" customHeight="1" ht="12.75">
      <c r="A573" s="4"/>
      <c r="B573" s="29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29"/>
      <c r="N573" s="29"/>
      <c r="O573" s="29"/>
      <c r="P573" s="32"/>
      <c r="Q573" s="32"/>
      <c r="R573" s="4"/>
      <c r="S573" s="4"/>
      <c r="T573" s="4"/>
      <c r="U573" s="4"/>
      <c r="V573" s="4"/>
      <c r="W573" s="4"/>
    </row>
    <row x14ac:dyDescent="0.25" r="574" customHeight="1" ht="12.75">
      <c r="A574" s="4"/>
      <c r="B574" s="29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29"/>
      <c r="N574" s="29"/>
      <c r="O574" s="29"/>
      <c r="P574" s="32"/>
      <c r="Q574" s="32"/>
      <c r="R574" s="4"/>
      <c r="S574" s="4"/>
      <c r="T574" s="4"/>
      <c r="U574" s="4"/>
      <c r="V574" s="4"/>
      <c r="W574" s="4"/>
    </row>
    <row x14ac:dyDescent="0.25" r="575" customHeight="1" ht="12.75">
      <c r="A575" s="4"/>
      <c r="B575" s="29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29"/>
      <c r="N575" s="29"/>
      <c r="O575" s="29"/>
      <c r="P575" s="32"/>
      <c r="Q575" s="32"/>
      <c r="R575" s="4"/>
      <c r="S575" s="4"/>
      <c r="T575" s="4"/>
      <c r="U575" s="4"/>
      <c r="V575" s="4"/>
      <c r="W575" s="4"/>
    </row>
    <row x14ac:dyDescent="0.25" r="576" customHeight="1" ht="12.75">
      <c r="A576" s="4"/>
      <c r="B576" s="29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29"/>
      <c r="N576" s="29"/>
      <c r="O576" s="29"/>
      <c r="P576" s="32"/>
      <c r="Q576" s="32"/>
      <c r="R576" s="4"/>
      <c r="S576" s="4"/>
      <c r="T576" s="4"/>
      <c r="U576" s="4"/>
      <c r="V576" s="4"/>
      <c r="W576" s="4"/>
    </row>
    <row x14ac:dyDescent="0.25" r="577" customHeight="1" ht="12.75">
      <c r="A577" s="4"/>
      <c r="B577" s="29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29"/>
      <c r="N577" s="29"/>
      <c r="O577" s="29"/>
      <c r="P577" s="32"/>
      <c r="Q577" s="32"/>
      <c r="R577" s="4"/>
      <c r="S577" s="4"/>
      <c r="T577" s="4"/>
      <c r="U577" s="4"/>
      <c r="V577" s="4"/>
      <c r="W577" s="4"/>
    </row>
    <row x14ac:dyDescent="0.25" r="578" customHeight="1" ht="12.75">
      <c r="A578" s="4"/>
      <c r="B578" s="29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29"/>
      <c r="N578" s="29"/>
      <c r="O578" s="29"/>
      <c r="P578" s="32"/>
      <c r="Q578" s="32"/>
      <c r="R578" s="4"/>
      <c r="S578" s="4"/>
      <c r="T578" s="4"/>
      <c r="U578" s="4"/>
      <c r="V578" s="4"/>
      <c r="W578" s="4"/>
    </row>
    <row x14ac:dyDescent="0.25" r="579" customHeight="1" ht="12.75">
      <c r="A579" s="4"/>
      <c r="B579" s="29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29"/>
      <c r="N579" s="29"/>
      <c r="O579" s="29"/>
      <c r="P579" s="32"/>
      <c r="Q579" s="32"/>
      <c r="R579" s="4"/>
      <c r="S579" s="4"/>
      <c r="T579" s="4"/>
      <c r="U579" s="4"/>
      <c r="V579" s="4"/>
      <c r="W579" s="4"/>
    </row>
    <row x14ac:dyDescent="0.25" r="580" customHeight="1" ht="12.75">
      <c r="A580" s="4"/>
      <c r="B580" s="29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29"/>
      <c r="N580" s="29"/>
      <c r="O580" s="29"/>
      <c r="P580" s="32"/>
      <c r="Q580" s="32"/>
      <c r="R580" s="4"/>
      <c r="S580" s="4"/>
      <c r="T580" s="4"/>
      <c r="U580" s="4"/>
      <c r="V580" s="4"/>
      <c r="W580" s="4"/>
    </row>
    <row x14ac:dyDescent="0.25" r="581" customHeight="1" ht="12.75">
      <c r="A581" s="4"/>
      <c r="B581" s="29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29"/>
      <c r="N581" s="29"/>
      <c r="O581" s="29"/>
      <c r="P581" s="32"/>
      <c r="Q581" s="32"/>
      <c r="R581" s="4"/>
      <c r="S581" s="4"/>
      <c r="T581" s="4"/>
      <c r="U581" s="4"/>
      <c r="V581" s="4"/>
      <c r="W581" s="4"/>
    </row>
    <row x14ac:dyDescent="0.25" r="582" customHeight="1" ht="12.75">
      <c r="A582" s="4"/>
      <c r="B582" s="29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29"/>
      <c r="N582" s="29"/>
      <c r="O582" s="29"/>
      <c r="P582" s="32"/>
      <c r="Q582" s="32"/>
      <c r="R582" s="4"/>
      <c r="S582" s="4"/>
      <c r="T582" s="4"/>
      <c r="U582" s="4"/>
      <c r="V582" s="4"/>
      <c r="W582" s="4"/>
    </row>
    <row x14ac:dyDescent="0.25" r="583" customHeight="1" ht="12.75">
      <c r="A583" s="4"/>
      <c r="B583" s="29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29"/>
      <c r="N583" s="29"/>
      <c r="O583" s="29"/>
      <c r="P583" s="32"/>
      <c r="Q583" s="32"/>
      <c r="R583" s="4"/>
      <c r="S583" s="4"/>
      <c r="T583" s="4"/>
      <c r="U583" s="4"/>
      <c r="V583" s="4"/>
      <c r="W583" s="4"/>
    </row>
    <row x14ac:dyDescent="0.25" r="584" customHeight="1" ht="12.75">
      <c r="A584" s="4"/>
      <c r="B584" s="29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29"/>
      <c r="N584" s="29"/>
      <c r="O584" s="29"/>
      <c r="P584" s="32"/>
      <c r="Q584" s="32"/>
      <c r="R584" s="4"/>
      <c r="S584" s="4"/>
      <c r="T584" s="4"/>
      <c r="U584" s="4"/>
      <c r="V584" s="4"/>
      <c r="W584" s="4"/>
    </row>
    <row x14ac:dyDescent="0.25" r="585" customHeight="1" ht="12.75">
      <c r="A585" s="4"/>
      <c r="B585" s="29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29"/>
      <c r="N585" s="29"/>
      <c r="O585" s="29"/>
      <c r="P585" s="32"/>
      <c r="Q585" s="32"/>
      <c r="R585" s="4"/>
      <c r="S585" s="4"/>
      <c r="T585" s="4"/>
      <c r="U585" s="4"/>
      <c r="V585" s="4"/>
      <c r="W585" s="4"/>
    </row>
    <row x14ac:dyDescent="0.25" r="586" customHeight="1" ht="12.75">
      <c r="A586" s="4"/>
      <c r="B586" s="29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29"/>
      <c r="N586" s="29"/>
      <c r="O586" s="29"/>
      <c r="P586" s="32"/>
      <c r="Q586" s="32"/>
      <c r="R586" s="4"/>
      <c r="S586" s="4"/>
      <c r="T586" s="4"/>
      <c r="U586" s="4"/>
      <c r="V586" s="4"/>
      <c r="W586" s="4"/>
    </row>
    <row x14ac:dyDescent="0.25" r="587" customHeight="1" ht="12.75">
      <c r="A587" s="4"/>
      <c r="B587" s="29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29"/>
      <c r="N587" s="29"/>
      <c r="O587" s="29"/>
      <c r="P587" s="32"/>
      <c r="Q587" s="32"/>
      <c r="R587" s="4"/>
      <c r="S587" s="4"/>
      <c r="T587" s="4"/>
      <c r="U587" s="4"/>
      <c r="V587" s="4"/>
      <c r="W587" s="4"/>
    </row>
    <row x14ac:dyDescent="0.25" r="588" customHeight="1" ht="12.75">
      <c r="A588" s="4"/>
      <c r="B588" s="29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29"/>
      <c r="N588" s="29"/>
      <c r="O588" s="29"/>
      <c r="P588" s="32"/>
      <c r="Q588" s="32"/>
      <c r="R588" s="4"/>
      <c r="S588" s="4"/>
      <c r="T588" s="4"/>
      <c r="U588" s="4"/>
      <c r="V588" s="4"/>
      <c r="W588" s="4"/>
    </row>
    <row x14ac:dyDescent="0.25" r="589" customHeight="1" ht="12.75">
      <c r="A589" s="4"/>
      <c r="B589" s="29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29"/>
      <c r="N589" s="29"/>
      <c r="O589" s="29"/>
      <c r="P589" s="32"/>
      <c r="Q589" s="32"/>
      <c r="R589" s="4"/>
      <c r="S589" s="4"/>
      <c r="T589" s="4"/>
      <c r="U589" s="4"/>
      <c r="V589" s="4"/>
      <c r="W589" s="4"/>
    </row>
    <row x14ac:dyDescent="0.25" r="590" customHeight="1" ht="12.75">
      <c r="A590" s="4"/>
      <c r="B590" s="29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29"/>
      <c r="N590" s="29"/>
      <c r="O590" s="29"/>
      <c r="P590" s="32"/>
      <c r="Q590" s="32"/>
      <c r="R590" s="4"/>
      <c r="S590" s="4"/>
      <c r="T590" s="4"/>
      <c r="U590" s="4"/>
      <c r="V590" s="4"/>
      <c r="W590" s="4"/>
    </row>
    <row x14ac:dyDescent="0.25" r="591" customHeight="1" ht="12.75">
      <c r="A591" s="4"/>
      <c r="B591" s="29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29"/>
      <c r="N591" s="29"/>
      <c r="O591" s="29"/>
      <c r="P591" s="32"/>
      <c r="Q591" s="32"/>
      <c r="R591" s="4"/>
      <c r="S591" s="4"/>
      <c r="T591" s="4"/>
      <c r="U591" s="4"/>
      <c r="V591" s="4"/>
      <c r="W591" s="4"/>
    </row>
    <row x14ac:dyDescent="0.25" r="592" customHeight="1" ht="12.75">
      <c r="A592" s="4"/>
      <c r="B592" s="29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29"/>
      <c r="N592" s="29"/>
      <c r="O592" s="29"/>
      <c r="P592" s="32"/>
      <c r="Q592" s="32"/>
      <c r="R592" s="4"/>
      <c r="S592" s="4"/>
      <c r="T592" s="4"/>
      <c r="U592" s="4"/>
      <c r="V592" s="4"/>
      <c r="W592" s="4"/>
    </row>
    <row x14ac:dyDescent="0.25" r="593" customHeight="1" ht="12.75">
      <c r="A593" s="4"/>
      <c r="B593" s="29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29"/>
      <c r="N593" s="29"/>
      <c r="O593" s="29"/>
      <c r="P593" s="32"/>
      <c r="Q593" s="32"/>
      <c r="R593" s="4"/>
      <c r="S593" s="4"/>
      <c r="T593" s="4"/>
      <c r="U593" s="4"/>
      <c r="V593" s="4"/>
      <c r="W593" s="4"/>
    </row>
    <row x14ac:dyDescent="0.25" r="594" customHeight="1" ht="12.75">
      <c r="A594" s="4"/>
      <c r="B594" s="29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29"/>
      <c r="N594" s="29"/>
      <c r="O594" s="29"/>
      <c r="P594" s="32"/>
      <c r="Q594" s="32"/>
      <c r="R594" s="4"/>
      <c r="S594" s="4"/>
      <c r="T594" s="4"/>
      <c r="U594" s="4"/>
      <c r="V594" s="4"/>
      <c r="W594" s="4"/>
    </row>
    <row x14ac:dyDescent="0.25" r="595" customHeight="1" ht="12.75">
      <c r="A595" s="4"/>
      <c r="B595" s="29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29"/>
      <c r="N595" s="29"/>
      <c r="O595" s="29"/>
      <c r="P595" s="32"/>
      <c r="Q595" s="32"/>
      <c r="R595" s="4"/>
      <c r="S595" s="4"/>
      <c r="T595" s="4"/>
      <c r="U595" s="4"/>
      <c r="V595" s="4"/>
      <c r="W595" s="4"/>
    </row>
    <row x14ac:dyDescent="0.25" r="596" customHeight="1" ht="12.75">
      <c r="A596" s="4"/>
      <c r="B596" s="29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29"/>
      <c r="N596" s="29"/>
      <c r="O596" s="29"/>
      <c r="P596" s="32"/>
      <c r="Q596" s="32"/>
      <c r="R596" s="4"/>
      <c r="S596" s="4"/>
      <c r="T596" s="4"/>
      <c r="U596" s="4"/>
      <c r="V596" s="4"/>
      <c r="W596" s="4"/>
    </row>
    <row x14ac:dyDescent="0.25" r="597" customHeight="1" ht="12.75">
      <c r="A597" s="4"/>
      <c r="B597" s="29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29"/>
      <c r="N597" s="29"/>
      <c r="O597" s="29"/>
      <c r="P597" s="32"/>
      <c r="Q597" s="32"/>
      <c r="R597" s="4"/>
      <c r="S597" s="4"/>
      <c r="T597" s="4"/>
      <c r="U597" s="4"/>
      <c r="V597" s="4"/>
      <c r="W597" s="4"/>
    </row>
    <row x14ac:dyDescent="0.25" r="598" customHeight="1" ht="12.75">
      <c r="A598" s="4"/>
      <c r="B598" s="29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29"/>
      <c r="N598" s="29"/>
      <c r="O598" s="29"/>
      <c r="P598" s="32"/>
      <c r="Q598" s="32"/>
      <c r="R598" s="4"/>
      <c r="S598" s="4"/>
      <c r="T598" s="4"/>
      <c r="U598" s="4"/>
      <c r="V598" s="4"/>
      <c r="W598" s="4"/>
    </row>
    <row x14ac:dyDescent="0.25" r="599" customHeight="1" ht="12.75">
      <c r="A599" s="4"/>
      <c r="B599" s="29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29"/>
      <c r="N599" s="29"/>
      <c r="O599" s="29"/>
      <c r="P599" s="32"/>
      <c r="Q599" s="32"/>
      <c r="R599" s="4"/>
      <c r="S599" s="4"/>
      <c r="T599" s="4"/>
      <c r="U599" s="4"/>
      <c r="V599" s="4"/>
      <c r="W599" s="4"/>
    </row>
    <row x14ac:dyDescent="0.25" r="600" customHeight="1" ht="12.75">
      <c r="A600" s="4"/>
      <c r="B600" s="29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29"/>
      <c r="N600" s="29"/>
      <c r="O600" s="29"/>
      <c r="P600" s="32"/>
      <c r="Q600" s="32"/>
      <c r="R600" s="4"/>
      <c r="S600" s="4"/>
      <c r="T600" s="4"/>
      <c r="U600" s="4"/>
      <c r="V600" s="4"/>
      <c r="W600" s="4"/>
    </row>
    <row x14ac:dyDescent="0.25" r="601" customHeight="1" ht="12.75">
      <c r="A601" s="4"/>
      <c r="B601" s="29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29"/>
      <c r="N601" s="29"/>
      <c r="O601" s="29"/>
      <c r="P601" s="32"/>
      <c r="Q601" s="32"/>
      <c r="R601" s="4"/>
      <c r="S601" s="4"/>
      <c r="T601" s="4"/>
      <c r="U601" s="4"/>
      <c r="V601" s="4"/>
      <c r="W601" s="4"/>
    </row>
    <row x14ac:dyDescent="0.25" r="602" customHeight="1" ht="12.75">
      <c r="A602" s="4"/>
      <c r="B602" s="29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29"/>
      <c r="N602" s="29"/>
      <c r="O602" s="29"/>
      <c r="P602" s="32"/>
      <c r="Q602" s="32"/>
      <c r="R602" s="4"/>
      <c r="S602" s="4"/>
      <c r="T602" s="4"/>
      <c r="U602" s="4"/>
      <c r="V602" s="4"/>
      <c r="W602" s="4"/>
    </row>
    <row x14ac:dyDescent="0.25" r="603" customHeight="1" ht="12.75">
      <c r="A603" s="4"/>
      <c r="B603" s="29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29"/>
      <c r="N603" s="29"/>
      <c r="O603" s="29"/>
      <c r="P603" s="32"/>
      <c r="Q603" s="32"/>
      <c r="R603" s="4"/>
      <c r="S603" s="4"/>
      <c r="T603" s="4"/>
      <c r="U603" s="4"/>
      <c r="V603" s="4"/>
      <c r="W603" s="4"/>
    </row>
    <row x14ac:dyDescent="0.25" r="604" customHeight="1" ht="12.75">
      <c r="A604" s="4"/>
      <c r="B604" s="29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29"/>
      <c r="N604" s="29"/>
      <c r="O604" s="29"/>
      <c r="P604" s="32"/>
      <c r="Q604" s="32"/>
      <c r="R604" s="4"/>
      <c r="S604" s="4"/>
      <c r="T604" s="4"/>
      <c r="U604" s="4"/>
      <c r="V604" s="4"/>
      <c r="W604" s="4"/>
    </row>
    <row x14ac:dyDescent="0.25" r="605" customHeight="1" ht="12.75">
      <c r="A605" s="4"/>
      <c r="B605" s="29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29"/>
      <c r="N605" s="29"/>
      <c r="O605" s="29"/>
      <c r="P605" s="32"/>
      <c r="Q605" s="32"/>
      <c r="R605" s="4"/>
      <c r="S605" s="4"/>
      <c r="T605" s="4"/>
      <c r="U605" s="4"/>
      <c r="V605" s="4"/>
      <c r="W605" s="4"/>
    </row>
    <row x14ac:dyDescent="0.25" r="606" customHeight="1" ht="12.75">
      <c r="A606" s="4"/>
      <c r="B606" s="29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29"/>
      <c r="N606" s="29"/>
      <c r="O606" s="29"/>
      <c r="P606" s="32"/>
      <c r="Q606" s="32"/>
      <c r="R606" s="4"/>
      <c r="S606" s="4"/>
      <c r="T606" s="4"/>
      <c r="U606" s="4"/>
      <c r="V606" s="4"/>
      <c r="W606" s="4"/>
    </row>
    <row x14ac:dyDescent="0.25" r="607" customHeight="1" ht="12.75">
      <c r="A607" s="4"/>
      <c r="B607" s="29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29"/>
      <c r="N607" s="29"/>
      <c r="O607" s="29"/>
      <c r="P607" s="32"/>
      <c r="Q607" s="32"/>
      <c r="R607" s="4"/>
      <c r="S607" s="4"/>
      <c r="T607" s="4"/>
      <c r="U607" s="4"/>
      <c r="V607" s="4"/>
      <c r="W607" s="4"/>
    </row>
    <row x14ac:dyDescent="0.25" r="608" customHeight="1" ht="12.75">
      <c r="A608" s="4"/>
      <c r="B608" s="29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29"/>
      <c r="N608" s="29"/>
      <c r="O608" s="29"/>
      <c r="P608" s="32"/>
      <c r="Q608" s="32"/>
      <c r="R608" s="4"/>
      <c r="S608" s="4"/>
      <c r="T608" s="4"/>
      <c r="U608" s="4"/>
      <c r="V608" s="4"/>
      <c r="W608" s="4"/>
    </row>
    <row x14ac:dyDescent="0.25" r="609" customHeight="1" ht="12.75">
      <c r="A609" s="4"/>
      <c r="B609" s="29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29"/>
      <c r="N609" s="29"/>
      <c r="O609" s="29"/>
      <c r="P609" s="32"/>
      <c r="Q609" s="32"/>
      <c r="R609" s="4"/>
      <c r="S609" s="4"/>
      <c r="T609" s="4"/>
      <c r="U609" s="4"/>
      <c r="V609" s="4"/>
      <c r="W609" s="4"/>
    </row>
    <row x14ac:dyDescent="0.25" r="610" customHeight="1" ht="12.75">
      <c r="A610" s="4"/>
      <c r="B610" s="29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29"/>
      <c r="N610" s="29"/>
      <c r="O610" s="29"/>
      <c r="P610" s="32"/>
      <c r="Q610" s="32"/>
      <c r="R610" s="4"/>
      <c r="S610" s="4"/>
      <c r="T610" s="4"/>
      <c r="U610" s="4"/>
      <c r="V610" s="4"/>
      <c r="W610" s="4"/>
    </row>
    <row x14ac:dyDescent="0.25" r="611" customHeight="1" ht="12.75">
      <c r="A611" s="4"/>
      <c r="B611" s="29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29"/>
      <c r="N611" s="29"/>
      <c r="O611" s="29"/>
      <c r="P611" s="32"/>
      <c r="Q611" s="32"/>
      <c r="R611" s="4"/>
      <c r="S611" s="4"/>
      <c r="T611" s="4"/>
      <c r="U611" s="4"/>
      <c r="V611" s="4"/>
      <c r="W611" s="4"/>
    </row>
    <row x14ac:dyDescent="0.25" r="612" customHeight="1" ht="12.75">
      <c r="A612" s="4"/>
      <c r="B612" s="29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29"/>
      <c r="N612" s="29"/>
      <c r="O612" s="29"/>
      <c r="P612" s="32"/>
      <c r="Q612" s="32"/>
      <c r="R612" s="4"/>
      <c r="S612" s="4"/>
      <c r="T612" s="4"/>
      <c r="U612" s="4"/>
      <c r="V612" s="4"/>
      <c r="W612" s="4"/>
    </row>
    <row x14ac:dyDescent="0.25" r="613" customHeight="1" ht="12.75">
      <c r="A613" s="4"/>
      <c r="B613" s="29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29"/>
      <c r="N613" s="29"/>
      <c r="O613" s="29"/>
      <c r="P613" s="32"/>
      <c r="Q613" s="32"/>
      <c r="R613" s="4"/>
      <c r="S613" s="4"/>
      <c r="T613" s="4"/>
      <c r="U613" s="4"/>
      <c r="V613" s="4"/>
      <c r="W613" s="4"/>
    </row>
    <row x14ac:dyDescent="0.25" r="614" customHeight="1" ht="12.75">
      <c r="A614" s="4"/>
      <c r="B614" s="29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29"/>
      <c r="N614" s="29"/>
      <c r="O614" s="29"/>
      <c r="P614" s="32"/>
      <c r="Q614" s="32"/>
      <c r="R614" s="4"/>
      <c r="S614" s="4"/>
      <c r="T614" s="4"/>
      <c r="U614" s="4"/>
      <c r="V614" s="4"/>
      <c r="W614" s="4"/>
    </row>
    <row x14ac:dyDescent="0.25" r="615" customHeight="1" ht="12.75">
      <c r="A615" s="4"/>
      <c r="B615" s="29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29"/>
      <c r="N615" s="29"/>
      <c r="O615" s="29"/>
      <c r="P615" s="32"/>
      <c r="Q615" s="32"/>
      <c r="R615" s="4"/>
      <c r="S615" s="4"/>
      <c r="T615" s="4"/>
      <c r="U615" s="4"/>
      <c r="V615" s="4"/>
      <c r="W615" s="4"/>
    </row>
    <row x14ac:dyDescent="0.25" r="616" customHeight="1" ht="12.75">
      <c r="A616" s="4"/>
      <c r="B616" s="29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29"/>
      <c r="N616" s="29"/>
      <c r="O616" s="29"/>
      <c r="P616" s="32"/>
      <c r="Q616" s="32"/>
      <c r="R616" s="4"/>
      <c r="S616" s="4"/>
      <c r="T616" s="4"/>
      <c r="U616" s="4"/>
      <c r="V616" s="4"/>
      <c r="W616" s="4"/>
    </row>
    <row x14ac:dyDescent="0.25" r="617" customHeight="1" ht="12.75">
      <c r="A617" s="4"/>
      <c r="B617" s="29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29"/>
      <c r="N617" s="29"/>
      <c r="O617" s="29"/>
      <c r="P617" s="32"/>
      <c r="Q617" s="32"/>
      <c r="R617" s="4"/>
      <c r="S617" s="4"/>
      <c r="T617" s="4"/>
      <c r="U617" s="4"/>
      <c r="V617" s="4"/>
      <c r="W617" s="4"/>
    </row>
    <row x14ac:dyDescent="0.25" r="618" customHeight="1" ht="12.75">
      <c r="A618" s="4"/>
      <c r="B618" s="29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29"/>
      <c r="N618" s="29"/>
      <c r="O618" s="29"/>
      <c r="P618" s="32"/>
      <c r="Q618" s="32"/>
      <c r="R618" s="4"/>
      <c r="S618" s="4"/>
      <c r="T618" s="4"/>
      <c r="U618" s="4"/>
      <c r="V618" s="4"/>
      <c r="W618" s="4"/>
    </row>
    <row x14ac:dyDescent="0.25" r="619" customHeight="1" ht="12.75">
      <c r="A619" s="4"/>
      <c r="B619" s="29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29"/>
      <c r="N619" s="29"/>
      <c r="O619" s="29"/>
      <c r="P619" s="32"/>
      <c r="Q619" s="32"/>
      <c r="R619" s="4"/>
      <c r="S619" s="4"/>
      <c r="T619" s="4"/>
      <c r="U619" s="4"/>
      <c r="V619" s="4"/>
      <c r="W619" s="4"/>
    </row>
    <row x14ac:dyDescent="0.25" r="620" customHeight="1" ht="12.75">
      <c r="A620" s="4"/>
      <c r="B620" s="29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29"/>
      <c r="N620" s="29"/>
      <c r="O620" s="29"/>
      <c r="P620" s="32"/>
      <c r="Q620" s="32"/>
      <c r="R620" s="4"/>
      <c r="S620" s="4"/>
      <c r="T620" s="4"/>
      <c r="U620" s="4"/>
      <c r="V620" s="4"/>
      <c r="W620" s="4"/>
    </row>
    <row x14ac:dyDescent="0.25" r="621" customHeight="1" ht="12.75">
      <c r="A621" s="4"/>
      <c r="B621" s="29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29"/>
      <c r="N621" s="29"/>
      <c r="O621" s="29"/>
      <c r="P621" s="32"/>
      <c r="Q621" s="32"/>
      <c r="R621" s="4"/>
      <c r="S621" s="4"/>
      <c r="T621" s="4"/>
      <c r="U621" s="4"/>
      <c r="V621" s="4"/>
      <c r="W621" s="4"/>
    </row>
    <row x14ac:dyDescent="0.25" r="622" customHeight="1" ht="12.75">
      <c r="A622" s="4"/>
      <c r="B622" s="29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29"/>
      <c r="N622" s="29"/>
      <c r="O622" s="29"/>
      <c r="P622" s="32"/>
      <c r="Q622" s="32"/>
      <c r="R622" s="4"/>
      <c r="S622" s="4"/>
      <c r="T622" s="4"/>
      <c r="U622" s="4"/>
      <c r="V622" s="4"/>
      <c r="W622" s="4"/>
    </row>
    <row x14ac:dyDescent="0.25" r="623" customHeight="1" ht="12.75">
      <c r="A623" s="4"/>
      <c r="B623" s="29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29"/>
      <c r="N623" s="29"/>
      <c r="O623" s="29"/>
      <c r="P623" s="32"/>
      <c r="Q623" s="32"/>
      <c r="R623" s="4"/>
      <c r="S623" s="4"/>
      <c r="T623" s="4"/>
      <c r="U623" s="4"/>
      <c r="V623" s="4"/>
      <c r="W623" s="4"/>
    </row>
    <row x14ac:dyDescent="0.25" r="624" customHeight="1" ht="12.75">
      <c r="A624" s="4"/>
      <c r="B624" s="29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29"/>
      <c r="N624" s="29"/>
      <c r="O624" s="29"/>
      <c r="P624" s="32"/>
      <c r="Q624" s="32"/>
      <c r="R624" s="4"/>
      <c r="S624" s="4"/>
      <c r="T624" s="4"/>
      <c r="U624" s="4"/>
      <c r="V624" s="4"/>
      <c r="W624" s="4"/>
    </row>
    <row x14ac:dyDescent="0.25" r="625" customHeight="1" ht="12.75">
      <c r="A625" s="4"/>
      <c r="B625" s="29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29"/>
      <c r="N625" s="29"/>
      <c r="O625" s="29"/>
      <c r="P625" s="32"/>
      <c r="Q625" s="32"/>
      <c r="R625" s="4"/>
      <c r="S625" s="4"/>
      <c r="T625" s="4"/>
      <c r="U625" s="4"/>
      <c r="V625" s="4"/>
      <c r="W625" s="4"/>
    </row>
    <row x14ac:dyDescent="0.25" r="626" customHeight="1" ht="12.75">
      <c r="A626" s="4"/>
      <c r="B626" s="29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29"/>
      <c r="N626" s="29"/>
      <c r="O626" s="29"/>
      <c r="P626" s="32"/>
      <c r="Q626" s="32"/>
      <c r="R626" s="4"/>
      <c r="S626" s="4"/>
      <c r="T626" s="4"/>
      <c r="U626" s="4"/>
      <c r="V626" s="4"/>
      <c r="W626" s="4"/>
    </row>
    <row x14ac:dyDescent="0.25" r="627" customHeight="1" ht="12.75">
      <c r="A627" s="4"/>
      <c r="B627" s="29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29"/>
      <c r="N627" s="29"/>
      <c r="O627" s="29"/>
      <c r="P627" s="32"/>
      <c r="Q627" s="32"/>
      <c r="R627" s="4"/>
      <c r="S627" s="4"/>
      <c r="T627" s="4"/>
      <c r="U627" s="4"/>
      <c r="V627" s="4"/>
      <c r="W627" s="4"/>
    </row>
    <row x14ac:dyDescent="0.25" r="628" customHeight="1" ht="12.75">
      <c r="A628" s="4"/>
      <c r="B628" s="29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29"/>
      <c r="N628" s="29"/>
      <c r="O628" s="29"/>
      <c r="P628" s="32"/>
      <c r="Q628" s="32"/>
      <c r="R628" s="4"/>
      <c r="S628" s="4"/>
      <c r="T628" s="4"/>
      <c r="U628" s="4"/>
      <c r="V628" s="4"/>
      <c r="W628" s="4"/>
    </row>
    <row x14ac:dyDescent="0.25" r="629" customHeight="1" ht="12.75">
      <c r="A629" s="4"/>
      <c r="B629" s="29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29"/>
      <c r="N629" s="29"/>
      <c r="O629" s="29"/>
      <c r="P629" s="32"/>
      <c r="Q629" s="32"/>
      <c r="R629" s="4"/>
      <c r="S629" s="4"/>
      <c r="T629" s="4"/>
      <c r="U629" s="4"/>
      <c r="V629" s="4"/>
      <c r="W629" s="4"/>
    </row>
    <row x14ac:dyDescent="0.25" r="630" customHeight="1" ht="12.75">
      <c r="A630" s="4"/>
      <c r="B630" s="29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29"/>
      <c r="N630" s="29"/>
      <c r="O630" s="29"/>
      <c r="P630" s="32"/>
      <c r="Q630" s="32"/>
      <c r="R630" s="4"/>
      <c r="S630" s="4"/>
      <c r="T630" s="4"/>
      <c r="U630" s="4"/>
      <c r="V630" s="4"/>
      <c r="W630" s="4"/>
    </row>
    <row x14ac:dyDescent="0.25" r="631" customHeight="1" ht="12.75">
      <c r="A631" s="4"/>
      <c r="B631" s="29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29"/>
      <c r="N631" s="29"/>
      <c r="O631" s="29"/>
      <c r="P631" s="32"/>
      <c r="Q631" s="32"/>
      <c r="R631" s="4"/>
      <c r="S631" s="4"/>
      <c r="T631" s="4"/>
      <c r="U631" s="4"/>
      <c r="V631" s="4"/>
      <c r="W631" s="4"/>
    </row>
    <row x14ac:dyDescent="0.25" r="632" customHeight="1" ht="12.75">
      <c r="A632" s="4"/>
      <c r="B632" s="29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29"/>
      <c r="N632" s="29"/>
      <c r="O632" s="29"/>
      <c r="P632" s="32"/>
      <c r="Q632" s="32"/>
      <c r="R632" s="4"/>
      <c r="S632" s="4"/>
      <c r="T632" s="4"/>
      <c r="U632" s="4"/>
      <c r="V632" s="4"/>
      <c r="W632" s="4"/>
    </row>
    <row x14ac:dyDescent="0.25" r="633" customHeight="1" ht="12.75">
      <c r="A633" s="4"/>
      <c r="B633" s="29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29"/>
      <c r="N633" s="29"/>
      <c r="O633" s="29"/>
      <c r="P633" s="32"/>
      <c r="Q633" s="32"/>
      <c r="R633" s="4"/>
      <c r="S633" s="4"/>
      <c r="T633" s="4"/>
      <c r="U633" s="4"/>
      <c r="V633" s="4"/>
      <c r="W633" s="4"/>
    </row>
    <row x14ac:dyDescent="0.25" r="634" customHeight="1" ht="12.75">
      <c r="A634" s="4"/>
      <c r="B634" s="29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29"/>
      <c r="N634" s="29"/>
      <c r="O634" s="29"/>
      <c r="P634" s="32"/>
      <c r="Q634" s="32"/>
      <c r="R634" s="4"/>
      <c r="S634" s="4"/>
      <c r="T634" s="4"/>
      <c r="U634" s="4"/>
      <c r="V634" s="4"/>
      <c r="W634" s="4"/>
    </row>
    <row x14ac:dyDescent="0.25" r="635" customHeight="1" ht="12.75">
      <c r="A635" s="4"/>
      <c r="B635" s="29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29"/>
      <c r="N635" s="29"/>
      <c r="O635" s="29"/>
      <c r="P635" s="32"/>
      <c r="Q635" s="32"/>
      <c r="R635" s="4"/>
      <c r="S635" s="4"/>
      <c r="T635" s="4"/>
      <c r="U635" s="4"/>
      <c r="V635" s="4"/>
      <c r="W635" s="4"/>
    </row>
    <row x14ac:dyDescent="0.25" r="636" customHeight="1" ht="12.75">
      <c r="A636" s="4"/>
      <c r="B636" s="29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29"/>
      <c r="N636" s="29"/>
      <c r="O636" s="29"/>
      <c r="P636" s="32"/>
      <c r="Q636" s="32"/>
      <c r="R636" s="4"/>
      <c r="S636" s="4"/>
      <c r="T636" s="4"/>
      <c r="U636" s="4"/>
      <c r="V636" s="4"/>
      <c r="W636" s="4"/>
    </row>
    <row x14ac:dyDescent="0.25" r="637" customHeight="1" ht="12.75">
      <c r="A637" s="4"/>
      <c r="B637" s="29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29"/>
      <c r="N637" s="29"/>
      <c r="O637" s="29"/>
      <c r="P637" s="32"/>
      <c r="Q637" s="32"/>
      <c r="R637" s="4"/>
      <c r="S637" s="4"/>
      <c r="T637" s="4"/>
      <c r="U637" s="4"/>
      <c r="V637" s="4"/>
      <c r="W637" s="4"/>
    </row>
    <row x14ac:dyDescent="0.25" r="638" customHeight="1" ht="12.75">
      <c r="A638" s="4"/>
      <c r="B638" s="29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29"/>
      <c r="N638" s="29"/>
      <c r="O638" s="29"/>
      <c r="P638" s="32"/>
      <c r="Q638" s="32"/>
      <c r="R638" s="4"/>
      <c r="S638" s="4"/>
      <c r="T638" s="4"/>
      <c r="U638" s="4"/>
      <c r="V638" s="4"/>
      <c r="W638" s="4"/>
    </row>
    <row x14ac:dyDescent="0.25" r="639" customHeight="1" ht="12.75">
      <c r="A639" s="4"/>
      <c r="B639" s="29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29"/>
      <c r="N639" s="29"/>
      <c r="O639" s="29"/>
      <c r="P639" s="32"/>
      <c r="Q639" s="32"/>
      <c r="R639" s="4"/>
      <c r="S639" s="4"/>
      <c r="T639" s="4"/>
      <c r="U639" s="4"/>
      <c r="V639" s="4"/>
      <c r="W639" s="4"/>
    </row>
    <row x14ac:dyDescent="0.25" r="640" customHeight="1" ht="12.75">
      <c r="A640" s="4"/>
      <c r="B640" s="29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29"/>
      <c r="N640" s="29"/>
      <c r="O640" s="29"/>
      <c r="P640" s="32"/>
      <c r="Q640" s="32"/>
      <c r="R640" s="4"/>
      <c r="S640" s="4"/>
      <c r="T640" s="4"/>
      <c r="U640" s="4"/>
      <c r="V640" s="4"/>
      <c r="W640" s="4"/>
    </row>
    <row x14ac:dyDescent="0.25" r="641" customHeight="1" ht="12.75">
      <c r="A641" s="4"/>
      <c r="B641" s="29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29"/>
      <c r="N641" s="29"/>
      <c r="O641" s="29"/>
      <c r="P641" s="32"/>
      <c r="Q641" s="32"/>
      <c r="R641" s="4"/>
      <c r="S641" s="4"/>
      <c r="T641" s="4"/>
      <c r="U641" s="4"/>
      <c r="V641" s="4"/>
      <c r="W641" s="4"/>
    </row>
    <row x14ac:dyDescent="0.25" r="642" customHeight="1" ht="12.75">
      <c r="A642" s="4"/>
      <c r="B642" s="29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29"/>
      <c r="N642" s="29"/>
      <c r="O642" s="29"/>
      <c r="P642" s="32"/>
      <c r="Q642" s="32"/>
      <c r="R642" s="4"/>
      <c r="S642" s="4"/>
      <c r="T642" s="4"/>
      <c r="U642" s="4"/>
      <c r="V642" s="4"/>
      <c r="W642" s="4"/>
    </row>
    <row x14ac:dyDescent="0.25" r="643" customHeight="1" ht="12.75">
      <c r="A643" s="4"/>
      <c r="B643" s="29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29"/>
      <c r="N643" s="29"/>
      <c r="O643" s="29"/>
      <c r="P643" s="32"/>
      <c r="Q643" s="32"/>
      <c r="R643" s="4"/>
      <c r="S643" s="4"/>
      <c r="T643" s="4"/>
      <c r="U643" s="4"/>
      <c r="V643" s="4"/>
      <c r="W643" s="4"/>
    </row>
    <row x14ac:dyDescent="0.25" r="644" customHeight="1" ht="12.75">
      <c r="A644" s="4"/>
      <c r="B644" s="29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29"/>
      <c r="N644" s="29"/>
      <c r="O644" s="29"/>
      <c r="P644" s="32"/>
      <c r="Q644" s="32"/>
      <c r="R644" s="4"/>
      <c r="S644" s="4"/>
      <c r="T644" s="4"/>
      <c r="U644" s="4"/>
      <c r="V644" s="4"/>
      <c r="W644" s="4"/>
    </row>
    <row x14ac:dyDescent="0.25" r="645" customHeight="1" ht="12.75">
      <c r="A645" s="4"/>
      <c r="B645" s="29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29"/>
      <c r="N645" s="29"/>
      <c r="O645" s="29"/>
      <c r="P645" s="32"/>
      <c r="Q645" s="32"/>
      <c r="R645" s="4"/>
      <c r="S645" s="4"/>
      <c r="T645" s="4"/>
      <c r="U645" s="4"/>
      <c r="V645" s="4"/>
      <c r="W645" s="4"/>
    </row>
    <row x14ac:dyDescent="0.25" r="646" customHeight="1" ht="12.75">
      <c r="A646" s="4"/>
      <c r="B646" s="29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29"/>
      <c r="N646" s="29"/>
      <c r="O646" s="29"/>
      <c r="P646" s="32"/>
      <c r="Q646" s="32"/>
      <c r="R646" s="4"/>
      <c r="S646" s="4"/>
      <c r="T646" s="4"/>
      <c r="U646" s="4"/>
      <c r="V646" s="4"/>
      <c r="W646" s="4"/>
    </row>
    <row x14ac:dyDescent="0.25" r="647" customHeight="1" ht="12.75">
      <c r="A647" s="4"/>
      <c r="B647" s="29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29"/>
      <c r="N647" s="29"/>
      <c r="O647" s="29"/>
      <c r="P647" s="32"/>
      <c r="Q647" s="32"/>
      <c r="R647" s="4"/>
      <c r="S647" s="4"/>
      <c r="T647" s="4"/>
      <c r="U647" s="4"/>
      <c r="V647" s="4"/>
      <c r="W647" s="4"/>
    </row>
    <row x14ac:dyDescent="0.25" r="648" customHeight="1" ht="12.75">
      <c r="A648" s="4"/>
      <c r="B648" s="29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29"/>
      <c r="N648" s="29"/>
      <c r="O648" s="29"/>
      <c r="P648" s="32"/>
      <c r="Q648" s="32"/>
      <c r="R648" s="4"/>
      <c r="S648" s="4"/>
      <c r="T648" s="4"/>
      <c r="U648" s="4"/>
      <c r="V648" s="4"/>
      <c r="W648" s="4"/>
    </row>
    <row x14ac:dyDescent="0.25" r="649" customHeight="1" ht="12.75">
      <c r="A649" s="4"/>
      <c r="B649" s="29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29"/>
      <c r="N649" s="29"/>
      <c r="O649" s="29"/>
      <c r="P649" s="32"/>
      <c r="Q649" s="32"/>
      <c r="R649" s="4"/>
      <c r="S649" s="4"/>
      <c r="T649" s="4"/>
      <c r="U649" s="4"/>
      <c r="V649" s="4"/>
      <c r="W649" s="4"/>
    </row>
    <row x14ac:dyDescent="0.25" r="650" customHeight="1" ht="12.75">
      <c r="A650" s="4"/>
      <c r="B650" s="29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29"/>
      <c r="N650" s="29"/>
      <c r="O650" s="29"/>
      <c r="P650" s="32"/>
      <c r="Q650" s="32"/>
      <c r="R650" s="4"/>
      <c r="S650" s="4"/>
      <c r="T650" s="4"/>
      <c r="U650" s="4"/>
      <c r="V650" s="4"/>
      <c r="W650" s="4"/>
    </row>
    <row x14ac:dyDescent="0.25" r="651" customHeight="1" ht="12.75">
      <c r="A651" s="4"/>
      <c r="B651" s="29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29"/>
      <c r="N651" s="29"/>
      <c r="O651" s="29"/>
      <c r="P651" s="32"/>
      <c r="Q651" s="32"/>
      <c r="R651" s="4"/>
      <c r="S651" s="4"/>
      <c r="T651" s="4"/>
      <c r="U651" s="4"/>
      <c r="V651" s="4"/>
      <c r="W651" s="4"/>
    </row>
    <row x14ac:dyDescent="0.25" r="652" customHeight="1" ht="12.75">
      <c r="A652" s="4"/>
      <c r="B652" s="29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29"/>
      <c r="N652" s="29"/>
      <c r="O652" s="29"/>
      <c r="P652" s="32"/>
      <c r="Q652" s="32"/>
      <c r="R652" s="4"/>
      <c r="S652" s="4"/>
      <c r="T652" s="4"/>
      <c r="U652" s="4"/>
      <c r="V652" s="4"/>
      <c r="W652" s="4"/>
    </row>
    <row x14ac:dyDescent="0.25" r="653" customHeight="1" ht="12.75">
      <c r="A653" s="4"/>
      <c r="B653" s="29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29"/>
      <c r="N653" s="29"/>
      <c r="O653" s="29"/>
      <c r="P653" s="32"/>
      <c r="Q653" s="32"/>
      <c r="R653" s="4"/>
      <c r="S653" s="4"/>
      <c r="T653" s="4"/>
      <c r="U653" s="4"/>
      <c r="V653" s="4"/>
      <c r="W653" s="4"/>
    </row>
    <row x14ac:dyDescent="0.25" r="654" customHeight="1" ht="12.75">
      <c r="A654" s="4"/>
      <c r="B654" s="29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29"/>
      <c r="N654" s="29"/>
      <c r="O654" s="29"/>
      <c r="P654" s="32"/>
      <c r="Q654" s="32"/>
      <c r="R654" s="4"/>
      <c r="S654" s="4"/>
      <c r="T654" s="4"/>
      <c r="U654" s="4"/>
      <c r="V654" s="4"/>
      <c r="W654" s="4"/>
    </row>
    <row x14ac:dyDescent="0.25" r="655" customHeight="1" ht="12.75">
      <c r="A655" s="4"/>
      <c r="B655" s="29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29"/>
      <c r="N655" s="29"/>
      <c r="O655" s="29"/>
      <c r="P655" s="32"/>
      <c r="Q655" s="32"/>
      <c r="R655" s="4"/>
      <c r="S655" s="4"/>
      <c r="T655" s="4"/>
      <c r="U655" s="4"/>
      <c r="V655" s="4"/>
      <c r="W655" s="4"/>
    </row>
    <row x14ac:dyDescent="0.25" r="656" customHeight="1" ht="12.75">
      <c r="A656" s="4"/>
      <c r="B656" s="29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29"/>
      <c r="N656" s="29"/>
      <c r="O656" s="29"/>
      <c r="P656" s="32"/>
      <c r="Q656" s="32"/>
      <c r="R656" s="4"/>
      <c r="S656" s="4"/>
      <c r="T656" s="4"/>
      <c r="U656" s="4"/>
      <c r="V656" s="4"/>
      <c r="W656" s="4"/>
    </row>
    <row x14ac:dyDescent="0.25" r="657" customHeight="1" ht="12.75">
      <c r="A657" s="4"/>
      <c r="B657" s="29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29"/>
      <c r="N657" s="29"/>
      <c r="O657" s="29"/>
      <c r="P657" s="32"/>
      <c r="Q657" s="32"/>
      <c r="R657" s="4"/>
      <c r="S657" s="4"/>
      <c r="T657" s="4"/>
      <c r="U657" s="4"/>
      <c r="V657" s="4"/>
      <c r="W657" s="4"/>
    </row>
    <row x14ac:dyDescent="0.25" r="658" customHeight="1" ht="12.75">
      <c r="A658" s="4"/>
      <c r="B658" s="29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29"/>
      <c r="N658" s="29"/>
      <c r="O658" s="29"/>
      <c r="P658" s="32"/>
      <c r="Q658" s="32"/>
      <c r="R658" s="4"/>
      <c r="S658" s="4"/>
      <c r="T658" s="4"/>
      <c r="U658" s="4"/>
      <c r="V658" s="4"/>
      <c r="W658" s="4"/>
    </row>
    <row x14ac:dyDescent="0.25" r="659" customHeight="1" ht="12.75">
      <c r="A659" s="4"/>
      <c r="B659" s="29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29"/>
      <c r="N659" s="29"/>
      <c r="O659" s="29"/>
      <c r="P659" s="32"/>
      <c r="Q659" s="32"/>
      <c r="R659" s="4"/>
      <c r="S659" s="4"/>
      <c r="T659" s="4"/>
      <c r="U659" s="4"/>
      <c r="V659" s="4"/>
      <c r="W659" s="4"/>
    </row>
    <row x14ac:dyDescent="0.25" r="660" customHeight="1" ht="12.75">
      <c r="A660" s="4"/>
      <c r="B660" s="29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29"/>
      <c r="N660" s="29"/>
      <c r="O660" s="29"/>
      <c r="P660" s="32"/>
      <c r="Q660" s="32"/>
      <c r="R660" s="4"/>
      <c r="S660" s="4"/>
      <c r="T660" s="4"/>
      <c r="U660" s="4"/>
      <c r="V660" s="4"/>
      <c r="W660" s="4"/>
    </row>
    <row x14ac:dyDescent="0.25" r="661" customHeight="1" ht="12.75">
      <c r="A661" s="4"/>
      <c r="B661" s="29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29"/>
      <c r="N661" s="29"/>
      <c r="O661" s="29"/>
      <c r="P661" s="32"/>
      <c r="Q661" s="32"/>
      <c r="R661" s="4"/>
      <c r="S661" s="4"/>
      <c r="T661" s="4"/>
      <c r="U661" s="4"/>
      <c r="V661" s="4"/>
      <c r="W661" s="4"/>
    </row>
    <row x14ac:dyDescent="0.25" r="662" customHeight="1" ht="12.75">
      <c r="A662" s="4"/>
      <c r="B662" s="29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29"/>
      <c r="N662" s="29"/>
      <c r="O662" s="29"/>
      <c r="P662" s="32"/>
      <c r="Q662" s="32"/>
      <c r="R662" s="4"/>
      <c r="S662" s="4"/>
      <c r="T662" s="4"/>
      <c r="U662" s="4"/>
      <c r="V662" s="4"/>
      <c r="W662" s="4"/>
    </row>
    <row x14ac:dyDescent="0.25" r="663" customHeight="1" ht="12.75">
      <c r="A663" s="4"/>
      <c r="B663" s="29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29"/>
      <c r="N663" s="29"/>
      <c r="O663" s="29"/>
      <c r="P663" s="32"/>
      <c r="Q663" s="32"/>
      <c r="R663" s="4"/>
      <c r="S663" s="4"/>
      <c r="T663" s="4"/>
      <c r="U663" s="4"/>
      <c r="V663" s="4"/>
      <c r="W663" s="4"/>
    </row>
    <row x14ac:dyDescent="0.25" r="664" customHeight="1" ht="12.75">
      <c r="A664" s="4"/>
      <c r="B664" s="29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29"/>
      <c r="N664" s="29"/>
      <c r="O664" s="29"/>
      <c r="P664" s="32"/>
      <c r="Q664" s="32"/>
      <c r="R664" s="4"/>
      <c r="S664" s="4"/>
      <c r="T664" s="4"/>
      <c r="U664" s="4"/>
      <c r="V664" s="4"/>
      <c r="W664" s="4"/>
    </row>
    <row x14ac:dyDescent="0.25" r="665" customHeight="1" ht="12.75">
      <c r="A665" s="4"/>
      <c r="B665" s="29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29"/>
      <c r="N665" s="29"/>
      <c r="O665" s="29"/>
      <c r="P665" s="32"/>
      <c r="Q665" s="32"/>
      <c r="R665" s="4"/>
      <c r="S665" s="4"/>
      <c r="T665" s="4"/>
      <c r="U665" s="4"/>
      <c r="V665" s="4"/>
      <c r="W665" s="4"/>
    </row>
    <row x14ac:dyDescent="0.25" r="666" customHeight="1" ht="12.75">
      <c r="A666" s="4"/>
      <c r="B666" s="29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29"/>
      <c r="N666" s="29"/>
      <c r="O666" s="29"/>
      <c r="P666" s="32"/>
      <c r="Q666" s="32"/>
      <c r="R666" s="4"/>
      <c r="S666" s="4"/>
      <c r="T666" s="4"/>
      <c r="U666" s="4"/>
      <c r="V666" s="4"/>
      <c r="W666" s="4"/>
    </row>
    <row x14ac:dyDescent="0.25" r="667" customHeight="1" ht="12.75">
      <c r="A667" s="4"/>
      <c r="B667" s="29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29"/>
      <c r="N667" s="29"/>
      <c r="O667" s="29"/>
      <c r="P667" s="32"/>
      <c r="Q667" s="32"/>
      <c r="R667" s="4"/>
      <c r="S667" s="4"/>
      <c r="T667" s="4"/>
      <c r="U667" s="4"/>
      <c r="V667" s="4"/>
      <c r="W667" s="4"/>
    </row>
    <row x14ac:dyDescent="0.25" r="668" customHeight="1" ht="12.75">
      <c r="A668" s="4"/>
      <c r="B668" s="29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29"/>
      <c r="N668" s="29"/>
      <c r="O668" s="29"/>
      <c r="P668" s="32"/>
      <c r="Q668" s="32"/>
      <c r="R668" s="4"/>
      <c r="S668" s="4"/>
      <c r="T668" s="4"/>
      <c r="U668" s="4"/>
      <c r="V668" s="4"/>
      <c r="W668" s="4"/>
    </row>
    <row x14ac:dyDescent="0.25" r="669" customHeight="1" ht="12.75">
      <c r="A669" s="4"/>
      <c r="B669" s="29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29"/>
      <c r="N669" s="29"/>
      <c r="O669" s="29"/>
      <c r="P669" s="32"/>
      <c r="Q669" s="32"/>
      <c r="R669" s="4"/>
      <c r="S669" s="4"/>
      <c r="T669" s="4"/>
      <c r="U669" s="4"/>
      <c r="V669" s="4"/>
      <c r="W669" s="4"/>
    </row>
    <row x14ac:dyDescent="0.25" r="670" customHeight="1" ht="12.75">
      <c r="A670" s="4"/>
      <c r="B670" s="29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29"/>
      <c r="N670" s="29"/>
      <c r="O670" s="29"/>
      <c r="P670" s="32"/>
      <c r="Q670" s="32"/>
      <c r="R670" s="4"/>
      <c r="S670" s="4"/>
      <c r="T670" s="4"/>
      <c r="U670" s="4"/>
      <c r="V670" s="4"/>
      <c r="W670" s="4"/>
    </row>
    <row x14ac:dyDescent="0.25" r="671" customHeight="1" ht="12.75">
      <c r="A671" s="4"/>
      <c r="B671" s="29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29"/>
      <c r="N671" s="29"/>
      <c r="O671" s="29"/>
      <c r="P671" s="32"/>
      <c r="Q671" s="32"/>
      <c r="R671" s="4"/>
      <c r="S671" s="4"/>
      <c r="T671" s="4"/>
      <c r="U671" s="4"/>
      <c r="V671" s="4"/>
      <c r="W671" s="4"/>
    </row>
    <row x14ac:dyDescent="0.25" r="672" customHeight="1" ht="12.75">
      <c r="A672" s="4"/>
      <c r="B672" s="29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29"/>
      <c r="N672" s="29"/>
      <c r="O672" s="29"/>
      <c r="P672" s="32"/>
      <c r="Q672" s="32"/>
      <c r="R672" s="4"/>
      <c r="S672" s="4"/>
      <c r="T672" s="4"/>
      <c r="U672" s="4"/>
      <c r="V672" s="4"/>
      <c r="W672" s="4"/>
    </row>
    <row x14ac:dyDescent="0.25" r="673" customHeight="1" ht="12.75">
      <c r="A673" s="4"/>
      <c r="B673" s="29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29"/>
      <c r="N673" s="29"/>
      <c r="O673" s="29"/>
      <c r="P673" s="32"/>
      <c r="Q673" s="32"/>
      <c r="R673" s="4"/>
      <c r="S673" s="4"/>
      <c r="T673" s="4"/>
      <c r="U673" s="4"/>
      <c r="V673" s="4"/>
      <c r="W673" s="4"/>
    </row>
    <row x14ac:dyDescent="0.25" r="674" customHeight="1" ht="12.75">
      <c r="A674" s="4"/>
      <c r="B674" s="29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29"/>
      <c r="N674" s="29"/>
      <c r="O674" s="29"/>
      <c r="P674" s="32"/>
      <c r="Q674" s="32"/>
      <c r="R674" s="4"/>
      <c r="S674" s="4"/>
      <c r="T674" s="4"/>
      <c r="U674" s="4"/>
      <c r="V674" s="4"/>
      <c r="W674" s="4"/>
    </row>
    <row x14ac:dyDescent="0.25" r="675" customHeight="1" ht="12.75">
      <c r="A675" s="4"/>
      <c r="B675" s="29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29"/>
      <c r="N675" s="29"/>
      <c r="O675" s="29"/>
      <c r="P675" s="32"/>
      <c r="Q675" s="32"/>
      <c r="R675" s="4"/>
      <c r="S675" s="4"/>
      <c r="T675" s="4"/>
      <c r="U675" s="4"/>
      <c r="V675" s="4"/>
      <c r="W675" s="4"/>
    </row>
    <row x14ac:dyDescent="0.25" r="676" customHeight="1" ht="12.75">
      <c r="A676" s="4"/>
      <c r="B676" s="29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29"/>
      <c r="N676" s="29"/>
      <c r="O676" s="29"/>
      <c r="P676" s="32"/>
      <c r="Q676" s="32"/>
      <c r="R676" s="4"/>
      <c r="S676" s="4"/>
      <c r="T676" s="4"/>
      <c r="U676" s="4"/>
      <c r="V676" s="4"/>
      <c r="W676" s="4"/>
    </row>
    <row x14ac:dyDescent="0.25" r="677" customHeight="1" ht="12.75">
      <c r="A677" s="4"/>
      <c r="B677" s="29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29"/>
      <c r="N677" s="29"/>
      <c r="O677" s="29"/>
      <c r="P677" s="32"/>
      <c r="Q677" s="32"/>
      <c r="R677" s="4"/>
      <c r="S677" s="4"/>
      <c r="T677" s="4"/>
      <c r="U677" s="4"/>
      <c r="V677" s="4"/>
      <c r="W677" s="4"/>
    </row>
    <row x14ac:dyDescent="0.25" r="678" customHeight="1" ht="12.75">
      <c r="A678" s="4"/>
      <c r="B678" s="29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29"/>
      <c r="N678" s="29"/>
      <c r="O678" s="29"/>
      <c r="P678" s="32"/>
      <c r="Q678" s="32"/>
      <c r="R678" s="4"/>
      <c r="S678" s="4"/>
      <c r="T678" s="4"/>
      <c r="U678" s="4"/>
      <c r="V678" s="4"/>
      <c r="W678" s="4"/>
    </row>
    <row x14ac:dyDescent="0.25" r="679" customHeight="1" ht="12.75">
      <c r="A679" s="4"/>
      <c r="B679" s="29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29"/>
      <c r="N679" s="29"/>
      <c r="O679" s="29"/>
      <c r="P679" s="32"/>
      <c r="Q679" s="32"/>
      <c r="R679" s="4"/>
      <c r="S679" s="4"/>
      <c r="T679" s="4"/>
      <c r="U679" s="4"/>
      <c r="V679" s="4"/>
      <c r="W679" s="4"/>
    </row>
    <row x14ac:dyDescent="0.25" r="680" customHeight="1" ht="12.75">
      <c r="A680" s="4"/>
      <c r="B680" s="29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29"/>
      <c r="N680" s="29"/>
      <c r="O680" s="29"/>
      <c r="P680" s="32"/>
      <c r="Q680" s="32"/>
      <c r="R680" s="4"/>
      <c r="S680" s="4"/>
      <c r="T680" s="4"/>
      <c r="U680" s="4"/>
      <c r="V680" s="4"/>
      <c r="W680" s="4"/>
    </row>
    <row x14ac:dyDescent="0.25" r="681" customHeight="1" ht="12.75">
      <c r="A681" s="4"/>
      <c r="B681" s="29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29"/>
      <c r="N681" s="29"/>
      <c r="O681" s="29"/>
      <c r="P681" s="32"/>
      <c r="Q681" s="32"/>
      <c r="R681" s="4"/>
      <c r="S681" s="4"/>
      <c r="T681" s="4"/>
      <c r="U681" s="4"/>
      <c r="V681" s="4"/>
      <c r="W681" s="4"/>
    </row>
    <row x14ac:dyDescent="0.25" r="682" customHeight="1" ht="12.75">
      <c r="A682" s="4"/>
      <c r="B682" s="29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29"/>
      <c r="N682" s="29"/>
      <c r="O682" s="29"/>
      <c r="P682" s="32"/>
      <c r="Q682" s="32"/>
      <c r="R682" s="4"/>
      <c r="S682" s="4"/>
      <c r="T682" s="4"/>
      <c r="U682" s="4"/>
      <c r="V682" s="4"/>
      <c r="W682" s="4"/>
    </row>
    <row x14ac:dyDescent="0.25" r="683" customHeight="1" ht="12.75">
      <c r="A683" s="4"/>
      <c r="B683" s="29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29"/>
      <c r="N683" s="29"/>
      <c r="O683" s="29"/>
      <c r="P683" s="32"/>
      <c r="Q683" s="32"/>
      <c r="R683" s="4"/>
      <c r="S683" s="4"/>
      <c r="T683" s="4"/>
      <c r="U683" s="4"/>
      <c r="V683" s="4"/>
      <c r="W683" s="4"/>
    </row>
    <row x14ac:dyDescent="0.25" r="684" customHeight="1" ht="12.75">
      <c r="A684" s="4"/>
      <c r="B684" s="29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29"/>
      <c r="N684" s="29"/>
      <c r="O684" s="29"/>
      <c r="P684" s="32"/>
      <c r="Q684" s="32"/>
      <c r="R684" s="4"/>
      <c r="S684" s="4"/>
      <c r="T684" s="4"/>
      <c r="U684" s="4"/>
      <c r="V684" s="4"/>
      <c r="W684" s="4"/>
    </row>
    <row x14ac:dyDescent="0.25" r="685" customHeight="1" ht="12.75">
      <c r="A685" s="4"/>
      <c r="B685" s="29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29"/>
      <c r="N685" s="29"/>
      <c r="O685" s="29"/>
      <c r="P685" s="32"/>
      <c r="Q685" s="32"/>
      <c r="R685" s="4"/>
      <c r="S685" s="4"/>
      <c r="T685" s="4"/>
      <c r="U685" s="4"/>
      <c r="V685" s="4"/>
      <c r="W685" s="4"/>
    </row>
    <row x14ac:dyDescent="0.25" r="686" customHeight="1" ht="12.75">
      <c r="A686" s="4"/>
      <c r="B686" s="29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29"/>
      <c r="N686" s="29"/>
      <c r="O686" s="29"/>
      <c r="P686" s="32"/>
      <c r="Q686" s="32"/>
      <c r="R686" s="4"/>
      <c r="S686" s="4"/>
      <c r="T686" s="4"/>
      <c r="U686" s="4"/>
      <c r="V686" s="4"/>
      <c r="W686" s="4"/>
    </row>
    <row x14ac:dyDescent="0.25" r="687" customHeight="1" ht="12.75">
      <c r="A687" s="4"/>
      <c r="B687" s="29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29"/>
      <c r="N687" s="29"/>
      <c r="O687" s="29"/>
      <c r="P687" s="32"/>
      <c r="Q687" s="32"/>
      <c r="R687" s="4"/>
      <c r="S687" s="4"/>
      <c r="T687" s="4"/>
      <c r="U687" s="4"/>
      <c r="V687" s="4"/>
      <c r="W687" s="4"/>
    </row>
    <row x14ac:dyDescent="0.25" r="688" customHeight="1" ht="12.75">
      <c r="A688" s="4"/>
      <c r="B688" s="29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29"/>
      <c r="N688" s="29"/>
      <c r="O688" s="29"/>
      <c r="P688" s="32"/>
      <c r="Q688" s="32"/>
      <c r="R688" s="4"/>
      <c r="S688" s="4"/>
      <c r="T688" s="4"/>
      <c r="U688" s="4"/>
      <c r="V688" s="4"/>
      <c r="W688" s="4"/>
    </row>
    <row x14ac:dyDescent="0.25" r="689" customHeight="1" ht="12.75">
      <c r="A689" s="4"/>
      <c r="B689" s="29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29"/>
      <c r="N689" s="29"/>
      <c r="O689" s="29"/>
      <c r="P689" s="32"/>
      <c r="Q689" s="32"/>
      <c r="R689" s="4"/>
      <c r="S689" s="4"/>
      <c r="T689" s="4"/>
      <c r="U689" s="4"/>
      <c r="V689" s="4"/>
      <c r="W689" s="4"/>
    </row>
    <row x14ac:dyDescent="0.25" r="690" customHeight="1" ht="12.75">
      <c r="A690" s="4"/>
      <c r="B690" s="29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29"/>
      <c r="N690" s="29"/>
      <c r="O690" s="29"/>
      <c r="P690" s="32"/>
      <c r="Q690" s="32"/>
      <c r="R690" s="4"/>
      <c r="S690" s="4"/>
      <c r="T690" s="4"/>
      <c r="U690" s="4"/>
      <c r="V690" s="4"/>
      <c r="W690" s="4"/>
    </row>
    <row x14ac:dyDescent="0.25" r="691" customHeight="1" ht="12.75">
      <c r="A691" s="4"/>
      <c r="B691" s="29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29"/>
      <c r="N691" s="29"/>
      <c r="O691" s="29"/>
      <c r="P691" s="32"/>
      <c r="Q691" s="32"/>
      <c r="R691" s="4"/>
      <c r="S691" s="4"/>
      <c r="T691" s="4"/>
      <c r="U691" s="4"/>
      <c r="V691" s="4"/>
      <c r="W691" s="4"/>
    </row>
    <row x14ac:dyDescent="0.25" r="692" customHeight="1" ht="12.75">
      <c r="A692" s="4"/>
      <c r="B692" s="29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29"/>
      <c r="N692" s="29"/>
      <c r="O692" s="29"/>
      <c r="P692" s="32"/>
      <c r="Q692" s="32"/>
      <c r="R692" s="4"/>
      <c r="S692" s="4"/>
      <c r="T692" s="4"/>
      <c r="U692" s="4"/>
      <c r="V692" s="4"/>
      <c r="W692" s="4"/>
    </row>
    <row x14ac:dyDescent="0.25" r="693" customHeight="1" ht="12.75">
      <c r="A693" s="4"/>
      <c r="B693" s="29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29"/>
      <c r="N693" s="29"/>
      <c r="O693" s="29"/>
      <c r="P693" s="32"/>
      <c r="Q693" s="32"/>
      <c r="R693" s="4"/>
      <c r="S693" s="4"/>
      <c r="T693" s="4"/>
      <c r="U693" s="4"/>
      <c r="V693" s="4"/>
      <c r="W693" s="4"/>
    </row>
    <row x14ac:dyDescent="0.25" r="694" customHeight="1" ht="12.75">
      <c r="A694" s="4"/>
      <c r="B694" s="29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29"/>
      <c r="N694" s="29"/>
      <c r="O694" s="29"/>
      <c r="P694" s="32"/>
      <c r="Q694" s="32"/>
      <c r="R694" s="4"/>
      <c r="S694" s="4"/>
      <c r="T694" s="4"/>
      <c r="U694" s="4"/>
      <c r="V694" s="4"/>
      <c r="W694" s="4"/>
    </row>
    <row x14ac:dyDescent="0.25" r="695" customHeight="1" ht="12.75">
      <c r="A695" s="4"/>
      <c r="B695" s="29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29"/>
      <c r="N695" s="29"/>
      <c r="O695" s="29"/>
      <c r="P695" s="32"/>
      <c r="Q695" s="32"/>
      <c r="R695" s="4"/>
      <c r="S695" s="4"/>
      <c r="T695" s="4"/>
      <c r="U695" s="4"/>
      <c r="V695" s="4"/>
      <c r="W695" s="4"/>
    </row>
    <row x14ac:dyDescent="0.25" r="696" customHeight="1" ht="12.75">
      <c r="A696" s="4"/>
      <c r="B696" s="29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29"/>
      <c r="N696" s="29"/>
      <c r="O696" s="29"/>
      <c r="P696" s="32"/>
      <c r="Q696" s="32"/>
      <c r="R696" s="4"/>
      <c r="S696" s="4"/>
      <c r="T696" s="4"/>
      <c r="U696" s="4"/>
      <c r="V696" s="4"/>
      <c r="W696" s="4"/>
    </row>
    <row x14ac:dyDescent="0.25" r="697" customHeight="1" ht="12.75">
      <c r="A697" s="4"/>
      <c r="B697" s="29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29"/>
      <c r="N697" s="29"/>
      <c r="O697" s="29"/>
      <c r="P697" s="32"/>
      <c r="Q697" s="32"/>
      <c r="R697" s="4"/>
      <c r="S697" s="4"/>
      <c r="T697" s="4"/>
      <c r="U697" s="4"/>
      <c r="V697" s="4"/>
      <c r="W697" s="4"/>
    </row>
    <row x14ac:dyDescent="0.25" r="698" customHeight="1" ht="12.75">
      <c r="A698" s="4"/>
      <c r="B698" s="29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29"/>
      <c r="N698" s="29"/>
      <c r="O698" s="29"/>
      <c r="P698" s="32"/>
      <c r="Q698" s="32"/>
      <c r="R698" s="4"/>
      <c r="S698" s="4"/>
      <c r="T698" s="4"/>
      <c r="U698" s="4"/>
      <c r="V698" s="4"/>
      <c r="W698" s="4"/>
    </row>
    <row x14ac:dyDescent="0.25" r="699" customHeight="1" ht="12.75">
      <c r="A699" s="4"/>
      <c r="B699" s="29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29"/>
      <c r="N699" s="29"/>
      <c r="O699" s="29"/>
      <c r="P699" s="32"/>
      <c r="Q699" s="32"/>
      <c r="R699" s="4"/>
      <c r="S699" s="4"/>
      <c r="T699" s="4"/>
      <c r="U699" s="4"/>
      <c r="V699" s="4"/>
      <c r="W699" s="4"/>
    </row>
    <row x14ac:dyDescent="0.25" r="700" customHeight="1" ht="12.75">
      <c r="A700" s="4"/>
      <c r="B700" s="29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29"/>
      <c r="N700" s="29"/>
      <c r="O700" s="29"/>
      <c r="P700" s="32"/>
      <c r="Q700" s="32"/>
      <c r="R700" s="4"/>
      <c r="S700" s="4"/>
      <c r="T700" s="4"/>
      <c r="U700" s="4"/>
      <c r="V700" s="4"/>
      <c r="W700" s="4"/>
    </row>
    <row x14ac:dyDescent="0.25" r="701" customHeight="1" ht="12.75">
      <c r="A701" s="4"/>
      <c r="B701" s="29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29"/>
      <c r="N701" s="29"/>
      <c r="O701" s="29"/>
      <c r="P701" s="32"/>
      <c r="Q701" s="32"/>
      <c r="R701" s="4"/>
      <c r="S701" s="4"/>
      <c r="T701" s="4"/>
      <c r="U701" s="4"/>
      <c r="V701" s="4"/>
      <c r="W701" s="4"/>
    </row>
    <row x14ac:dyDescent="0.25" r="702" customHeight="1" ht="12.75">
      <c r="A702" s="4"/>
      <c r="B702" s="29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29"/>
      <c r="N702" s="29"/>
      <c r="O702" s="29"/>
      <c r="P702" s="32"/>
      <c r="Q702" s="32"/>
      <c r="R702" s="4"/>
      <c r="S702" s="4"/>
      <c r="T702" s="4"/>
      <c r="U702" s="4"/>
      <c r="V702" s="4"/>
      <c r="W702" s="4"/>
    </row>
    <row x14ac:dyDescent="0.25" r="703" customHeight="1" ht="12.75">
      <c r="A703" s="4"/>
      <c r="B703" s="29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29"/>
      <c r="N703" s="29"/>
      <c r="O703" s="29"/>
      <c r="P703" s="32"/>
      <c r="Q703" s="32"/>
      <c r="R703" s="4"/>
      <c r="S703" s="4"/>
      <c r="T703" s="4"/>
      <c r="U703" s="4"/>
      <c r="V703" s="4"/>
      <c r="W703" s="4"/>
    </row>
    <row x14ac:dyDescent="0.25" r="704" customHeight="1" ht="12.75">
      <c r="A704" s="4"/>
      <c r="B704" s="29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29"/>
      <c r="N704" s="29"/>
      <c r="O704" s="29"/>
      <c r="P704" s="32"/>
      <c r="Q704" s="32"/>
      <c r="R704" s="4"/>
      <c r="S704" s="4"/>
      <c r="T704" s="4"/>
      <c r="U704" s="4"/>
      <c r="V704" s="4"/>
      <c r="W704" s="4"/>
    </row>
    <row x14ac:dyDescent="0.25" r="705" customHeight="1" ht="12.75">
      <c r="A705" s="4"/>
      <c r="B705" s="29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29"/>
      <c r="N705" s="29"/>
      <c r="O705" s="29"/>
      <c r="P705" s="32"/>
      <c r="Q705" s="32"/>
      <c r="R705" s="4"/>
      <c r="S705" s="4"/>
      <c r="T705" s="4"/>
      <c r="U705" s="4"/>
      <c r="V705" s="4"/>
      <c r="W705" s="4"/>
    </row>
    <row x14ac:dyDescent="0.25" r="706" customHeight="1" ht="12.75">
      <c r="A706" s="4"/>
      <c r="B706" s="29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29"/>
      <c r="N706" s="29"/>
      <c r="O706" s="29"/>
      <c r="P706" s="32"/>
      <c r="Q706" s="32"/>
      <c r="R706" s="4"/>
      <c r="S706" s="4"/>
      <c r="T706" s="4"/>
      <c r="U706" s="4"/>
      <c r="V706" s="4"/>
      <c r="W706" s="4"/>
    </row>
    <row x14ac:dyDescent="0.25" r="707" customHeight="1" ht="12.75">
      <c r="A707" s="4"/>
      <c r="B707" s="29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29"/>
      <c r="N707" s="29"/>
      <c r="O707" s="29"/>
      <c r="P707" s="32"/>
      <c r="Q707" s="32"/>
      <c r="R707" s="4"/>
      <c r="S707" s="4"/>
      <c r="T707" s="4"/>
      <c r="U707" s="4"/>
      <c r="V707" s="4"/>
      <c r="W707" s="4"/>
    </row>
    <row x14ac:dyDescent="0.25" r="708" customHeight="1" ht="12.75">
      <c r="A708" s="4"/>
      <c r="B708" s="29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29"/>
      <c r="N708" s="29"/>
      <c r="O708" s="29"/>
      <c r="P708" s="32"/>
      <c r="Q708" s="32"/>
      <c r="R708" s="4"/>
      <c r="S708" s="4"/>
      <c r="T708" s="4"/>
      <c r="U708" s="4"/>
      <c r="V708" s="4"/>
      <c r="W708" s="4"/>
    </row>
    <row x14ac:dyDescent="0.25" r="709" customHeight="1" ht="12.75">
      <c r="A709" s="4"/>
      <c r="B709" s="29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29"/>
      <c r="N709" s="29"/>
      <c r="O709" s="29"/>
      <c r="P709" s="32"/>
      <c r="Q709" s="32"/>
      <c r="R709" s="4"/>
      <c r="S709" s="4"/>
      <c r="T709" s="4"/>
      <c r="U709" s="4"/>
      <c r="V709" s="4"/>
      <c r="W709" s="4"/>
    </row>
    <row x14ac:dyDescent="0.25" r="710" customHeight="1" ht="12.75">
      <c r="A710" s="4"/>
      <c r="B710" s="29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29"/>
      <c r="N710" s="29"/>
      <c r="O710" s="29"/>
      <c r="P710" s="32"/>
      <c r="Q710" s="32"/>
      <c r="R710" s="4"/>
      <c r="S710" s="4"/>
      <c r="T710" s="4"/>
      <c r="U710" s="4"/>
      <c r="V710" s="4"/>
      <c r="W710" s="4"/>
    </row>
    <row x14ac:dyDescent="0.25" r="711" customHeight="1" ht="12.75">
      <c r="A711" s="4"/>
      <c r="B711" s="29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29"/>
      <c r="N711" s="29"/>
      <c r="O711" s="29"/>
      <c r="P711" s="32"/>
      <c r="Q711" s="32"/>
      <c r="R711" s="4"/>
      <c r="S711" s="4"/>
      <c r="T711" s="4"/>
      <c r="U711" s="4"/>
      <c r="V711" s="4"/>
      <c r="W711" s="4"/>
    </row>
    <row x14ac:dyDescent="0.25" r="712" customHeight="1" ht="12.75">
      <c r="A712" s="4"/>
      <c r="B712" s="29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29"/>
      <c r="N712" s="29"/>
      <c r="O712" s="29"/>
      <c r="P712" s="32"/>
      <c r="Q712" s="32"/>
      <c r="R712" s="4"/>
      <c r="S712" s="4"/>
      <c r="T712" s="4"/>
      <c r="U712" s="4"/>
      <c r="V712" s="4"/>
      <c r="W712" s="4"/>
    </row>
    <row x14ac:dyDescent="0.25" r="713" customHeight="1" ht="12.75">
      <c r="A713" s="4"/>
      <c r="B713" s="29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29"/>
      <c r="N713" s="29"/>
      <c r="O713" s="29"/>
      <c r="P713" s="32"/>
      <c r="Q713" s="32"/>
      <c r="R713" s="4"/>
      <c r="S713" s="4"/>
      <c r="T713" s="4"/>
      <c r="U713" s="4"/>
      <c r="V713" s="4"/>
      <c r="W713" s="4"/>
    </row>
    <row x14ac:dyDescent="0.25" r="714" customHeight="1" ht="12.75">
      <c r="A714" s="4"/>
      <c r="B714" s="29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29"/>
      <c r="N714" s="29"/>
      <c r="O714" s="29"/>
      <c r="P714" s="32"/>
      <c r="Q714" s="32"/>
      <c r="R714" s="4"/>
      <c r="S714" s="4"/>
      <c r="T714" s="4"/>
      <c r="U714" s="4"/>
      <c r="V714" s="4"/>
      <c r="W714" s="4"/>
    </row>
    <row x14ac:dyDescent="0.25" r="715" customHeight="1" ht="12.75">
      <c r="A715" s="4"/>
      <c r="B715" s="29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29"/>
      <c r="N715" s="29"/>
      <c r="O715" s="29"/>
      <c r="P715" s="32"/>
      <c r="Q715" s="32"/>
      <c r="R715" s="4"/>
      <c r="S715" s="4"/>
      <c r="T715" s="4"/>
      <c r="U715" s="4"/>
      <c r="V715" s="4"/>
      <c r="W715" s="4"/>
    </row>
    <row x14ac:dyDescent="0.25" r="716" customHeight="1" ht="12.75">
      <c r="A716" s="4"/>
      <c r="B716" s="29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29"/>
      <c r="N716" s="29"/>
      <c r="O716" s="29"/>
      <c r="P716" s="32"/>
      <c r="Q716" s="32"/>
      <c r="R716" s="4"/>
      <c r="S716" s="4"/>
      <c r="T716" s="4"/>
      <c r="U716" s="4"/>
      <c r="V716" s="4"/>
      <c r="W716" s="4"/>
    </row>
    <row x14ac:dyDescent="0.25" r="717" customHeight="1" ht="12.75">
      <c r="A717" s="4"/>
      <c r="B717" s="29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29"/>
      <c r="N717" s="29"/>
      <c r="O717" s="29"/>
      <c r="P717" s="32"/>
      <c r="Q717" s="32"/>
      <c r="R717" s="4"/>
      <c r="S717" s="4"/>
      <c r="T717" s="4"/>
      <c r="U717" s="4"/>
      <c r="V717" s="4"/>
      <c r="W717" s="4"/>
    </row>
    <row x14ac:dyDescent="0.25" r="718" customHeight="1" ht="12.75">
      <c r="A718" s="4"/>
      <c r="B718" s="29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29"/>
      <c r="N718" s="29"/>
      <c r="O718" s="29"/>
      <c r="P718" s="32"/>
      <c r="Q718" s="32"/>
      <c r="R718" s="4"/>
      <c r="S718" s="4"/>
      <c r="T718" s="4"/>
      <c r="U718" s="4"/>
      <c r="V718" s="4"/>
      <c r="W718" s="4"/>
    </row>
    <row x14ac:dyDescent="0.25" r="719" customHeight="1" ht="12.75">
      <c r="A719" s="4"/>
      <c r="B719" s="29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29"/>
      <c r="N719" s="29"/>
      <c r="O719" s="29"/>
      <c r="P719" s="32"/>
      <c r="Q719" s="32"/>
      <c r="R719" s="4"/>
      <c r="S719" s="4"/>
      <c r="T719" s="4"/>
      <c r="U719" s="4"/>
      <c r="V719" s="4"/>
      <c r="W719" s="4"/>
    </row>
    <row x14ac:dyDescent="0.25" r="720" customHeight="1" ht="12.75">
      <c r="A720" s="4"/>
      <c r="B720" s="29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29"/>
      <c r="N720" s="29"/>
      <c r="O720" s="29"/>
      <c r="P720" s="32"/>
      <c r="Q720" s="32"/>
      <c r="R720" s="4"/>
      <c r="S720" s="4"/>
      <c r="T720" s="4"/>
      <c r="U720" s="4"/>
      <c r="V720" s="4"/>
      <c r="W720" s="4"/>
    </row>
    <row x14ac:dyDescent="0.25" r="721" customHeight="1" ht="12.75">
      <c r="A721" s="4"/>
      <c r="B721" s="29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29"/>
      <c r="N721" s="29"/>
      <c r="O721" s="29"/>
      <c r="P721" s="32"/>
      <c r="Q721" s="32"/>
      <c r="R721" s="4"/>
      <c r="S721" s="4"/>
      <c r="T721" s="4"/>
      <c r="U721" s="4"/>
      <c r="V721" s="4"/>
      <c r="W721" s="4"/>
    </row>
    <row x14ac:dyDescent="0.25" r="722" customHeight="1" ht="12.75">
      <c r="A722" s="4"/>
      <c r="B722" s="29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29"/>
      <c r="N722" s="29"/>
      <c r="O722" s="29"/>
      <c r="P722" s="32"/>
      <c r="Q722" s="32"/>
      <c r="R722" s="4"/>
      <c r="S722" s="4"/>
      <c r="T722" s="4"/>
      <c r="U722" s="4"/>
      <c r="V722" s="4"/>
      <c r="W722" s="4"/>
    </row>
    <row x14ac:dyDescent="0.25" r="723" customHeight="1" ht="12.75">
      <c r="A723" s="4"/>
      <c r="B723" s="29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29"/>
      <c r="N723" s="29"/>
      <c r="O723" s="29"/>
      <c r="P723" s="32"/>
      <c r="Q723" s="32"/>
      <c r="R723" s="4"/>
      <c r="S723" s="4"/>
      <c r="T723" s="4"/>
      <c r="U723" s="4"/>
      <c r="V723" s="4"/>
      <c r="W723" s="4"/>
    </row>
    <row x14ac:dyDescent="0.25" r="724" customHeight="1" ht="12.75">
      <c r="A724" s="4"/>
      <c r="B724" s="29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29"/>
      <c r="N724" s="29"/>
      <c r="O724" s="29"/>
      <c r="P724" s="32"/>
      <c r="Q724" s="32"/>
      <c r="R724" s="4"/>
      <c r="S724" s="4"/>
      <c r="T724" s="4"/>
      <c r="U724" s="4"/>
      <c r="V724" s="4"/>
      <c r="W724" s="4"/>
    </row>
    <row x14ac:dyDescent="0.25" r="725" customHeight="1" ht="12.75">
      <c r="A725" s="4"/>
      <c r="B725" s="29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29"/>
      <c r="N725" s="29"/>
      <c r="O725" s="29"/>
      <c r="P725" s="32"/>
      <c r="Q725" s="32"/>
      <c r="R725" s="4"/>
      <c r="S725" s="4"/>
      <c r="T725" s="4"/>
      <c r="U725" s="4"/>
      <c r="V725" s="4"/>
      <c r="W725" s="4"/>
    </row>
    <row x14ac:dyDescent="0.25" r="726" customHeight="1" ht="12.75">
      <c r="A726" s="4"/>
      <c r="B726" s="29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29"/>
      <c r="N726" s="29"/>
      <c r="O726" s="29"/>
      <c r="P726" s="32"/>
      <c r="Q726" s="32"/>
      <c r="R726" s="4"/>
      <c r="S726" s="4"/>
      <c r="T726" s="4"/>
      <c r="U726" s="4"/>
      <c r="V726" s="4"/>
      <c r="W726" s="4"/>
    </row>
    <row x14ac:dyDescent="0.25" r="727" customHeight="1" ht="12.75">
      <c r="A727" s="4"/>
      <c r="B727" s="29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29"/>
      <c r="N727" s="29"/>
      <c r="O727" s="29"/>
      <c r="P727" s="32"/>
      <c r="Q727" s="32"/>
      <c r="R727" s="4"/>
      <c r="S727" s="4"/>
      <c r="T727" s="4"/>
      <c r="U727" s="4"/>
      <c r="V727" s="4"/>
      <c r="W727" s="4"/>
    </row>
    <row x14ac:dyDescent="0.25" r="728" customHeight="1" ht="12.75">
      <c r="A728" s="4"/>
      <c r="B728" s="29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29"/>
      <c r="N728" s="29"/>
      <c r="O728" s="29"/>
      <c r="P728" s="32"/>
      <c r="Q728" s="32"/>
      <c r="R728" s="4"/>
      <c r="S728" s="4"/>
      <c r="T728" s="4"/>
      <c r="U728" s="4"/>
      <c r="V728" s="4"/>
      <c r="W728" s="4"/>
    </row>
    <row x14ac:dyDescent="0.25" r="729" customHeight="1" ht="12.75">
      <c r="A729" s="4"/>
      <c r="B729" s="29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29"/>
      <c r="N729" s="29"/>
      <c r="O729" s="29"/>
      <c r="P729" s="32"/>
      <c r="Q729" s="32"/>
      <c r="R729" s="4"/>
      <c r="S729" s="4"/>
      <c r="T729" s="4"/>
      <c r="U729" s="4"/>
      <c r="V729" s="4"/>
      <c r="W729" s="4"/>
    </row>
    <row x14ac:dyDescent="0.25" r="730" customHeight="1" ht="12.75">
      <c r="A730" s="4"/>
      <c r="B730" s="29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29"/>
      <c r="N730" s="29"/>
      <c r="O730" s="29"/>
      <c r="P730" s="32"/>
      <c r="Q730" s="32"/>
      <c r="R730" s="4"/>
      <c r="S730" s="4"/>
      <c r="T730" s="4"/>
      <c r="U730" s="4"/>
      <c r="V730" s="4"/>
      <c r="W730" s="4"/>
    </row>
    <row x14ac:dyDescent="0.25" r="731" customHeight="1" ht="12.75">
      <c r="A731" s="4"/>
      <c r="B731" s="29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29"/>
      <c r="N731" s="29"/>
      <c r="O731" s="29"/>
      <c r="P731" s="32"/>
      <c r="Q731" s="32"/>
      <c r="R731" s="4"/>
      <c r="S731" s="4"/>
      <c r="T731" s="4"/>
      <c r="U731" s="4"/>
      <c r="V731" s="4"/>
      <c r="W731" s="4"/>
    </row>
    <row x14ac:dyDescent="0.25" r="732" customHeight="1" ht="12.75">
      <c r="A732" s="4"/>
      <c r="B732" s="29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29"/>
      <c r="N732" s="29"/>
      <c r="O732" s="29"/>
      <c r="P732" s="32"/>
      <c r="Q732" s="32"/>
      <c r="R732" s="4"/>
      <c r="S732" s="4"/>
      <c r="T732" s="4"/>
      <c r="U732" s="4"/>
      <c r="V732" s="4"/>
      <c r="W732" s="4"/>
    </row>
    <row x14ac:dyDescent="0.25" r="733" customHeight="1" ht="12.75">
      <c r="A733" s="4"/>
      <c r="B733" s="29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29"/>
      <c r="N733" s="29"/>
      <c r="O733" s="29"/>
      <c r="P733" s="32"/>
      <c r="Q733" s="32"/>
      <c r="R733" s="4"/>
      <c r="S733" s="4"/>
      <c r="T733" s="4"/>
      <c r="U733" s="4"/>
      <c r="V733" s="4"/>
      <c r="W733" s="4"/>
    </row>
    <row x14ac:dyDescent="0.25" r="734" customHeight="1" ht="12.75">
      <c r="A734" s="4"/>
      <c r="B734" s="29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29"/>
      <c r="N734" s="29"/>
      <c r="O734" s="29"/>
      <c r="P734" s="32"/>
      <c r="Q734" s="32"/>
      <c r="R734" s="4"/>
      <c r="S734" s="4"/>
      <c r="T734" s="4"/>
      <c r="U734" s="4"/>
      <c r="V734" s="4"/>
      <c r="W734" s="4"/>
    </row>
    <row x14ac:dyDescent="0.25" r="735" customHeight="1" ht="12.75">
      <c r="A735" s="4"/>
      <c r="B735" s="29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29"/>
      <c r="N735" s="29"/>
      <c r="O735" s="29"/>
      <c r="P735" s="32"/>
      <c r="Q735" s="32"/>
      <c r="R735" s="4"/>
      <c r="S735" s="4"/>
      <c r="T735" s="4"/>
      <c r="U735" s="4"/>
      <c r="V735" s="4"/>
      <c r="W735" s="4"/>
    </row>
    <row x14ac:dyDescent="0.25" r="736" customHeight="1" ht="12.75">
      <c r="A736" s="4"/>
      <c r="B736" s="29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29"/>
      <c r="N736" s="29"/>
      <c r="O736" s="29"/>
      <c r="P736" s="32"/>
      <c r="Q736" s="32"/>
      <c r="R736" s="4"/>
      <c r="S736" s="4"/>
      <c r="T736" s="4"/>
      <c r="U736" s="4"/>
      <c r="V736" s="4"/>
      <c r="W736" s="4"/>
    </row>
    <row x14ac:dyDescent="0.25" r="737" customHeight="1" ht="12.75">
      <c r="A737" s="4"/>
      <c r="B737" s="29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29"/>
      <c r="N737" s="29"/>
      <c r="O737" s="29"/>
      <c r="P737" s="32"/>
      <c r="Q737" s="32"/>
      <c r="R737" s="4"/>
      <c r="S737" s="4"/>
      <c r="T737" s="4"/>
      <c r="U737" s="4"/>
      <c r="V737" s="4"/>
      <c r="W737" s="4"/>
    </row>
    <row x14ac:dyDescent="0.25" r="738" customHeight="1" ht="12.75">
      <c r="A738" s="4"/>
      <c r="B738" s="29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29"/>
      <c r="N738" s="29"/>
      <c r="O738" s="29"/>
      <c r="P738" s="32"/>
      <c r="Q738" s="32"/>
      <c r="R738" s="4"/>
      <c r="S738" s="4"/>
      <c r="T738" s="4"/>
      <c r="U738" s="4"/>
      <c r="V738" s="4"/>
      <c r="W738" s="4"/>
    </row>
    <row x14ac:dyDescent="0.25" r="739" customHeight="1" ht="12.75">
      <c r="A739" s="4"/>
      <c r="B739" s="29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29"/>
      <c r="N739" s="29"/>
      <c r="O739" s="29"/>
      <c r="P739" s="32"/>
      <c r="Q739" s="32"/>
      <c r="R739" s="4"/>
      <c r="S739" s="4"/>
      <c r="T739" s="4"/>
      <c r="U739" s="4"/>
      <c r="V739" s="4"/>
      <c r="W739" s="4"/>
    </row>
    <row x14ac:dyDescent="0.25" r="740" customHeight="1" ht="12.75">
      <c r="A740" s="4"/>
      <c r="B740" s="29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29"/>
      <c r="N740" s="29"/>
      <c r="O740" s="29"/>
      <c r="P740" s="32"/>
      <c r="Q740" s="32"/>
      <c r="R740" s="4"/>
      <c r="S740" s="4"/>
      <c r="T740" s="4"/>
      <c r="U740" s="4"/>
      <c r="V740" s="4"/>
      <c r="W740" s="4"/>
    </row>
    <row x14ac:dyDescent="0.25" r="741" customHeight="1" ht="12.75">
      <c r="A741" s="4"/>
      <c r="B741" s="29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29"/>
      <c r="N741" s="29"/>
      <c r="O741" s="29"/>
      <c r="P741" s="32"/>
      <c r="Q741" s="32"/>
      <c r="R741" s="4"/>
      <c r="S741" s="4"/>
      <c r="T741" s="4"/>
      <c r="U741" s="4"/>
      <c r="V741" s="4"/>
      <c r="W741" s="4"/>
    </row>
    <row x14ac:dyDescent="0.25" r="742" customHeight="1" ht="12.75">
      <c r="A742" s="4"/>
      <c r="B742" s="29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29"/>
      <c r="N742" s="29"/>
      <c r="O742" s="29"/>
      <c r="P742" s="32"/>
      <c r="Q742" s="32"/>
      <c r="R742" s="4"/>
      <c r="S742" s="4"/>
      <c r="T742" s="4"/>
      <c r="U742" s="4"/>
      <c r="V742" s="4"/>
      <c r="W742" s="4"/>
    </row>
    <row x14ac:dyDescent="0.25" r="743" customHeight="1" ht="12.75">
      <c r="A743" s="4"/>
      <c r="B743" s="29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29"/>
      <c r="N743" s="29"/>
      <c r="O743" s="29"/>
      <c r="P743" s="32"/>
      <c r="Q743" s="32"/>
      <c r="R743" s="4"/>
      <c r="S743" s="4"/>
      <c r="T743" s="4"/>
      <c r="U743" s="4"/>
      <c r="V743" s="4"/>
      <c r="W743" s="4"/>
    </row>
    <row x14ac:dyDescent="0.25" r="744" customHeight="1" ht="12.75">
      <c r="A744" s="4"/>
      <c r="B744" s="29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29"/>
      <c r="N744" s="29"/>
      <c r="O744" s="29"/>
      <c r="P744" s="32"/>
      <c r="Q744" s="32"/>
      <c r="R744" s="4"/>
      <c r="S744" s="4"/>
      <c r="T744" s="4"/>
      <c r="U744" s="4"/>
      <c r="V744" s="4"/>
      <c r="W744" s="4"/>
    </row>
    <row x14ac:dyDescent="0.25" r="745" customHeight="1" ht="12.75">
      <c r="A745" s="4"/>
      <c r="B745" s="29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29"/>
      <c r="N745" s="29"/>
      <c r="O745" s="29"/>
      <c r="P745" s="32"/>
      <c r="Q745" s="32"/>
      <c r="R745" s="4"/>
      <c r="S745" s="4"/>
      <c r="T745" s="4"/>
      <c r="U745" s="4"/>
      <c r="V745" s="4"/>
      <c r="W745" s="4"/>
    </row>
    <row x14ac:dyDescent="0.25" r="746" customHeight="1" ht="12.75">
      <c r="A746" s="4"/>
      <c r="B746" s="29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29"/>
      <c r="N746" s="29"/>
      <c r="O746" s="29"/>
      <c r="P746" s="32"/>
      <c r="Q746" s="32"/>
      <c r="R746" s="4"/>
      <c r="S746" s="4"/>
      <c r="T746" s="4"/>
      <c r="U746" s="4"/>
      <c r="V746" s="4"/>
      <c r="W746" s="4"/>
    </row>
    <row x14ac:dyDescent="0.25" r="747" customHeight="1" ht="12.75">
      <c r="A747" s="4"/>
      <c r="B747" s="29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29"/>
      <c r="N747" s="29"/>
      <c r="O747" s="29"/>
      <c r="P747" s="32"/>
      <c r="Q747" s="32"/>
      <c r="R747" s="4"/>
      <c r="S747" s="4"/>
      <c r="T747" s="4"/>
      <c r="U747" s="4"/>
      <c r="V747" s="4"/>
      <c r="W747" s="4"/>
    </row>
    <row x14ac:dyDescent="0.25" r="748" customHeight="1" ht="12.75">
      <c r="A748" s="4"/>
      <c r="B748" s="29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29"/>
      <c r="N748" s="29"/>
      <c r="O748" s="29"/>
      <c r="P748" s="32"/>
      <c r="Q748" s="32"/>
      <c r="R748" s="4"/>
      <c r="S748" s="4"/>
      <c r="T748" s="4"/>
      <c r="U748" s="4"/>
      <c r="V748" s="4"/>
      <c r="W748" s="4"/>
    </row>
    <row x14ac:dyDescent="0.25" r="749" customHeight="1" ht="12.75">
      <c r="A749" s="4"/>
      <c r="B749" s="29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29"/>
      <c r="N749" s="29"/>
      <c r="O749" s="29"/>
      <c r="P749" s="32"/>
      <c r="Q749" s="32"/>
      <c r="R749" s="4"/>
      <c r="S749" s="4"/>
      <c r="T749" s="4"/>
      <c r="U749" s="4"/>
      <c r="V749" s="4"/>
      <c r="W749" s="4"/>
    </row>
    <row x14ac:dyDescent="0.25" r="750" customHeight="1" ht="12.75">
      <c r="A750" s="4"/>
      <c r="B750" s="29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29"/>
      <c r="N750" s="29"/>
      <c r="O750" s="29"/>
      <c r="P750" s="32"/>
      <c r="Q750" s="32"/>
      <c r="R750" s="4"/>
      <c r="S750" s="4"/>
      <c r="T750" s="4"/>
      <c r="U750" s="4"/>
      <c r="V750" s="4"/>
      <c r="W750" s="4"/>
    </row>
    <row x14ac:dyDescent="0.25" r="751" customHeight="1" ht="12.75">
      <c r="A751" s="4"/>
      <c r="B751" s="29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29"/>
      <c r="N751" s="29"/>
      <c r="O751" s="29"/>
      <c r="P751" s="32"/>
      <c r="Q751" s="32"/>
      <c r="R751" s="4"/>
      <c r="S751" s="4"/>
      <c r="T751" s="4"/>
      <c r="U751" s="4"/>
      <c r="V751" s="4"/>
      <c r="W751" s="4"/>
    </row>
    <row x14ac:dyDescent="0.25" r="752" customHeight="1" ht="12.75">
      <c r="A752" s="4"/>
      <c r="B752" s="29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29"/>
      <c r="N752" s="29"/>
      <c r="O752" s="29"/>
      <c r="P752" s="32"/>
      <c r="Q752" s="32"/>
      <c r="R752" s="4"/>
      <c r="S752" s="4"/>
      <c r="T752" s="4"/>
      <c r="U752" s="4"/>
      <c r="V752" s="4"/>
      <c r="W752" s="4"/>
    </row>
    <row x14ac:dyDescent="0.25" r="753" customHeight="1" ht="12.75">
      <c r="A753" s="4"/>
      <c r="B753" s="29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29"/>
      <c r="N753" s="29"/>
      <c r="O753" s="29"/>
      <c r="P753" s="32"/>
      <c r="Q753" s="32"/>
      <c r="R753" s="4"/>
      <c r="S753" s="4"/>
      <c r="T753" s="4"/>
      <c r="U753" s="4"/>
      <c r="V753" s="4"/>
      <c r="W753" s="4"/>
    </row>
    <row x14ac:dyDescent="0.25" r="754" customHeight="1" ht="12.75">
      <c r="A754" s="4"/>
      <c r="B754" s="29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29"/>
      <c r="N754" s="29"/>
      <c r="O754" s="29"/>
      <c r="P754" s="32"/>
      <c r="Q754" s="32"/>
      <c r="R754" s="4"/>
      <c r="S754" s="4"/>
      <c r="T754" s="4"/>
      <c r="U754" s="4"/>
      <c r="V754" s="4"/>
      <c r="W754" s="4"/>
    </row>
    <row x14ac:dyDescent="0.25" r="755" customHeight="1" ht="12.75">
      <c r="A755" s="4"/>
      <c r="B755" s="29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29"/>
      <c r="N755" s="29"/>
      <c r="O755" s="29"/>
      <c r="P755" s="32"/>
      <c r="Q755" s="32"/>
      <c r="R755" s="4"/>
      <c r="S755" s="4"/>
      <c r="T755" s="4"/>
      <c r="U755" s="4"/>
      <c r="V755" s="4"/>
      <c r="W755" s="4"/>
    </row>
    <row x14ac:dyDescent="0.25" r="756" customHeight="1" ht="12.75">
      <c r="A756" s="4"/>
      <c r="B756" s="29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29"/>
      <c r="N756" s="29"/>
      <c r="O756" s="29"/>
      <c r="P756" s="32"/>
      <c r="Q756" s="32"/>
      <c r="R756" s="4"/>
      <c r="S756" s="4"/>
      <c r="T756" s="4"/>
      <c r="U756" s="4"/>
      <c r="V756" s="4"/>
      <c r="W756" s="4"/>
    </row>
    <row x14ac:dyDescent="0.25" r="757" customHeight="1" ht="12.75">
      <c r="A757" s="4"/>
      <c r="B757" s="29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29"/>
      <c r="N757" s="29"/>
      <c r="O757" s="29"/>
      <c r="P757" s="32"/>
      <c r="Q757" s="32"/>
      <c r="R757" s="4"/>
      <c r="S757" s="4"/>
      <c r="T757" s="4"/>
      <c r="U757" s="4"/>
      <c r="V757" s="4"/>
      <c r="W757" s="4"/>
    </row>
    <row x14ac:dyDescent="0.25" r="758" customHeight="1" ht="12.75">
      <c r="A758" s="4"/>
      <c r="B758" s="29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29"/>
      <c r="N758" s="29"/>
      <c r="O758" s="29"/>
      <c r="P758" s="32"/>
      <c r="Q758" s="32"/>
      <c r="R758" s="4"/>
      <c r="S758" s="4"/>
      <c r="T758" s="4"/>
      <c r="U758" s="4"/>
      <c r="V758" s="4"/>
      <c r="W758" s="4"/>
    </row>
    <row x14ac:dyDescent="0.25" r="759" customHeight="1" ht="12.75">
      <c r="A759" s="4"/>
      <c r="B759" s="29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29"/>
      <c r="N759" s="29"/>
      <c r="O759" s="29"/>
      <c r="P759" s="32"/>
      <c r="Q759" s="32"/>
      <c r="R759" s="4"/>
      <c r="S759" s="4"/>
      <c r="T759" s="4"/>
      <c r="U759" s="4"/>
      <c r="V759" s="4"/>
      <c r="W759" s="4"/>
    </row>
    <row x14ac:dyDescent="0.25" r="760" customHeight="1" ht="12.75">
      <c r="A760" s="4"/>
      <c r="B760" s="29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29"/>
      <c r="N760" s="29"/>
      <c r="O760" s="29"/>
      <c r="P760" s="32"/>
      <c r="Q760" s="32"/>
      <c r="R760" s="4"/>
      <c r="S760" s="4"/>
      <c r="T760" s="4"/>
      <c r="U760" s="4"/>
      <c r="V760" s="4"/>
      <c r="W760" s="4"/>
    </row>
    <row x14ac:dyDescent="0.25" r="761" customHeight="1" ht="12.75">
      <c r="A761" s="4"/>
      <c r="B761" s="29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29"/>
      <c r="N761" s="29"/>
      <c r="O761" s="29"/>
      <c r="P761" s="32"/>
      <c r="Q761" s="32"/>
      <c r="R761" s="4"/>
      <c r="S761" s="4"/>
      <c r="T761" s="4"/>
      <c r="U761" s="4"/>
      <c r="V761" s="4"/>
      <c r="W761" s="4"/>
    </row>
    <row x14ac:dyDescent="0.25" r="762" customHeight="1" ht="12.75">
      <c r="A762" s="4"/>
      <c r="B762" s="29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29"/>
      <c r="N762" s="29"/>
      <c r="O762" s="29"/>
      <c r="P762" s="32"/>
      <c r="Q762" s="32"/>
      <c r="R762" s="4"/>
      <c r="S762" s="4"/>
      <c r="T762" s="4"/>
      <c r="U762" s="4"/>
      <c r="V762" s="4"/>
      <c r="W762" s="4"/>
    </row>
    <row x14ac:dyDescent="0.25" r="763" customHeight="1" ht="12.75">
      <c r="A763" s="4"/>
      <c r="B763" s="29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29"/>
      <c r="N763" s="29"/>
      <c r="O763" s="29"/>
      <c r="P763" s="32"/>
      <c r="Q763" s="32"/>
      <c r="R763" s="4"/>
      <c r="S763" s="4"/>
      <c r="T763" s="4"/>
      <c r="U763" s="4"/>
      <c r="V763" s="4"/>
      <c r="W763" s="4"/>
    </row>
    <row x14ac:dyDescent="0.25" r="764" customHeight="1" ht="12.75">
      <c r="A764" s="4"/>
      <c r="B764" s="29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29"/>
      <c r="N764" s="29"/>
      <c r="O764" s="29"/>
      <c r="P764" s="32"/>
      <c r="Q764" s="32"/>
      <c r="R764" s="4"/>
      <c r="S764" s="4"/>
      <c r="T764" s="4"/>
      <c r="U764" s="4"/>
      <c r="V764" s="4"/>
      <c r="W764" s="4"/>
    </row>
    <row x14ac:dyDescent="0.25" r="765" customHeight="1" ht="12.75">
      <c r="A765" s="4"/>
      <c r="B765" s="29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29"/>
      <c r="N765" s="29"/>
      <c r="O765" s="29"/>
      <c r="P765" s="32"/>
      <c r="Q765" s="32"/>
      <c r="R765" s="4"/>
      <c r="S765" s="4"/>
      <c r="T765" s="4"/>
      <c r="U765" s="4"/>
      <c r="V765" s="4"/>
      <c r="W765" s="4"/>
    </row>
    <row x14ac:dyDescent="0.25" r="766" customHeight="1" ht="12.75">
      <c r="A766" s="4"/>
      <c r="B766" s="29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29"/>
      <c r="N766" s="29"/>
      <c r="O766" s="29"/>
      <c r="P766" s="32"/>
      <c r="Q766" s="32"/>
      <c r="R766" s="4"/>
      <c r="S766" s="4"/>
      <c r="T766" s="4"/>
      <c r="U766" s="4"/>
      <c r="V766" s="4"/>
      <c r="W766" s="4"/>
    </row>
    <row x14ac:dyDescent="0.25" r="767" customHeight="1" ht="12.75">
      <c r="A767" s="4"/>
      <c r="B767" s="29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29"/>
      <c r="N767" s="29"/>
      <c r="O767" s="29"/>
      <c r="P767" s="32"/>
      <c r="Q767" s="32"/>
      <c r="R767" s="4"/>
      <c r="S767" s="4"/>
      <c r="T767" s="4"/>
      <c r="U767" s="4"/>
      <c r="V767" s="4"/>
      <c r="W767" s="4"/>
    </row>
    <row x14ac:dyDescent="0.25" r="768" customHeight="1" ht="12.75">
      <c r="A768" s="4"/>
      <c r="B768" s="29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29"/>
      <c r="N768" s="29"/>
      <c r="O768" s="29"/>
      <c r="P768" s="32"/>
      <c r="Q768" s="32"/>
      <c r="R768" s="4"/>
      <c r="S768" s="4"/>
      <c r="T768" s="4"/>
      <c r="U768" s="4"/>
      <c r="V768" s="4"/>
      <c r="W768" s="4"/>
    </row>
    <row x14ac:dyDescent="0.25" r="769" customHeight="1" ht="12.75">
      <c r="A769" s="4"/>
      <c r="B769" s="29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29"/>
      <c r="N769" s="29"/>
      <c r="O769" s="29"/>
      <c r="P769" s="32"/>
      <c r="Q769" s="32"/>
      <c r="R769" s="4"/>
      <c r="S769" s="4"/>
      <c r="T769" s="4"/>
      <c r="U769" s="4"/>
      <c r="V769" s="4"/>
      <c r="W769" s="4"/>
    </row>
    <row x14ac:dyDescent="0.25" r="770" customHeight="1" ht="12.75">
      <c r="A770" s="4"/>
      <c r="B770" s="29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29"/>
      <c r="N770" s="29"/>
      <c r="O770" s="29"/>
      <c r="P770" s="32"/>
      <c r="Q770" s="32"/>
      <c r="R770" s="4"/>
      <c r="S770" s="4"/>
      <c r="T770" s="4"/>
      <c r="U770" s="4"/>
      <c r="V770" s="4"/>
      <c r="W770" s="4"/>
    </row>
    <row x14ac:dyDescent="0.25" r="771" customHeight="1" ht="12.75">
      <c r="A771" s="4"/>
      <c r="B771" s="29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29"/>
      <c r="N771" s="29"/>
      <c r="O771" s="29"/>
      <c r="P771" s="32"/>
      <c r="Q771" s="32"/>
      <c r="R771" s="4"/>
      <c r="S771" s="4"/>
      <c r="T771" s="4"/>
      <c r="U771" s="4"/>
      <c r="V771" s="4"/>
      <c r="W771" s="4"/>
    </row>
    <row x14ac:dyDescent="0.25" r="772" customHeight="1" ht="12.75">
      <c r="A772" s="4"/>
      <c r="B772" s="29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29"/>
      <c r="N772" s="29"/>
      <c r="O772" s="29"/>
      <c r="P772" s="32"/>
      <c r="Q772" s="32"/>
      <c r="R772" s="4"/>
      <c r="S772" s="4"/>
      <c r="T772" s="4"/>
      <c r="U772" s="4"/>
      <c r="V772" s="4"/>
      <c r="W772" s="4"/>
    </row>
    <row x14ac:dyDescent="0.25" r="773" customHeight="1" ht="12.75">
      <c r="A773" s="4"/>
      <c r="B773" s="29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29"/>
      <c r="N773" s="29"/>
      <c r="O773" s="29"/>
      <c r="P773" s="32"/>
      <c r="Q773" s="32"/>
      <c r="R773" s="4"/>
      <c r="S773" s="4"/>
      <c r="T773" s="4"/>
      <c r="U773" s="4"/>
      <c r="V773" s="4"/>
      <c r="W773" s="4"/>
    </row>
    <row x14ac:dyDescent="0.25" r="774" customHeight="1" ht="12.75">
      <c r="A774" s="4"/>
      <c r="B774" s="29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29"/>
      <c r="N774" s="29"/>
      <c r="O774" s="29"/>
      <c r="P774" s="32"/>
      <c r="Q774" s="32"/>
      <c r="R774" s="4"/>
      <c r="S774" s="4"/>
      <c r="T774" s="4"/>
      <c r="U774" s="4"/>
      <c r="V774" s="4"/>
      <c r="W774" s="4"/>
    </row>
    <row x14ac:dyDescent="0.25" r="775" customHeight="1" ht="12.75">
      <c r="A775" s="4"/>
      <c r="B775" s="29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29"/>
      <c r="N775" s="29"/>
      <c r="O775" s="29"/>
      <c r="P775" s="32"/>
      <c r="Q775" s="32"/>
      <c r="R775" s="4"/>
      <c r="S775" s="4"/>
      <c r="T775" s="4"/>
      <c r="U775" s="4"/>
      <c r="V775" s="4"/>
      <c r="W775" s="4"/>
    </row>
    <row x14ac:dyDescent="0.25" r="776" customHeight="1" ht="12.75">
      <c r="A776" s="4"/>
      <c r="B776" s="29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29"/>
      <c r="N776" s="29"/>
      <c r="O776" s="29"/>
      <c r="P776" s="32"/>
      <c r="Q776" s="32"/>
      <c r="R776" s="4"/>
      <c r="S776" s="4"/>
      <c r="T776" s="4"/>
      <c r="U776" s="4"/>
      <c r="V776" s="4"/>
      <c r="W776" s="4"/>
    </row>
    <row x14ac:dyDescent="0.25" r="777" customHeight="1" ht="12.75">
      <c r="A777" s="4"/>
      <c r="B777" s="29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29"/>
      <c r="N777" s="29"/>
      <c r="O777" s="29"/>
      <c r="P777" s="32"/>
      <c r="Q777" s="32"/>
      <c r="R777" s="4"/>
      <c r="S777" s="4"/>
      <c r="T777" s="4"/>
      <c r="U777" s="4"/>
      <c r="V777" s="4"/>
      <c r="W777" s="4"/>
    </row>
    <row x14ac:dyDescent="0.25" r="778" customHeight="1" ht="12.75">
      <c r="A778" s="4"/>
      <c r="B778" s="29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29"/>
      <c r="N778" s="29"/>
      <c r="O778" s="29"/>
      <c r="P778" s="32"/>
      <c r="Q778" s="32"/>
      <c r="R778" s="4"/>
      <c r="S778" s="4"/>
      <c r="T778" s="4"/>
      <c r="U778" s="4"/>
      <c r="V778" s="4"/>
      <c r="W778" s="4"/>
    </row>
    <row x14ac:dyDescent="0.25" r="779" customHeight="1" ht="12.75">
      <c r="A779" s="4"/>
      <c r="B779" s="29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29"/>
      <c r="N779" s="29"/>
      <c r="O779" s="29"/>
      <c r="P779" s="32"/>
      <c r="Q779" s="32"/>
      <c r="R779" s="4"/>
      <c r="S779" s="4"/>
      <c r="T779" s="4"/>
      <c r="U779" s="4"/>
      <c r="V779" s="4"/>
      <c r="W779" s="4"/>
    </row>
    <row x14ac:dyDescent="0.25" r="780" customHeight="1" ht="12.75">
      <c r="A780" s="4"/>
      <c r="B780" s="29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29"/>
      <c r="N780" s="29"/>
      <c r="O780" s="29"/>
      <c r="P780" s="32"/>
      <c r="Q780" s="32"/>
      <c r="R780" s="4"/>
      <c r="S780" s="4"/>
      <c r="T780" s="4"/>
      <c r="U780" s="4"/>
      <c r="V780" s="4"/>
      <c r="W780" s="4"/>
    </row>
    <row x14ac:dyDescent="0.25" r="781" customHeight="1" ht="12.75">
      <c r="A781" s="4"/>
      <c r="B781" s="29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29"/>
      <c r="N781" s="29"/>
      <c r="O781" s="29"/>
      <c r="P781" s="32"/>
      <c r="Q781" s="32"/>
      <c r="R781" s="4"/>
      <c r="S781" s="4"/>
      <c r="T781" s="4"/>
      <c r="U781" s="4"/>
      <c r="V781" s="4"/>
      <c r="W781" s="4"/>
    </row>
    <row x14ac:dyDescent="0.25" r="782" customHeight="1" ht="12.75">
      <c r="A782" s="4"/>
      <c r="B782" s="29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29"/>
      <c r="N782" s="29"/>
      <c r="O782" s="29"/>
      <c r="P782" s="32"/>
      <c r="Q782" s="32"/>
      <c r="R782" s="4"/>
      <c r="S782" s="4"/>
      <c r="T782" s="4"/>
      <c r="U782" s="4"/>
      <c r="V782" s="4"/>
      <c r="W782" s="4"/>
    </row>
    <row x14ac:dyDescent="0.25" r="783" customHeight="1" ht="12.75">
      <c r="A783" s="4"/>
      <c r="B783" s="29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29"/>
      <c r="N783" s="29"/>
      <c r="O783" s="29"/>
      <c r="P783" s="32"/>
      <c r="Q783" s="32"/>
      <c r="R783" s="4"/>
      <c r="S783" s="4"/>
      <c r="T783" s="4"/>
      <c r="U783" s="4"/>
      <c r="V783" s="4"/>
      <c r="W783" s="4"/>
    </row>
    <row x14ac:dyDescent="0.25" r="784" customHeight="1" ht="12.75">
      <c r="A784" s="4"/>
      <c r="B784" s="29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29"/>
      <c r="N784" s="29"/>
      <c r="O784" s="29"/>
      <c r="P784" s="32"/>
      <c r="Q784" s="32"/>
      <c r="R784" s="4"/>
      <c r="S784" s="4"/>
      <c r="T784" s="4"/>
      <c r="U784" s="4"/>
      <c r="V784" s="4"/>
      <c r="W784" s="4"/>
    </row>
    <row x14ac:dyDescent="0.25" r="785" customHeight="1" ht="12.75">
      <c r="A785" s="4"/>
      <c r="B785" s="29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29"/>
      <c r="N785" s="29"/>
      <c r="O785" s="29"/>
      <c r="P785" s="32"/>
      <c r="Q785" s="32"/>
      <c r="R785" s="4"/>
      <c r="S785" s="4"/>
      <c r="T785" s="4"/>
      <c r="U785" s="4"/>
      <c r="V785" s="4"/>
      <c r="W785" s="4"/>
    </row>
    <row x14ac:dyDescent="0.25" r="786" customHeight="1" ht="12.75">
      <c r="A786" s="4"/>
      <c r="B786" s="29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29"/>
      <c r="N786" s="29"/>
      <c r="O786" s="29"/>
      <c r="P786" s="32"/>
      <c r="Q786" s="32"/>
      <c r="R786" s="4"/>
      <c r="S786" s="4"/>
      <c r="T786" s="4"/>
      <c r="U786" s="4"/>
      <c r="V786" s="4"/>
      <c r="W786" s="4"/>
    </row>
    <row x14ac:dyDescent="0.25" r="787" customHeight="1" ht="12.75">
      <c r="A787" s="4"/>
      <c r="B787" s="29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29"/>
      <c r="N787" s="29"/>
      <c r="O787" s="29"/>
      <c r="P787" s="32"/>
      <c r="Q787" s="32"/>
      <c r="R787" s="4"/>
      <c r="S787" s="4"/>
      <c r="T787" s="4"/>
      <c r="U787" s="4"/>
      <c r="V787" s="4"/>
      <c r="W787" s="4"/>
    </row>
    <row x14ac:dyDescent="0.25" r="788" customHeight="1" ht="12.75">
      <c r="A788" s="4"/>
      <c r="B788" s="29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29"/>
      <c r="N788" s="29"/>
      <c r="O788" s="29"/>
      <c r="P788" s="32"/>
      <c r="Q788" s="32"/>
      <c r="R788" s="4"/>
      <c r="S788" s="4"/>
      <c r="T788" s="4"/>
      <c r="U788" s="4"/>
      <c r="V788" s="4"/>
      <c r="W788" s="4"/>
    </row>
    <row x14ac:dyDescent="0.25" r="789" customHeight="1" ht="12.75">
      <c r="A789" s="4"/>
      <c r="B789" s="29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29"/>
      <c r="N789" s="29"/>
      <c r="O789" s="29"/>
      <c r="P789" s="32"/>
      <c r="Q789" s="32"/>
      <c r="R789" s="4"/>
      <c r="S789" s="4"/>
      <c r="T789" s="4"/>
      <c r="U789" s="4"/>
      <c r="V789" s="4"/>
      <c r="W789" s="4"/>
    </row>
    <row x14ac:dyDescent="0.25" r="790" customHeight="1" ht="12.75">
      <c r="A790" s="4"/>
      <c r="B790" s="29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29"/>
      <c r="N790" s="29"/>
      <c r="O790" s="29"/>
      <c r="P790" s="32"/>
      <c r="Q790" s="32"/>
      <c r="R790" s="4"/>
      <c r="S790" s="4"/>
      <c r="T790" s="4"/>
      <c r="U790" s="4"/>
      <c r="V790" s="4"/>
      <c r="W790" s="4"/>
    </row>
    <row x14ac:dyDescent="0.25" r="791" customHeight="1" ht="12.75">
      <c r="A791" s="4"/>
      <c r="B791" s="29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29"/>
      <c r="N791" s="29"/>
      <c r="O791" s="29"/>
      <c r="P791" s="32"/>
      <c r="Q791" s="32"/>
      <c r="R791" s="4"/>
      <c r="S791" s="4"/>
      <c r="T791" s="4"/>
      <c r="U791" s="4"/>
      <c r="V791" s="4"/>
      <c r="W791" s="4"/>
    </row>
    <row x14ac:dyDescent="0.25" r="792" customHeight="1" ht="12.75">
      <c r="A792" s="4"/>
      <c r="B792" s="29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29"/>
      <c r="N792" s="29"/>
      <c r="O792" s="29"/>
      <c r="P792" s="32"/>
      <c r="Q792" s="32"/>
      <c r="R792" s="4"/>
      <c r="S792" s="4"/>
      <c r="T792" s="4"/>
      <c r="U792" s="4"/>
      <c r="V792" s="4"/>
      <c r="W792" s="4"/>
    </row>
    <row x14ac:dyDescent="0.25" r="793" customHeight="1" ht="12.75">
      <c r="A793" s="4"/>
      <c r="B793" s="29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29"/>
      <c r="N793" s="29"/>
      <c r="O793" s="29"/>
      <c r="P793" s="32"/>
      <c r="Q793" s="32"/>
      <c r="R793" s="4"/>
      <c r="S793" s="4"/>
      <c r="T793" s="4"/>
      <c r="U793" s="4"/>
      <c r="V793" s="4"/>
      <c r="W793" s="4"/>
    </row>
    <row x14ac:dyDescent="0.25" r="794" customHeight="1" ht="12.75">
      <c r="A794" s="4"/>
      <c r="B794" s="29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29"/>
      <c r="N794" s="29"/>
      <c r="O794" s="29"/>
      <c r="P794" s="32"/>
      <c r="Q794" s="32"/>
      <c r="R794" s="4"/>
      <c r="S794" s="4"/>
      <c r="T794" s="4"/>
      <c r="U794" s="4"/>
      <c r="V794" s="4"/>
      <c r="W794" s="4"/>
    </row>
    <row x14ac:dyDescent="0.25" r="795" customHeight="1" ht="12.75">
      <c r="A795" s="4"/>
      <c r="B795" s="29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29"/>
      <c r="N795" s="29"/>
      <c r="O795" s="29"/>
      <c r="P795" s="32"/>
      <c r="Q795" s="32"/>
      <c r="R795" s="4"/>
      <c r="S795" s="4"/>
      <c r="T795" s="4"/>
      <c r="U795" s="4"/>
      <c r="V795" s="4"/>
      <c r="W795" s="4"/>
    </row>
    <row x14ac:dyDescent="0.25" r="796" customHeight="1" ht="12.75">
      <c r="A796" s="4"/>
      <c r="B796" s="29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29"/>
      <c r="N796" s="29"/>
      <c r="O796" s="29"/>
      <c r="P796" s="32"/>
      <c r="Q796" s="32"/>
      <c r="R796" s="4"/>
      <c r="S796" s="4"/>
      <c r="T796" s="4"/>
      <c r="U796" s="4"/>
      <c r="V796" s="4"/>
      <c r="W796" s="4"/>
    </row>
    <row x14ac:dyDescent="0.25" r="797" customHeight="1" ht="12.75">
      <c r="A797" s="4"/>
      <c r="B797" s="29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29"/>
      <c r="N797" s="29"/>
      <c r="O797" s="29"/>
      <c r="P797" s="32"/>
      <c r="Q797" s="32"/>
      <c r="R797" s="4"/>
      <c r="S797" s="4"/>
      <c r="T797" s="4"/>
      <c r="U797" s="4"/>
      <c r="V797" s="4"/>
      <c r="W797" s="4"/>
    </row>
    <row x14ac:dyDescent="0.25" r="798" customHeight="1" ht="12.75">
      <c r="A798" s="4"/>
      <c r="B798" s="29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29"/>
      <c r="N798" s="29"/>
      <c r="O798" s="29"/>
      <c r="P798" s="32"/>
      <c r="Q798" s="32"/>
      <c r="R798" s="4"/>
      <c r="S798" s="4"/>
      <c r="T798" s="4"/>
      <c r="U798" s="4"/>
      <c r="V798" s="4"/>
      <c r="W798" s="4"/>
    </row>
    <row x14ac:dyDescent="0.25" r="799" customHeight="1" ht="12.75">
      <c r="A799" s="4"/>
      <c r="B799" s="29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29"/>
      <c r="N799" s="29"/>
      <c r="O799" s="29"/>
      <c r="P799" s="32"/>
      <c r="Q799" s="32"/>
      <c r="R799" s="4"/>
      <c r="S799" s="4"/>
      <c r="T799" s="4"/>
      <c r="U799" s="4"/>
      <c r="V799" s="4"/>
      <c r="W799" s="4"/>
    </row>
    <row x14ac:dyDescent="0.25" r="800" customHeight="1" ht="12.75">
      <c r="A800" s="4"/>
      <c r="B800" s="29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29"/>
      <c r="N800" s="29"/>
      <c r="O800" s="29"/>
      <c r="P800" s="32"/>
      <c r="Q800" s="32"/>
      <c r="R800" s="4"/>
      <c r="S800" s="4"/>
      <c r="T800" s="4"/>
      <c r="U800" s="4"/>
      <c r="V800" s="4"/>
      <c r="W800" s="4"/>
    </row>
    <row x14ac:dyDescent="0.25" r="801" customHeight="1" ht="12.75">
      <c r="A801" s="4"/>
      <c r="B801" s="29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29"/>
      <c r="N801" s="29"/>
      <c r="O801" s="29"/>
      <c r="P801" s="32"/>
      <c r="Q801" s="32"/>
      <c r="R801" s="4"/>
      <c r="S801" s="4"/>
      <c r="T801" s="4"/>
      <c r="U801" s="4"/>
      <c r="V801" s="4"/>
      <c r="W801" s="4"/>
    </row>
    <row x14ac:dyDescent="0.25" r="802" customHeight="1" ht="12.75">
      <c r="A802" s="4"/>
      <c r="B802" s="29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29"/>
      <c r="N802" s="29"/>
      <c r="O802" s="29"/>
      <c r="P802" s="32"/>
      <c r="Q802" s="32"/>
      <c r="R802" s="4"/>
      <c r="S802" s="4"/>
      <c r="T802" s="4"/>
      <c r="U802" s="4"/>
      <c r="V802" s="4"/>
      <c r="W802" s="4"/>
    </row>
    <row x14ac:dyDescent="0.25" r="803" customHeight="1" ht="12.75">
      <c r="A803" s="4"/>
      <c r="B803" s="29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29"/>
      <c r="N803" s="29"/>
      <c r="O803" s="29"/>
      <c r="P803" s="32"/>
      <c r="Q803" s="32"/>
      <c r="R803" s="4"/>
      <c r="S803" s="4"/>
      <c r="T803" s="4"/>
      <c r="U803" s="4"/>
      <c r="V803" s="4"/>
      <c r="W803" s="4"/>
    </row>
    <row x14ac:dyDescent="0.25" r="804" customHeight="1" ht="12.75">
      <c r="A804" s="4"/>
      <c r="B804" s="29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29"/>
      <c r="N804" s="29"/>
      <c r="O804" s="29"/>
      <c r="P804" s="32"/>
      <c r="Q804" s="32"/>
      <c r="R804" s="4"/>
      <c r="S804" s="4"/>
      <c r="T804" s="4"/>
      <c r="U804" s="4"/>
      <c r="V804" s="4"/>
      <c r="W804" s="4"/>
    </row>
    <row x14ac:dyDescent="0.25" r="805" customHeight="1" ht="12.75">
      <c r="A805" s="4"/>
      <c r="B805" s="29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29"/>
      <c r="N805" s="29"/>
      <c r="O805" s="29"/>
      <c r="P805" s="32"/>
      <c r="Q805" s="32"/>
      <c r="R805" s="4"/>
      <c r="S805" s="4"/>
      <c r="T805" s="4"/>
      <c r="U805" s="4"/>
      <c r="V805" s="4"/>
      <c r="W805" s="4"/>
    </row>
    <row x14ac:dyDescent="0.25" r="806" customHeight="1" ht="12.75">
      <c r="A806" s="4"/>
      <c r="B806" s="29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29"/>
      <c r="N806" s="29"/>
      <c r="O806" s="29"/>
      <c r="P806" s="32"/>
      <c r="Q806" s="32"/>
      <c r="R806" s="4"/>
      <c r="S806" s="4"/>
      <c r="T806" s="4"/>
      <c r="U806" s="4"/>
      <c r="V806" s="4"/>
      <c r="W806" s="4"/>
    </row>
    <row x14ac:dyDescent="0.25" r="807" customHeight="1" ht="12.75">
      <c r="A807" s="4"/>
      <c r="B807" s="29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29"/>
      <c r="N807" s="29"/>
      <c r="O807" s="29"/>
      <c r="P807" s="32"/>
      <c r="Q807" s="32"/>
      <c r="R807" s="4"/>
      <c r="S807" s="4"/>
      <c r="T807" s="4"/>
      <c r="U807" s="4"/>
      <c r="V807" s="4"/>
      <c r="W807" s="4"/>
    </row>
    <row x14ac:dyDescent="0.25" r="808" customHeight="1" ht="12.75">
      <c r="A808" s="4"/>
      <c r="B808" s="29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29"/>
      <c r="N808" s="29"/>
      <c r="O808" s="29"/>
      <c r="P808" s="32"/>
      <c r="Q808" s="32"/>
      <c r="R808" s="4"/>
      <c r="S808" s="4"/>
      <c r="T808" s="4"/>
      <c r="U808" s="4"/>
      <c r="V808" s="4"/>
      <c r="W808" s="4"/>
    </row>
    <row x14ac:dyDescent="0.25" r="809" customHeight="1" ht="12.75">
      <c r="A809" s="4"/>
      <c r="B809" s="29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29"/>
      <c r="N809" s="29"/>
      <c r="O809" s="29"/>
      <c r="P809" s="32"/>
      <c r="Q809" s="32"/>
      <c r="R809" s="4"/>
      <c r="S809" s="4"/>
      <c r="T809" s="4"/>
      <c r="U809" s="4"/>
      <c r="V809" s="4"/>
      <c r="W809" s="4"/>
    </row>
    <row x14ac:dyDescent="0.25" r="810" customHeight="1" ht="12.75">
      <c r="A810" s="4"/>
      <c r="B810" s="29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29"/>
      <c r="N810" s="29"/>
      <c r="O810" s="29"/>
      <c r="P810" s="32"/>
      <c r="Q810" s="32"/>
      <c r="R810" s="4"/>
      <c r="S810" s="4"/>
      <c r="T810" s="4"/>
      <c r="U810" s="4"/>
      <c r="V810" s="4"/>
      <c r="W810" s="4"/>
    </row>
    <row x14ac:dyDescent="0.25" r="811" customHeight="1" ht="12.75">
      <c r="A811" s="4"/>
      <c r="B811" s="29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29"/>
      <c r="N811" s="29"/>
      <c r="O811" s="29"/>
      <c r="P811" s="32"/>
      <c r="Q811" s="32"/>
      <c r="R811" s="4"/>
      <c r="S811" s="4"/>
      <c r="T811" s="4"/>
      <c r="U811" s="4"/>
      <c r="V811" s="4"/>
      <c r="W811" s="4"/>
    </row>
    <row x14ac:dyDescent="0.25" r="812" customHeight="1" ht="12.75">
      <c r="A812" s="4"/>
      <c r="B812" s="29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29"/>
      <c r="N812" s="29"/>
      <c r="O812" s="29"/>
      <c r="P812" s="32"/>
      <c r="Q812" s="32"/>
      <c r="R812" s="4"/>
      <c r="S812" s="4"/>
      <c r="T812" s="4"/>
      <c r="U812" s="4"/>
      <c r="V812" s="4"/>
      <c r="W812" s="4"/>
    </row>
    <row x14ac:dyDescent="0.25" r="813" customHeight="1" ht="12.75">
      <c r="A813" s="4"/>
      <c r="B813" s="29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29"/>
      <c r="N813" s="29"/>
      <c r="O813" s="29"/>
      <c r="P813" s="32"/>
      <c r="Q813" s="32"/>
      <c r="R813" s="4"/>
      <c r="S813" s="4"/>
      <c r="T813" s="4"/>
      <c r="U813" s="4"/>
      <c r="V813" s="4"/>
      <c r="W813" s="4"/>
    </row>
    <row x14ac:dyDescent="0.25" r="814" customHeight="1" ht="12.75">
      <c r="A814" s="4"/>
      <c r="B814" s="29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29"/>
      <c r="N814" s="29"/>
      <c r="O814" s="29"/>
      <c r="P814" s="32"/>
      <c r="Q814" s="32"/>
      <c r="R814" s="4"/>
      <c r="S814" s="4"/>
      <c r="T814" s="4"/>
      <c r="U814" s="4"/>
      <c r="V814" s="4"/>
      <c r="W814" s="4"/>
    </row>
    <row x14ac:dyDescent="0.25" r="815" customHeight="1" ht="12.75">
      <c r="A815" s="4"/>
      <c r="B815" s="29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29"/>
      <c r="N815" s="29"/>
      <c r="O815" s="29"/>
      <c r="P815" s="32"/>
      <c r="Q815" s="32"/>
      <c r="R815" s="4"/>
      <c r="S815" s="4"/>
      <c r="T815" s="4"/>
      <c r="U815" s="4"/>
      <c r="V815" s="4"/>
      <c r="W815" s="4"/>
    </row>
    <row x14ac:dyDescent="0.25" r="816" customHeight="1" ht="12.75">
      <c r="A816" s="4"/>
      <c r="B816" s="29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29"/>
      <c r="N816" s="29"/>
      <c r="O816" s="29"/>
      <c r="P816" s="32"/>
      <c r="Q816" s="32"/>
      <c r="R816" s="4"/>
      <c r="S816" s="4"/>
      <c r="T816" s="4"/>
      <c r="U816" s="4"/>
      <c r="V816" s="4"/>
      <c r="W816" s="4"/>
    </row>
    <row x14ac:dyDescent="0.25" r="817" customHeight="1" ht="12.75">
      <c r="A817" s="4"/>
      <c r="B817" s="29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29"/>
      <c r="N817" s="29"/>
      <c r="O817" s="29"/>
      <c r="P817" s="32"/>
      <c r="Q817" s="32"/>
      <c r="R817" s="4"/>
      <c r="S817" s="4"/>
      <c r="T817" s="4"/>
      <c r="U817" s="4"/>
      <c r="V817" s="4"/>
      <c r="W817" s="4"/>
    </row>
    <row x14ac:dyDescent="0.25" r="818" customHeight="1" ht="12.75">
      <c r="A818" s="4"/>
      <c r="B818" s="29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29"/>
      <c r="N818" s="29"/>
      <c r="O818" s="29"/>
      <c r="P818" s="32"/>
      <c r="Q818" s="32"/>
      <c r="R818" s="4"/>
      <c r="S818" s="4"/>
      <c r="T818" s="4"/>
      <c r="U818" s="4"/>
      <c r="V818" s="4"/>
      <c r="W818" s="4"/>
    </row>
    <row x14ac:dyDescent="0.25" r="819" customHeight="1" ht="12.75">
      <c r="A819" s="4"/>
      <c r="B819" s="29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29"/>
      <c r="N819" s="29"/>
      <c r="O819" s="29"/>
      <c r="P819" s="32"/>
      <c r="Q819" s="32"/>
      <c r="R819" s="4"/>
      <c r="S819" s="4"/>
      <c r="T819" s="4"/>
      <c r="U819" s="4"/>
      <c r="V819" s="4"/>
      <c r="W819" s="4"/>
    </row>
    <row x14ac:dyDescent="0.25" r="820" customHeight="1" ht="12.75">
      <c r="A820" s="4"/>
      <c r="B820" s="29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29"/>
      <c r="N820" s="29"/>
      <c r="O820" s="29"/>
      <c r="P820" s="32"/>
      <c r="Q820" s="32"/>
      <c r="R820" s="4"/>
      <c r="S820" s="4"/>
      <c r="T820" s="4"/>
      <c r="U820" s="4"/>
      <c r="V820" s="4"/>
      <c r="W820" s="4"/>
    </row>
    <row x14ac:dyDescent="0.25" r="821" customHeight="1" ht="12.75">
      <c r="A821" s="4"/>
      <c r="B821" s="29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29"/>
      <c r="N821" s="29"/>
      <c r="O821" s="29"/>
      <c r="P821" s="32"/>
      <c r="Q821" s="32"/>
      <c r="R821" s="4"/>
      <c r="S821" s="4"/>
      <c r="T821" s="4"/>
      <c r="U821" s="4"/>
      <c r="V821" s="4"/>
      <c r="W821" s="4"/>
    </row>
    <row x14ac:dyDescent="0.25" r="822" customHeight="1" ht="12.75">
      <c r="A822" s="4"/>
      <c r="B822" s="29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29"/>
      <c r="N822" s="29"/>
      <c r="O822" s="29"/>
      <c r="P822" s="32"/>
      <c r="Q822" s="32"/>
      <c r="R822" s="4"/>
      <c r="S822" s="4"/>
      <c r="T822" s="4"/>
      <c r="U822" s="4"/>
      <c r="V822" s="4"/>
      <c r="W822" s="4"/>
    </row>
    <row x14ac:dyDescent="0.25" r="823" customHeight="1" ht="12.75">
      <c r="A823" s="4"/>
      <c r="B823" s="29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29"/>
      <c r="N823" s="29"/>
      <c r="O823" s="29"/>
      <c r="P823" s="32"/>
      <c r="Q823" s="32"/>
      <c r="R823" s="4"/>
      <c r="S823" s="4"/>
      <c r="T823" s="4"/>
      <c r="U823" s="4"/>
      <c r="V823" s="4"/>
      <c r="W823" s="4"/>
    </row>
    <row x14ac:dyDescent="0.25" r="824" customHeight="1" ht="12.75">
      <c r="A824" s="4"/>
      <c r="B824" s="29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29"/>
      <c r="N824" s="29"/>
      <c r="O824" s="29"/>
      <c r="P824" s="32"/>
      <c r="Q824" s="32"/>
      <c r="R824" s="4"/>
      <c r="S824" s="4"/>
      <c r="T824" s="4"/>
      <c r="U824" s="4"/>
      <c r="V824" s="4"/>
      <c r="W824" s="4"/>
    </row>
    <row x14ac:dyDescent="0.25" r="825" customHeight="1" ht="12.75">
      <c r="A825" s="4"/>
      <c r="B825" s="29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29"/>
      <c r="N825" s="29"/>
      <c r="O825" s="29"/>
      <c r="P825" s="32"/>
      <c r="Q825" s="32"/>
      <c r="R825" s="4"/>
      <c r="S825" s="4"/>
      <c r="T825" s="4"/>
      <c r="U825" s="4"/>
      <c r="V825" s="4"/>
      <c r="W825" s="4"/>
    </row>
    <row x14ac:dyDescent="0.25" r="826" customHeight="1" ht="12.75">
      <c r="A826" s="4"/>
      <c r="B826" s="29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29"/>
      <c r="N826" s="29"/>
      <c r="O826" s="29"/>
      <c r="P826" s="32"/>
      <c r="Q826" s="32"/>
      <c r="R826" s="4"/>
      <c r="S826" s="4"/>
      <c r="T826" s="4"/>
      <c r="U826" s="4"/>
      <c r="V826" s="4"/>
      <c r="W826" s="4"/>
    </row>
    <row x14ac:dyDescent="0.25" r="827" customHeight="1" ht="12.75">
      <c r="A827" s="4"/>
      <c r="B827" s="29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29"/>
      <c r="N827" s="29"/>
      <c r="O827" s="29"/>
      <c r="P827" s="32"/>
      <c r="Q827" s="32"/>
      <c r="R827" s="4"/>
      <c r="S827" s="4"/>
      <c r="T827" s="4"/>
      <c r="U827" s="4"/>
      <c r="V827" s="4"/>
      <c r="W827" s="4"/>
    </row>
    <row x14ac:dyDescent="0.25" r="828" customHeight="1" ht="12.75">
      <c r="A828" s="4"/>
      <c r="B828" s="29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29"/>
      <c r="N828" s="29"/>
      <c r="O828" s="29"/>
      <c r="P828" s="32"/>
      <c r="Q828" s="32"/>
      <c r="R828" s="4"/>
      <c r="S828" s="4"/>
      <c r="T828" s="4"/>
      <c r="U828" s="4"/>
      <c r="V828" s="4"/>
      <c r="W828" s="4"/>
    </row>
    <row x14ac:dyDescent="0.25" r="829" customHeight="1" ht="12.75">
      <c r="A829" s="4"/>
      <c r="B829" s="29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29"/>
      <c r="N829" s="29"/>
      <c r="O829" s="29"/>
      <c r="P829" s="32"/>
      <c r="Q829" s="32"/>
      <c r="R829" s="4"/>
      <c r="S829" s="4"/>
      <c r="T829" s="4"/>
      <c r="U829" s="4"/>
      <c r="V829" s="4"/>
      <c r="W829" s="4"/>
    </row>
    <row x14ac:dyDescent="0.25" r="830" customHeight="1" ht="12.75">
      <c r="A830" s="4"/>
      <c r="B830" s="29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29"/>
      <c r="N830" s="29"/>
      <c r="O830" s="29"/>
      <c r="P830" s="32"/>
      <c r="Q830" s="32"/>
      <c r="R830" s="4"/>
      <c r="S830" s="4"/>
      <c r="T830" s="4"/>
      <c r="U830" s="4"/>
      <c r="V830" s="4"/>
      <c r="W830" s="4"/>
    </row>
    <row x14ac:dyDescent="0.25" r="831" customHeight="1" ht="12.75">
      <c r="A831" s="4"/>
      <c r="B831" s="29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29"/>
      <c r="N831" s="29"/>
      <c r="O831" s="29"/>
      <c r="P831" s="32"/>
      <c r="Q831" s="32"/>
      <c r="R831" s="4"/>
      <c r="S831" s="4"/>
      <c r="T831" s="4"/>
      <c r="U831" s="4"/>
      <c r="V831" s="4"/>
      <c r="W831" s="4"/>
    </row>
    <row x14ac:dyDescent="0.25" r="832" customHeight="1" ht="12.75">
      <c r="A832" s="4"/>
      <c r="B832" s="29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29"/>
      <c r="N832" s="29"/>
      <c r="O832" s="29"/>
      <c r="P832" s="32"/>
      <c r="Q832" s="32"/>
      <c r="R832" s="4"/>
      <c r="S832" s="4"/>
      <c r="T832" s="4"/>
      <c r="U832" s="4"/>
      <c r="V832" s="4"/>
      <c r="W832" s="4"/>
    </row>
    <row x14ac:dyDescent="0.25" r="833" customHeight="1" ht="12.75">
      <c r="A833" s="4"/>
      <c r="B833" s="29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29"/>
      <c r="N833" s="29"/>
      <c r="O833" s="29"/>
      <c r="P833" s="32"/>
      <c r="Q833" s="32"/>
      <c r="R833" s="4"/>
      <c r="S833" s="4"/>
      <c r="T833" s="4"/>
      <c r="U833" s="4"/>
      <c r="V833" s="4"/>
      <c r="W833" s="4"/>
    </row>
    <row x14ac:dyDescent="0.25" r="834" customHeight="1" ht="12.75">
      <c r="A834" s="4"/>
      <c r="B834" s="29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29"/>
      <c r="N834" s="29"/>
      <c r="O834" s="29"/>
      <c r="P834" s="32"/>
      <c r="Q834" s="32"/>
      <c r="R834" s="4"/>
      <c r="S834" s="4"/>
      <c r="T834" s="4"/>
      <c r="U834" s="4"/>
      <c r="V834" s="4"/>
      <c r="W834" s="4"/>
    </row>
    <row x14ac:dyDescent="0.25" r="835" customHeight="1" ht="12.75">
      <c r="A835" s="4"/>
      <c r="B835" s="29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29"/>
      <c r="N835" s="29"/>
      <c r="O835" s="29"/>
      <c r="P835" s="32"/>
      <c r="Q835" s="32"/>
      <c r="R835" s="4"/>
      <c r="S835" s="4"/>
      <c r="T835" s="4"/>
      <c r="U835" s="4"/>
      <c r="V835" s="4"/>
      <c r="W835" s="4"/>
    </row>
    <row x14ac:dyDescent="0.25" r="836" customHeight="1" ht="12.75">
      <c r="A836" s="4"/>
      <c r="B836" s="29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29"/>
      <c r="N836" s="29"/>
      <c r="O836" s="29"/>
      <c r="P836" s="32"/>
      <c r="Q836" s="32"/>
      <c r="R836" s="4"/>
      <c r="S836" s="4"/>
      <c r="T836" s="4"/>
      <c r="U836" s="4"/>
      <c r="V836" s="4"/>
      <c r="W836" s="4"/>
    </row>
    <row x14ac:dyDescent="0.25" r="837" customHeight="1" ht="12.75">
      <c r="A837" s="4"/>
      <c r="B837" s="29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29"/>
      <c r="N837" s="29"/>
      <c r="O837" s="29"/>
      <c r="P837" s="32"/>
      <c r="Q837" s="32"/>
      <c r="R837" s="4"/>
      <c r="S837" s="4"/>
      <c r="T837" s="4"/>
      <c r="U837" s="4"/>
      <c r="V837" s="4"/>
      <c r="W837" s="4"/>
    </row>
    <row x14ac:dyDescent="0.25" r="838" customHeight="1" ht="12.75">
      <c r="A838" s="4"/>
      <c r="B838" s="29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29"/>
      <c r="N838" s="29"/>
      <c r="O838" s="29"/>
      <c r="P838" s="32"/>
      <c r="Q838" s="32"/>
      <c r="R838" s="4"/>
      <c r="S838" s="4"/>
      <c r="T838" s="4"/>
      <c r="U838" s="4"/>
      <c r="V838" s="4"/>
      <c r="W838" s="4"/>
    </row>
    <row x14ac:dyDescent="0.25" r="839" customHeight="1" ht="12.75">
      <c r="A839" s="4"/>
      <c r="B839" s="29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29"/>
      <c r="N839" s="29"/>
      <c r="O839" s="29"/>
      <c r="P839" s="32"/>
      <c r="Q839" s="32"/>
      <c r="R839" s="4"/>
      <c r="S839" s="4"/>
      <c r="T839" s="4"/>
      <c r="U839" s="4"/>
      <c r="V839" s="4"/>
      <c r="W839" s="4"/>
    </row>
    <row x14ac:dyDescent="0.25" r="840" customHeight="1" ht="12.75">
      <c r="A840" s="4"/>
      <c r="B840" s="29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29"/>
      <c r="N840" s="29"/>
      <c r="O840" s="29"/>
      <c r="P840" s="32"/>
      <c r="Q840" s="32"/>
      <c r="R840" s="4"/>
      <c r="S840" s="4"/>
      <c r="T840" s="4"/>
      <c r="U840" s="4"/>
      <c r="V840" s="4"/>
      <c r="W840" s="4"/>
    </row>
    <row x14ac:dyDescent="0.25" r="841" customHeight="1" ht="12.75">
      <c r="A841" s="4"/>
      <c r="B841" s="29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29"/>
      <c r="N841" s="29"/>
      <c r="O841" s="29"/>
      <c r="P841" s="32"/>
      <c r="Q841" s="32"/>
      <c r="R841" s="4"/>
      <c r="S841" s="4"/>
      <c r="T841" s="4"/>
      <c r="U841" s="4"/>
      <c r="V841" s="4"/>
      <c r="W841" s="4"/>
    </row>
    <row x14ac:dyDescent="0.25" r="842" customHeight="1" ht="12.75">
      <c r="A842" s="4"/>
      <c r="B842" s="29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29"/>
      <c r="N842" s="29"/>
      <c r="O842" s="29"/>
      <c r="P842" s="32"/>
      <c r="Q842" s="32"/>
      <c r="R842" s="4"/>
      <c r="S842" s="4"/>
      <c r="T842" s="4"/>
      <c r="U842" s="4"/>
      <c r="V842" s="4"/>
      <c r="W842" s="4"/>
    </row>
    <row x14ac:dyDescent="0.25" r="843" customHeight="1" ht="12.75">
      <c r="A843" s="4"/>
      <c r="B843" s="29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29"/>
      <c r="N843" s="29"/>
      <c r="O843" s="29"/>
      <c r="P843" s="32"/>
      <c r="Q843" s="32"/>
      <c r="R843" s="4"/>
      <c r="S843" s="4"/>
      <c r="T843" s="4"/>
      <c r="U843" s="4"/>
      <c r="V843" s="4"/>
      <c r="W843" s="4"/>
    </row>
    <row x14ac:dyDescent="0.25" r="844" customHeight="1" ht="12.75">
      <c r="A844" s="4"/>
      <c r="B844" s="29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29"/>
      <c r="N844" s="29"/>
      <c r="O844" s="29"/>
      <c r="P844" s="32"/>
      <c r="Q844" s="32"/>
      <c r="R844" s="4"/>
      <c r="S844" s="4"/>
      <c r="T844" s="4"/>
      <c r="U844" s="4"/>
      <c r="V844" s="4"/>
      <c r="W844" s="4"/>
    </row>
    <row x14ac:dyDescent="0.25" r="845" customHeight="1" ht="12.75">
      <c r="A845" s="4"/>
      <c r="B845" s="29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29"/>
      <c r="N845" s="29"/>
      <c r="O845" s="29"/>
      <c r="P845" s="32"/>
      <c r="Q845" s="32"/>
      <c r="R845" s="4"/>
      <c r="S845" s="4"/>
      <c r="T845" s="4"/>
      <c r="U845" s="4"/>
      <c r="V845" s="4"/>
      <c r="W845" s="4"/>
    </row>
    <row x14ac:dyDescent="0.25" r="846" customHeight="1" ht="12.75">
      <c r="A846" s="4"/>
      <c r="B846" s="29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29"/>
      <c r="N846" s="29"/>
      <c r="O846" s="29"/>
      <c r="P846" s="32"/>
      <c r="Q846" s="32"/>
      <c r="R846" s="4"/>
      <c r="S846" s="4"/>
      <c r="T846" s="4"/>
      <c r="U846" s="4"/>
      <c r="V846" s="4"/>
      <c r="W846" s="4"/>
    </row>
    <row x14ac:dyDescent="0.25" r="847" customHeight="1" ht="12.75">
      <c r="A847" s="4"/>
      <c r="B847" s="29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29"/>
      <c r="N847" s="29"/>
      <c r="O847" s="29"/>
      <c r="P847" s="32"/>
      <c r="Q847" s="32"/>
      <c r="R847" s="4"/>
      <c r="S847" s="4"/>
      <c r="T847" s="4"/>
      <c r="U847" s="4"/>
      <c r="V847" s="4"/>
      <c r="W847" s="4"/>
    </row>
    <row x14ac:dyDescent="0.25" r="848" customHeight="1" ht="12.75">
      <c r="A848" s="4"/>
      <c r="B848" s="29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29"/>
      <c r="N848" s="29"/>
      <c r="O848" s="29"/>
      <c r="P848" s="32"/>
      <c r="Q848" s="32"/>
      <c r="R848" s="4"/>
      <c r="S848" s="4"/>
      <c r="T848" s="4"/>
      <c r="U848" s="4"/>
      <c r="V848" s="4"/>
      <c r="W848" s="4"/>
    </row>
    <row x14ac:dyDescent="0.25" r="849" customHeight="1" ht="12.75">
      <c r="A849" s="4"/>
      <c r="B849" s="29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29"/>
      <c r="N849" s="29"/>
      <c r="O849" s="29"/>
      <c r="P849" s="32"/>
      <c r="Q849" s="32"/>
      <c r="R849" s="4"/>
      <c r="S849" s="4"/>
      <c r="T849" s="4"/>
      <c r="U849" s="4"/>
      <c r="V849" s="4"/>
      <c r="W849" s="4"/>
    </row>
    <row x14ac:dyDescent="0.25" r="850" customHeight="1" ht="12.75">
      <c r="A850" s="4"/>
      <c r="B850" s="29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29"/>
      <c r="N850" s="29"/>
      <c r="O850" s="29"/>
      <c r="P850" s="32"/>
      <c r="Q850" s="32"/>
      <c r="R850" s="4"/>
      <c r="S850" s="4"/>
      <c r="T850" s="4"/>
      <c r="U850" s="4"/>
      <c r="V850" s="4"/>
      <c r="W850" s="4"/>
    </row>
    <row x14ac:dyDescent="0.25" r="851" customHeight="1" ht="12.75">
      <c r="A851" s="4"/>
      <c r="B851" s="29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29"/>
      <c r="N851" s="29"/>
      <c r="O851" s="29"/>
      <c r="P851" s="32"/>
      <c r="Q851" s="32"/>
      <c r="R851" s="4"/>
      <c r="S851" s="4"/>
      <c r="T851" s="4"/>
      <c r="U851" s="4"/>
      <c r="V851" s="4"/>
      <c r="W851" s="4"/>
    </row>
    <row x14ac:dyDescent="0.25" r="852" customHeight="1" ht="12.75">
      <c r="A852" s="4"/>
      <c r="B852" s="29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29"/>
      <c r="N852" s="29"/>
      <c r="O852" s="29"/>
      <c r="P852" s="32"/>
      <c r="Q852" s="32"/>
      <c r="R852" s="4"/>
      <c r="S852" s="4"/>
      <c r="T852" s="4"/>
      <c r="U852" s="4"/>
      <c r="V852" s="4"/>
      <c r="W852" s="4"/>
    </row>
    <row x14ac:dyDescent="0.25" r="853" customHeight="1" ht="12.75">
      <c r="A853" s="4"/>
      <c r="B853" s="29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29"/>
      <c r="N853" s="29"/>
      <c r="O853" s="29"/>
      <c r="P853" s="32"/>
      <c r="Q853" s="32"/>
      <c r="R853" s="4"/>
      <c r="S853" s="4"/>
      <c r="T853" s="4"/>
      <c r="U853" s="4"/>
      <c r="V853" s="4"/>
      <c r="W853" s="4"/>
    </row>
    <row x14ac:dyDescent="0.25" r="854" customHeight="1" ht="12.75">
      <c r="A854" s="4"/>
      <c r="B854" s="29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29"/>
      <c r="N854" s="29"/>
      <c r="O854" s="29"/>
      <c r="P854" s="32"/>
      <c r="Q854" s="32"/>
      <c r="R854" s="4"/>
      <c r="S854" s="4"/>
      <c r="T854" s="4"/>
      <c r="U854" s="4"/>
      <c r="V854" s="4"/>
      <c r="W854" s="4"/>
    </row>
    <row x14ac:dyDescent="0.25" r="855" customHeight="1" ht="12.75">
      <c r="A855" s="4"/>
      <c r="B855" s="29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29"/>
      <c r="N855" s="29"/>
      <c r="O855" s="29"/>
      <c r="P855" s="32"/>
      <c r="Q855" s="32"/>
      <c r="R855" s="4"/>
      <c r="S855" s="4"/>
      <c r="T855" s="4"/>
      <c r="U855" s="4"/>
      <c r="V855" s="4"/>
      <c r="W855" s="4"/>
    </row>
    <row x14ac:dyDescent="0.25" r="856" customHeight="1" ht="12.75">
      <c r="A856" s="4"/>
      <c r="B856" s="29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29"/>
      <c r="N856" s="29"/>
      <c r="O856" s="29"/>
      <c r="P856" s="32"/>
      <c r="Q856" s="32"/>
      <c r="R856" s="4"/>
      <c r="S856" s="4"/>
      <c r="T856" s="4"/>
      <c r="U856" s="4"/>
      <c r="V856" s="4"/>
      <c r="W856" s="4"/>
    </row>
    <row x14ac:dyDescent="0.25" r="857" customHeight="1" ht="12.75">
      <c r="A857" s="4"/>
      <c r="B857" s="29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29"/>
      <c r="N857" s="29"/>
      <c r="O857" s="29"/>
      <c r="P857" s="32"/>
      <c r="Q857" s="32"/>
      <c r="R857" s="4"/>
      <c r="S857" s="4"/>
      <c r="T857" s="4"/>
      <c r="U857" s="4"/>
      <c r="V857" s="4"/>
      <c r="W857" s="4"/>
    </row>
    <row x14ac:dyDescent="0.25" r="858" customHeight="1" ht="12.75">
      <c r="A858" s="4"/>
      <c r="B858" s="29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29"/>
      <c r="N858" s="29"/>
      <c r="O858" s="29"/>
      <c r="P858" s="32"/>
      <c r="Q858" s="32"/>
      <c r="R858" s="4"/>
      <c r="S858" s="4"/>
      <c r="T858" s="4"/>
      <c r="U858" s="4"/>
      <c r="V858" s="4"/>
      <c r="W858" s="4"/>
    </row>
    <row x14ac:dyDescent="0.25" r="859" customHeight="1" ht="12.75">
      <c r="A859" s="4"/>
      <c r="B859" s="29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29"/>
      <c r="N859" s="29"/>
      <c r="O859" s="29"/>
      <c r="P859" s="32"/>
      <c r="Q859" s="32"/>
      <c r="R859" s="4"/>
      <c r="S859" s="4"/>
      <c r="T859" s="4"/>
      <c r="U859" s="4"/>
      <c r="V859" s="4"/>
      <c r="W859" s="4"/>
    </row>
    <row x14ac:dyDescent="0.25" r="860" customHeight="1" ht="12.75">
      <c r="A860" s="4"/>
      <c r="B860" s="29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29"/>
      <c r="N860" s="29"/>
      <c r="O860" s="29"/>
      <c r="P860" s="32"/>
      <c r="Q860" s="32"/>
      <c r="R860" s="4"/>
      <c r="S860" s="4"/>
      <c r="T860" s="4"/>
      <c r="U860" s="4"/>
      <c r="V860" s="4"/>
      <c r="W860" s="4"/>
    </row>
    <row x14ac:dyDescent="0.25" r="861" customHeight="1" ht="12.75">
      <c r="A861" s="4"/>
      <c r="B861" s="29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29"/>
      <c r="N861" s="29"/>
      <c r="O861" s="29"/>
      <c r="P861" s="32"/>
      <c r="Q861" s="32"/>
      <c r="R861" s="4"/>
      <c r="S861" s="4"/>
      <c r="T861" s="4"/>
      <c r="U861" s="4"/>
      <c r="V861" s="4"/>
      <c r="W861" s="4"/>
    </row>
    <row x14ac:dyDescent="0.25" r="862" customHeight="1" ht="12.75">
      <c r="A862" s="4"/>
      <c r="B862" s="29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29"/>
      <c r="N862" s="29"/>
      <c r="O862" s="29"/>
      <c r="P862" s="32"/>
      <c r="Q862" s="32"/>
      <c r="R862" s="4"/>
      <c r="S862" s="4"/>
      <c r="T862" s="4"/>
      <c r="U862" s="4"/>
      <c r="V862" s="4"/>
      <c r="W862" s="4"/>
    </row>
    <row x14ac:dyDescent="0.25" r="863" customHeight="1" ht="12.75">
      <c r="A863" s="4"/>
      <c r="B863" s="29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29"/>
      <c r="N863" s="29"/>
      <c r="O863" s="29"/>
      <c r="P863" s="32"/>
      <c r="Q863" s="32"/>
      <c r="R863" s="4"/>
      <c r="S863" s="4"/>
      <c r="T863" s="4"/>
      <c r="U863" s="4"/>
      <c r="V863" s="4"/>
      <c r="W863" s="4"/>
    </row>
    <row x14ac:dyDescent="0.25" r="864" customHeight="1" ht="12.75">
      <c r="A864" s="4"/>
      <c r="B864" s="29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29"/>
      <c r="N864" s="29"/>
      <c r="O864" s="29"/>
      <c r="P864" s="32"/>
      <c r="Q864" s="32"/>
      <c r="R864" s="4"/>
      <c r="S864" s="4"/>
      <c r="T864" s="4"/>
      <c r="U864" s="4"/>
      <c r="V864" s="4"/>
      <c r="W864" s="4"/>
    </row>
    <row x14ac:dyDescent="0.25" r="865" customHeight="1" ht="12.75">
      <c r="A865" s="4"/>
      <c r="B865" s="29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29"/>
      <c r="N865" s="29"/>
      <c r="O865" s="29"/>
      <c r="P865" s="32"/>
      <c r="Q865" s="32"/>
      <c r="R865" s="4"/>
      <c r="S865" s="4"/>
      <c r="T865" s="4"/>
      <c r="U865" s="4"/>
      <c r="V865" s="4"/>
      <c r="W865" s="4"/>
    </row>
    <row x14ac:dyDescent="0.25" r="866" customHeight="1" ht="12.75">
      <c r="A866" s="4"/>
      <c r="B866" s="29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29"/>
      <c r="N866" s="29"/>
      <c r="O866" s="29"/>
      <c r="P866" s="32"/>
      <c r="Q866" s="32"/>
      <c r="R866" s="4"/>
      <c r="S866" s="4"/>
      <c r="T866" s="4"/>
      <c r="U866" s="4"/>
      <c r="V866" s="4"/>
      <c r="W866" s="4"/>
    </row>
    <row x14ac:dyDescent="0.25" r="867" customHeight="1" ht="12.75">
      <c r="A867" s="4"/>
      <c r="B867" s="29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29"/>
      <c r="N867" s="29"/>
      <c r="O867" s="29"/>
      <c r="P867" s="32"/>
      <c r="Q867" s="32"/>
      <c r="R867" s="4"/>
      <c r="S867" s="4"/>
      <c r="T867" s="4"/>
      <c r="U867" s="4"/>
      <c r="V867" s="4"/>
      <c r="W867" s="4"/>
    </row>
    <row x14ac:dyDescent="0.25" r="868" customHeight="1" ht="12.75">
      <c r="A868" s="4"/>
      <c r="B868" s="29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29"/>
      <c r="N868" s="29"/>
      <c r="O868" s="29"/>
      <c r="P868" s="32"/>
      <c r="Q868" s="32"/>
      <c r="R868" s="4"/>
      <c r="S868" s="4"/>
      <c r="T868" s="4"/>
      <c r="U868" s="4"/>
      <c r="V868" s="4"/>
      <c r="W868" s="4"/>
    </row>
    <row x14ac:dyDescent="0.25" r="869" customHeight="1" ht="12.75">
      <c r="A869" s="4"/>
      <c r="B869" s="29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29"/>
      <c r="N869" s="29"/>
      <c r="O869" s="29"/>
      <c r="P869" s="32"/>
      <c r="Q869" s="32"/>
      <c r="R869" s="4"/>
      <c r="S869" s="4"/>
      <c r="T869" s="4"/>
      <c r="U869" s="4"/>
      <c r="V869" s="4"/>
      <c r="W869" s="4"/>
    </row>
    <row x14ac:dyDescent="0.25" r="870" customHeight="1" ht="12.75">
      <c r="A870" s="4"/>
      <c r="B870" s="29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29"/>
      <c r="N870" s="29"/>
      <c r="O870" s="29"/>
      <c r="P870" s="32"/>
      <c r="Q870" s="32"/>
      <c r="R870" s="4"/>
      <c r="S870" s="4"/>
      <c r="T870" s="4"/>
      <c r="U870" s="4"/>
      <c r="V870" s="4"/>
      <c r="W870" s="4"/>
    </row>
    <row x14ac:dyDescent="0.25" r="871" customHeight="1" ht="12.75">
      <c r="A871" s="4"/>
      <c r="B871" s="29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29"/>
      <c r="N871" s="29"/>
      <c r="O871" s="29"/>
      <c r="P871" s="32"/>
      <c r="Q871" s="32"/>
      <c r="R871" s="4"/>
      <c r="S871" s="4"/>
      <c r="T871" s="4"/>
      <c r="U871" s="4"/>
      <c r="V871" s="4"/>
      <c r="W871" s="4"/>
    </row>
    <row x14ac:dyDescent="0.25" r="872" customHeight="1" ht="12.75">
      <c r="A872" s="4"/>
      <c r="B872" s="29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29"/>
      <c r="N872" s="29"/>
      <c r="O872" s="29"/>
      <c r="P872" s="32"/>
      <c r="Q872" s="32"/>
      <c r="R872" s="4"/>
      <c r="S872" s="4"/>
      <c r="T872" s="4"/>
      <c r="U872" s="4"/>
      <c r="V872" s="4"/>
      <c r="W872" s="4"/>
    </row>
    <row x14ac:dyDescent="0.25" r="873" customHeight="1" ht="12.75">
      <c r="A873" s="4"/>
      <c r="B873" s="29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29"/>
      <c r="N873" s="29"/>
      <c r="O873" s="29"/>
      <c r="P873" s="32"/>
      <c r="Q873" s="32"/>
      <c r="R873" s="4"/>
      <c r="S873" s="4"/>
      <c r="T873" s="4"/>
      <c r="U873" s="4"/>
      <c r="V873" s="4"/>
      <c r="W873" s="4"/>
    </row>
    <row x14ac:dyDescent="0.25" r="874" customHeight="1" ht="12.75">
      <c r="A874" s="4"/>
      <c r="B874" s="29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29"/>
      <c r="N874" s="29"/>
      <c r="O874" s="29"/>
      <c r="P874" s="32"/>
      <c r="Q874" s="32"/>
      <c r="R874" s="4"/>
      <c r="S874" s="4"/>
      <c r="T874" s="4"/>
      <c r="U874" s="4"/>
      <c r="V874" s="4"/>
      <c r="W874" s="4"/>
    </row>
    <row x14ac:dyDescent="0.25" r="875" customHeight="1" ht="12.75">
      <c r="A875" s="4"/>
      <c r="B875" s="29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29"/>
      <c r="N875" s="29"/>
      <c r="O875" s="29"/>
      <c r="P875" s="32"/>
      <c r="Q875" s="32"/>
      <c r="R875" s="4"/>
      <c r="S875" s="4"/>
      <c r="T875" s="4"/>
      <c r="U875" s="4"/>
      <c r="V875" s="4"/>
      <c r="W875" s="4"/>
    </row>
    <row x14ac:dyDescent="0.25" r="876" customHeight="1" ht="12.75">
      <c r="A876" s="4"/>
      <c r="B876" s="29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29"/>
      <c r="N876" s="29"/>
      <c r="O876" s="29"/>
      <c r="P876" s="32"/>
      <c r="Q876" s="32"/>
      <c r="R876" s="4"/>
      <c r="S876" s="4"/>
      <c r="T876" s="4"/>
      <c r="U876" s="4"/>
      <c r="V876" s="4"/>
      <c r="W876" s="4"/>
    </row>
    <row x14ac:dyDescent="0.25" r="877" customHeight="1" ht="12.75">
      <c r="A877" s="4"/>
      <c r="B877" s="29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29"/>
      <c r="N877" s="29"/>
      <c r="O877" s="29"/>
      <c r="P877" s="32"/>
      <c r="Q877" s="32"/>
      <c r="R877" s="4"/>
      <c r="S877" s="4"/>
      <c r="T877" s="4"/>
      <c r="U877" s="4"/>
      <c r="V877" s="4"/>
      <c r="W877" s="4"/>
    </row>
    <row x14ac:dyDescent="0.25" r="878" customHeight="1" ht="12.75">
      <c r="A878" s="4"/>
      <c r="B878" s="29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29"/>
      <c r="N878" s="29"/>
      <c r="O878" s="29"/>
      <c r="P878" s="32"/>
      <c r="Q878" s="32"/>
      <c r="R878" s="4"/>
      <c r="S878" s="4"/>
      <c r="T878" s="4"/>
      <c r="U878" s="4"/>
      <c r="V878" s="4"/>
      <c r="W878" s="4"/>
    </row>
    <row x14ac:dyDescent="0.25" r="879" customHeight="1" ht="12.75">
      <c r="A879" s="4"/>
      <c r="B879" s="29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29"/>
      <c r="N879" s="29"/>
      <c r="O879" s="29"/>
      <c r="P879" s="32"/>
      <c r="Q879" s="32"/>
      <c r="R879" s="4"/>
      <c r="S879" s="4"/>
      <c r="T879" s="4"/>
      <c r="U879" s="4"/>
      <c r="V879" s="4"/>
      <c r="W879" s="4"/>
    </row>
    <row x14ac:dyDescent="0.25" r="880" customHeight="1" ht="12.75">
      <c r="A880" s="4"/>
      <c r="B880" s="29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29"/>
      <c r="N880" s="29"/>
      <c r="O880" s="29"/>
      <c r="P880" s="32"/>
      <c r="Q880" s="32"/>
      <c r="R880" s="4"/>
      <c r="S880" s="4"/>
      <c r="T880" s="4"/>
      <c r="U880" s="4"/>
      <c r="V880" s="4"/>
      <c r="W880" s="4"/>
    </row>
    <row x14ac:dyDescent="0.25" r="881" customHeight="1" ht="12.75">
      <c r="A881" s="4"/>
      <c r="B881" s="29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29"/>
      <c r="N881" s="29"/>
      <c r="O881" s="29"/>
      <c r="P881" s="32"/>
      <c r="Q881" s="32"/>
      <c r="R881" s="4"/>
      <c r="S881" s="4"/>
      <c r="T881" s="4"/>
      <c r="U881" s="4"/>
      <c r="V881" s="4"/>
      <c r="W881" s="4"/>
    </row>
    <row x14ac:dyDescent="0.25" r="882" customHeight="1" ht="12.75">
      <c r="A882" s="4"/>
      <c r="B882" s="29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29"/>
      <c r="N882" s="29"/>
      <c r="O882" s="29"/>
      <c r="P882" s="32"/>
      <c r="Q882" s="32"/>
      <c r="R882" s="4"/>
      <c r="S882" s="4"/>
      <c r="T882" s="4"/>
      <c r="U882" s="4"/>
      <c r="V882" s="4"/>
      <c r="W882" s="4"/>
    </row>
    <row x14ac:dyDescent="0.25" r="883" customHeight="1" ht="12.75">
      <c r="A883" s="4"/>
      <c r="B883" s="29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29"/>
      <c r="N883" s="29"/>
      <c r="O883" s="29"/>
      <c r="P883" s="32"/>
      <c r="Q883" s="32"/>
      <c r="R883" s="4"/>
      <c r="S883" s="4"/>
      <c r="T883" s="4"/>
      <c r="U883" s="4"/>
      <c r="V883" s="4"/>
      <c r="W883" s="4"/>
    </row>
    <row x14ac:dyDescent="0.25" r="884" customHeight="1" ht="12.75">
      <c r="A884" s="4"/>
      <c r="B884" s="29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29"/>
      <c r="N884" s="29"/>
      <c r="O884" s="29"/>
      <c r="P884" s="32"/>
      <c r="Q884" s="32"/>
      <c r="R884" s="4"/>
      <c r="S884" s="4"/>
      <c r="T884" s="4"/>
      <c r="U884" s="4"/>
      <c r="V884" s="4"/>
      <c r="W884" s="4"/>
    </row>
    <row x14ac:dyDescent="0.25" r="885" customHeight="1" ht="12.75">
      <c r="A885" s="4"/>
      <c r="B885" s="29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29"/>
      <c r="N885" s="29"/>
      <c r="O885" s="29"/>
      <c r="P885" s="32"/>
      <c r="Q885" s="32"/>
      <c r="R885" s="4"/>
      <c r="S885" s="4"/>
      <c r="T885" s="4"/>
      <c r="U885" s="4"/>
      <c r="V885" s="4"/>
      <c r="W885" s="4"/>
    </row>
    <row x14ac:dyDescent="0.25" r="886" customHeight="1" ht="12.75">
      <c r="A886" s="4"/>
      <c r="B886" s="29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29"/>
      <c r="N886" s="29"/>
      <c r="O886" s="29"/>
      <c r="P886" s="32"/>
      <c r="Q886" s="32"/>
      <c r="R886" s="4"/>
      <c r="S886" s="4"/>
      <c r="T886" s="4"/>
      <c r="U886" s="4"/>
      <c r="V886" s="4"/>
      <c r="W886" s="4"/>
    </row>
    <row x14ac:dyDescent="0.25" r="887" customHeight="1" ht="12.75">
      <c r="A887" s="4"/>
      <c r="B887" s="29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29"/>
      <c r="N887" s="29"/>
      <c r="O887" s="29"/>
      <c r="P887" s="32"/>
      <c r="Q887" s="32"/>
      <c r="R887" s="4"/>
      <c r="S887" s="4"/>
      <c r="T887" s="4"/>
      <c r="U887" s="4"/>
      <c r="V887" s="4"/>
      <c r="W887" s="4"/>
    </row>
    <row x14ac:dyDescent="0.25" r="888" customHeight="1" ht="12.75">
      <c r="A888" s="4"/>
      <c r="B888" s="29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29"/>
      <c r="N888" s="29"/>
      <c r="O888" s="29"/>
      <c r="P888" s="32"/>
      <c r="Q888" s="32"/>
      <c r="R888" s="4"/>
      <c r="S888" s="4"/>
      <c r="T888" s="4"/>
      <c r="U888" s="4"/>
      <c r="V888" s="4"/>
      <c r="W888" s="4"/>
    </row>
    <row x14ac:dyDescent="0.25" r="889" customHeight="1" ht="12.75">
      <c r="A889" s="4"/>
      <c r="B889" s="29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29"/>
      <c r="N889" s="29"/>
      <c r="O889" s="29"/>
      <c r="P889" s="32"/>
      <c r="Q889" s="32"/>
      <c r="R889" s="4"/>
      <c r="S889" s="4"/>
      <c r="T889" s="4"/>
      <c r="U889" s="4"/>
      <c r="V889" s="4"/>
      <c r="W889" s="4"/>
    </row>
    <row x14ac:dyDescent="0.25" r="890" customHeight="1" ht="12.75">
      <c r="A890" s="4"/>
      <c r="B890" s="29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29"/>
      <c r="N890" s="29"/>
      <c r="O890" s="29"/>
      <c r="P890" s="32"/>
      <c r="Q890" s="32"/>
      <c r="R890" s="4"/>
      <c r="S890" s="4"/>
      <c r="T890" s="4"/>
      <c r="U890" s="4"/>
      <c r="V890" s="4"/>
      <c r="W890" s="4"/>
    </row>
    <row x14ac:dyDescent="0.25" r="891" customHeight="1" ht="12.75">
      <c r="A891" s="4"/>
      <c r="B891" s="29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29"/>
      <c r="N891" s="29"/>
      <c r="O891" s="29"/>
      <c r="P891" s="32"/>
      <c r="Q891" s="32"/>
      <c r="R891" s="4"/>
      <c r="S891" s="4"/>
      <c r="T891" s="4"/>
      <c r="U891" s="4"/>
      <c r="V891" s="4"/>
      <c r="W891" s="4"/>
    </row>
    <row x14ac:dyDescent="0.25" r="892" customHeight="1" ht="12.75">
      <c r="A892" s="4"/>
      <c r="B892" s="29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29"/>
      <c r="N892" s="29"/>
      <c r="O892" s="29"/>
      <c r="P892" s="32"/>
      <c r="Q892" s="32"/>
      <c r="R892" s="4"/>
      <c r="S892" s="4"/>
      <c r="T892" s="4"/>
      <c r="U892" s="4"/>
      <c r="V892" s="4"/>
      <c r="W892" s="4"/>
    </row>
    <row x14ac:dyDescent="0.25" r="893" customHeight="1" ht="12.75">
      <c r="A893" s="4"/>
      <c r="B893" s="29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29"/>
      <c r="N893" s="29"/>
      <c r="O893" s="29"/>
      <c r="P893" s="32"/>
      <c r="Q893" s="32"/>
      <c r="R893" s="4"/>
      <c r="S893" s="4"/>
      <c r="T893" s="4"/>
      <c r="U893" s="4"/>
      <c r="V893" s="4"/>
      <c r="W893" s="4"/>
    </row>
    <row x14ac:dyDescent="0.25" r="894" customHeight="1" ht="12.75">
      <c r="A894" s="4"/>
      <c r="B894" s="29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29"/>
      <c r="N894" s="29"/>
      <c r="O894" s="29"/>
      <c r="P894" s="32"/>
      <c r="Q894" s="32"/>
      <c r="R894" s="4"/>
      <c r="S894" s="4"/>
      <c r="T894" s="4"/>
      <c r="U894" s="4"/>
      <c r="V894" s="4"/>
      <c r="W894" s="4"/>
    </row>
    <row x14ac:dyDescent="0.25" r="895" customHeight="1" ht="12.75">
      <c r="A895" s="4"/>
      <c r="B895" s="29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29"/>
      <c r="N895" s="29"/>
      <c r="O895" s="29"/>
      <c r="P895" s="32"/>
      <c r="Q895" s="32"/>
      <c r="R895" s="4"/>
      <c r="S895" s="4"/>
      <c r="T895" s="4"/>
      <c r="U895" s="4"/>
      <c r="V895" s="4"/>
      <c r="W895" s="4"/>
    </row>
    <row x14ac:dyDescent="0.25" r="896" customHeight="1" ht="12.75">
      <c r="A896" s="4"/>
      <c r="B896" s="29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29"/>
      <c r="N896" s="29"/>
      <c r="O896" s="29"/>
      <c r="P896" s="32"/>
      <c r="Q896" s="32"/>
      <c r="R896" s="4"/>
      <c r="S896" s="4"/>
      <c r="T896" s="4"/>
      <c r="U896" s="4"/>
      <c r="V896" s="4"/>
      <c r="W896" s="4"/>
    </row>
    <row x14ac:dyDescent="0.25" r="897" customHeight="1" ht="12.75">
      <c r="A897" s="4"/>
      <c r="B897" s="29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29"/>
      <c r="N897" s="29"/>
      <c r="O897" s="29"/>
      <c r="P897" s="32"/>
      <c r="Q897" s="32"/>
      <c r="R897" s="4"/>
      <c r="S897" s="4"/>
      <c r="T897" s="4"/>
      <c r="U897" s="4"/>
      <c r="V897" s="4"/>
      <c r="W897" s="4"/>
    </row>
    <row x14ac:dyDescent="0.25" r="898" customHeight="1" ht="12.75">
      <c r="A898" s="4"/>
      <c r="B898" s="29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29"/>
      <c r="N898" s="29"/>
      <c r="O898" s="29"/>
      <c r="P898" s="32"/>
      <c r="Q898" s="32"/>
      <c r="R898" s="4"/>
      <c r="S898" s="4"/>
      <c r="T898" s="4"/>
      <c r="U898" s="4"/>
      <c r="V898" s="4"/>
      <c r="W898" s="4"/>
    </row>
    <row x14ac:dyDescent="0.25" r="899" customHeight="1" ht="12.75">
      <c r="A899" s="4"/>
      <c r="B899" s="29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29"/>
      <c r="N899" s="29"/>
      <c r="O899" s="29"/>
      <c r="P899" s="32"/>
      <c r="Q899" s="32"/>
      <c r="R899" s="4"/>
      <c r="S899" s="4"/>
      <c r="T899" s="4"/>
      <c r="U899" s="4"/>
      <c r="V899" s="4"/>
      <c r="W899" s="4"/>
    </row>
    <row x14ac:dyDescent="0.25" r="900" customHeight="1" ht="12.75">
      <c r="A900" s="4"/>
      <c r="B900" s="29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29"/>
      <c r="N900" s="29"/>
      <c r="O900" s="29"/>
      <c r="P900" s="32"/>
      <c r="Q900" s="32"/>
      <c r="R900" s="4"/>
      <c r="S900" s="4"/>
      <c r="T900" s="4"/>
      <c r="U900" s="4"/>
      <c r="V900" s="4"/>
      <c r="W900" s="4"/>
    </row>
    <row x14ac:dyDescent="0.25" r="901" customHeight="1" ht="12.75">
      <c r="A901" s="4"/>
      <c r="B901" s="29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29"/>
      <c r="N901" s="29"/>
      <c r="O901" s="29"/>
      <c r="P901" s="32"/>
      <c r="Q901" s="32"/>
      <c r="R901" s="4"/>
      <c r="S901" s="4"/>
      <c r="T901" s="4"/>
      <c r="U901" s="4"/>
      <c r="V901" s="4"/>
      <c r="W901" s="4"/>
    </row>
    <row x14ac:dyDescent="0.25" r="902" customHeight="1" ht="12.75">
      <c r="A902" s="4"/>
      <c r="B902" s="29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29"/>
      <c r="N902" s="29"/>
      <c r="O902" s="29"/>
      <c r="P902" s="32"/>
      <c r="Q902" s="32"/>
      <c r="R902" s="4"/>
      <c r="S902" s="4"/>
      <c r="T902" s="4"/>
      <c r="U902" s="4"/>
      <c r="V902" s="4"/>
      <c r="W902" s="4"/>
    </row>
    <row x14ac:dyDescent="0.25" r="903" customHeight="1" ht="12.75">
      <c r="A903" s="4"/>
      <c r="B903" s="29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29"/>
      <c r="N903" s="29"/>
      <c r="O903" s="29"/>
      <c r="P903" s="32"/>
      <c r="Q903" s="32"/>
      <c r="R903" s="4"/>
      <c r="S903" s="4"/>
      <c r="T903" s="4"/>
      <c r="U903" s="4"/>
      <c r="V903" s="4"/>
      <c r="W903" s="4"/>
    </row>
    <row x14ac:dyDescent="0.25" r="904" customHeight="1" ht="12.75">
      <c r="A904" s="4"/>
      <c r="B904" s="29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29"/>
      <c r="N904" s="29"/>
      <c r="O904" s="29"/>
      <c r="P904" s="32"/>
      <c r="Q904" s="32"/>
      <c r="R904" s="4"/>
      <c r="S904" s="4"/>
      <c r="T904" s="4"/>
      <c r="U904" s="4"/>
      <c r="V904" s="4"/>
      <c r="W904" s="4"/>
    </row>
    <row x14ac:dyDescent="0.25" r="905" customHeight="1" ht="12.75">
      <c r="A905" s="4"/>
      <c r="B905" s="29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29"/>
      <c r="N905" s="29"/>
      <c r="O905" s="29"/>
      <c r="P905" s="32"/>
      <c r="Q905" s="32"/>
      <c r="R905" s="4"/>
      <c r="S905" s="4"/>
      <c r="T905" s="4"/>
      <c r="U905" s="4"/>
      <c r="V905" s="4"/>
      <c r="W905" s="4"/>
    </row>
    <row x14ac:dyDescent="0.25" r="906" customHeight="1" ht="12.75">
      <c r="A906" s="4"/>
      <c r="B906" s="29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29"/>
      <c r="N906" s="29"/>
      <c r="O906" s="29"/>
      <c r="P906" s="32"/>
      <c r="Q906" s="32"/>
      <c r="R906" s="4"/>
      <c r="S906" s="4"/>
      <c r="T906" s="4"/>
      <c r="U906" s="4"/>
      <c r="V906" s="4"/>
      <c r="W906" s="4"/>
    </row>
    <row x14ac:dyDescent="0.25" r="907" customHeight="1" ht="12.75">
      <c r="A907" s="4"/>
      <c r="B907" s="29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29"/>
      <c r="N907" s="29"/>
      <c r="O907" s="29"/>
      <c r="P907" s="32"/>
      <c r="Q907" s="32"/>
      <c r="R907" s="4"/>
      <c r="S907" s="4"/>
      <c r="T907" s="4"/>
      <c r="U907" s="4"/>
      <c r="V907" s="4"/>
      <c r="W907" s="4"/>
    </row>
    <row x14ac:dyDescent="0.25" r="908" customHeight="1" ht="12.75">
      <c r="A908" s="4"/>
      <c r="B908" s="29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29"/>
      <c r="N908" s="29"/>
      <c r="O908" s="29"/>
      <c r="P908" s="32"/>
      <c r="Q908" s="32"/>
      <c r="R908" s="4"/>
      <c r="S908" s="4"/>
      <c r="T908" s="4"/>
      <c r="U908" s="4"/>
      <c r="V908" s="4"/>
      <c r="W908" s="4"/>
    </row>
    <row x14ac:dyDescent="0.25" r="909" customHeight="1" ht="12.75">
      <c r="A909" s="4"/>
      <c r="B909" s="29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29"/>
      <c r="N909" s="29"/>
      <c r="O909" s="29"/>
      <c r="P909" s="32"/>
      <c r="Q909" s="32"/>
      <c r="R909" s="4"/>
      <c r="S909" s="4"/>
      <c r="T909" s="4"/>
      <c r="U909" s="4"/>
      <c r="V909" s="4"/>
      <c r="W909" s="4"/>
    </row>
    <row x14ac:dyDescent="0.25" r="910" customHeight="1" ht="12.75">
      <c r="A910" s="4"/>
      <c r="B910" s="29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29"/>
      <c r="N910" s="29"/>
      <c r="O910" s="29"/>
      <c r="P910" s="32"/>
      <c r="Q910" s="32"/>
      <c r="R910" s="4"/>
      <c r="S910" s="4"/>
      <c r="T910" s="4"/>
      <c r="U910" s="4"/>
      <c r="V910" s="4"/>
      <c r="W910" s="4"/>
    </row>
    <row x14ac:dyDescent="0.25" r="911" customHeight="1" ht="12.75">
      <c r="A911" s="4"/>
      <c r="B911" s="29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29"/>
      <c r="N911" s="29"/>
      <c r="O911" s="29"/>
      <c r="P911" s="32"/>
      <c r="Q911" s="32"/>
      <c r="R911" s="4"/>
      <c r="S911" s="4"/>
      <c r="T911" s="4"/>
      <c r="U911" s="4"/>
      <c r="V911" s="4"/>
      <c r="W911" s="4"/>
    </row>
    <row x14ac:dyDescent="0.25" r="912" customHeight="1" ht="12.75">
      <c r="A912" s="4"/>
      <c r="B912" s="29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29"/>
      <c r="N912" s="29"/>
      <c r="O912" s="29"/>
      <c r="P912" s="32"/>
      <c r="Q912" s="32"/>
      <c r="R912" s="4"/>
      <c r="S912" s="4"/>
      <c r="T912" s="4"/>
      <c r="U912" s="4"/>
      <c r="V912" s="4"/>
      <c r="W912" s="4"/>
    </row>
    <row x14ac:dyDescent="0.25" r="913" customHeight="1" ht="12.75">
      <c r="A913" s="4"/>
      <c r="B913" s="29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29"/>
      <c r="N913" s="29"/>
      <c r="O913" s="29"/>
      <c r="P913" s="32"/>
      <c r="Q913" s="32"/>
      <c r="R913" s="4"/>
      <c r="S913" s="4"/>
      <c r="T913" s="4"/>
      <c r="U913" s="4"/>
      <c r="V913" s="4"/>
      <c r="W913" s="4"/>
    </row>
    <row x14ac:dyDescent="0.25" r="914" customHeight="1" ht="12.75">
      <c r="A914" s="4"/>
      <c r="B914" s="29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29"/>
      <c r="N914" s="29"/>
      <c r="O914" s="29"/>
      <c r="P914" s="32"/>
      <c r="Q914" s="32"/>
      <c r="R914" s="4"/>
      <c r="S914" s="4"/>
      <c r="T914" s="4"/>
      <c r="U914" s="4"/>
      <c r="V914" s="4"/>
      <c r="W914" s="4"/>
    </row>
    <row x14ac:dyDescent="0.25" r="915" customHeight="1" ht="12.75">
      <c r="A915" s="4"/>
      <c r="B915" s="29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29"/>
      <c r="N915" s="29"/>
      <c r="O915" s="29"/>
      <c r="P915" s="32"/>
      <c r="Q915" s="32"/>
      <c r="R915" s="4"/>
      <c r="S915" s="4"/>
      <c r="T915" s="4"/>
      <c r="U915" s="4"/>
      <c r="V915" s="4"/>
      <c r="W915" s="4"/>
    </row>
    <row x14ac:dyDescent="0.25" r="916" customHeight="1" ht="12.75">
      <c r="A916" s="4"/>
      <c r="B916" s="29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29"/>
      <c r="N916" s="29"/>
      <c r="O916" s="29"/>
      <c r="P916" s="32"/>
      <c r="Q916" s="32"/>
      <c r="R916" s="4"/>
      <c r="S916" s="4"/>
      <c r="T916" s="4"/>
      <c r="U916" s="4"/>
      <c r="V916" s="4"/>
      <c r="W916" s="4"/>
    </row>
    <row x14ac:dyDescent="0.25" r="917" customHeight="1" ht="12.75">
      <c r="A917" s="4"/>
      <c r="B917" s="29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29"/>
      <c r="N917" s="29"/>
      <c r="O917" s="29"/>
      <c r="P917" s="32"/>
      <c r="Q917" s="32"/>
      <c r="R917" s="4"/>
      <c r="S917" s="4"/>
      <c r="T917" s="4"/>
      <c r="U917" s="4"/>
      <c r="V917" s="4"/>
      <c r="W917" s="4"/>
    </row>
    <row x14ac:dyDescent="0.25" r="918" customHeight="1" ht="12.75">
      <c r="A918" s="4"/>
      <c r="B918" s="29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29"/>
      <c r="N918" s="29"/>
      <c r="O918" s="29"/>
      <c r="P918" s="32"/>
      <c r="Q918" s="32"/>
      <c r="R918" s="4"/>
      <c r="S918" s="4"/>
      <c r="T918" s="4"/>
      <c r="U918" s="4"/>
      <c r="V918" s="4"/>
      <c r="W918" s="4"/>
    </row>
    <row x14ac:dyDescent="0.25" r="919" customHeight="1" ht="12.75">
      <c r="A919" s="4"/>
      <c r="B919" s="29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29"/>
      <c r="N919" s="29"/>
      <c r="O919" s="29"/>
      <c r="P919" s="32"/>
      <c r="Q919" s="32"/>
      <c r="R919" s="4"/>
      <c r="S919" s="4"/>
      <c r="T919" s="4"/>
      <c r="U919" s="4"/>
      <c r="V919" s="4"/>
      <c r="W919" s="4"/>
    </row>
    <row x14ac:dyDescent="0.25" r="920" customHeight="1" ht="12.75">
      <c r="A920" s="4"/>
      <c r="B920" s="29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29"/>
      <c r="N920" s="29"/>
      <c r="O920" s="29"/>
      <c r="P920" s="32"/>
      <c r="Q920" s="32"/>
      <c r="R920" s="4"/>
      <c r="S920" s="4"/>
      <c r="T920" s="4"/>
      <c r="U920" s="4"/>
      <c r="V920" s="4"/>
      <c r="W920" s="4"/>
    </row>
    <row x14ac:dyDescent="0.25" r="921" customHeight="1" ht="12.75">
      <c r="A921" s="4"/>
      <c r="B921" s="29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29"/>
      <c r="N921" s="29"/>
      <c r="O921" s="29"/>
      <c r="P921" s="32"/>
      <c r="Q921" s="32"/>
      <c r="R921" s="4"/>
      <c r="S921" s="4"/>
      <c r="T921" s="4"/>
      <c r="U921" s="4"/>
      <c r="V921" s="4"/>
      <c r="W921" s="4"/>
    </row>
    <row x14ac:dyDescent="0.25" r="922" customHeight="1" ht="12.75">
      <c r="A922" s="4"/>
      <c r="B922" s="29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29"/>
      <c r="N922" s="29"/>
      <c r="O922" s="29"/>
      <c r="P922" s="32"/>
      <c r="Q922" s="32"/>
      <c r="R922" s="4"/>
      <c r="S922" s="4"/>
      <c r="T922" s="4"/>
      <c r="U922" s="4"/>
      <c r="V922" s="4"/>
      <c r="W922" s="4"/>
    </row>
    <row x14ac:dyDescent="0.25" r="923" customHeight="1" ht="12.75">
      <c r="A923" s="4"/>
      <c r="B923" s="29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29"/>
      <c r="N923" s="29"/>
      <c r="O923" s="29"/>
      <c r="P923" s="32"/>
      <c r="Q923" s="32"/>
      <c r="R923" s="4"/>
      <c r="S923" s="4"/>
      <c r="T923" s="4"/>
      <c r="U923" s="4"/>
      <c r="V923" s="4"/>
      <c r="W923" s="4"/>
    </row>
    <row x14ac:dyDescent="0.25" r="924" customHeight="1" ht="12.75">
      <c r="A924" s="4"/>
      <c r="B924" s="29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29"/>
      <c r="N924" s="29"/>
      <c r="O924" s="29"/>
      <c r="P924" s="32"/>
      <c r="Q924" s="32"/>
      <c r="R924" s="4"/>
      <c r="S924" s="4"/>
      <c r="T924" s="4"/>
      <c r="U924" s="4"/>
      <c r="V924" s="4"/>
      <c r="W924" s="4"/>
    </row>
    <row x14ac:dyDescent="0.25" r="925" customHeight="1" ht="12.75">
      <c r="A925" s="4"/>
      <c r="B925" s="29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29"/>
      <c r="N925" s="29"/>
      <c r="O925" s="29"/>
      <c r="P925" s="32"/>
      <c r="Q925" s="32"/>
      <c r="R925" s="4"/>
      <c r="S925" s="4"/>
      <c r="T925" s="4"/>
      <c r="U925" s="4"/>
      <c r="V925" s="4"/>
      <c r="W925" s="4"/>
    </row>
    <row x14ac:dyDescent="0.25" r="926" customHeight="1" ht="12.75">
      <c r="A926" s="4"/>
      <c r="B926" s="29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29"/>
      <c r="N926" s="29"/>
      <c r="O926" s="29"/>
      <c r="P926" s="32"/>
      <c r="Q926" s="32"/>
      <c r="R926" s="4"/>
      <c r="S926" s="4"/>
      <c r="T926" s="4"/>
      <c r="U926" s="4"/>
      <c r="V926" s="4"/>
      <c r="W926" s="4"/>
    </row>
    <row x14ac:dyDescent="0.25" r="927" customHeight="1" ht="12.75">
      <c r="A927" s="4"/>
      <c r="B927" s="29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29"/>
      <c r="N927" s="29"/>
      <c r="O927" s="29"/>
      <c r="P927" s="32"/>
      <c r="Q927" s="32"/>
      <c r="R927" s="4"/>
      <c r="S927" s="4"/>
      <c r="T927" s="4"/>
      <c r="U927" s="4"/>
      <c r="V927" s="4"/>
      <c r="W927" s="4"/>
    </row>
    <row x14ac:dyDescent="0.25" r="928" customHeight="1" ht="12.75">
      <c r="A928" s="4"/>
      <c r="B928" s="29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29"/>
      <c r="N928" s="29"/>
      <c r="O928" s="29"/>
      <c r="P928" s="32"/>
      <c r="Q928" s="32"/>
      <c r="R928" s="4"/>
      <c r="S928" s="4"/>
      <c r="T928" s="4"/>
      <c r="U928" s="4"/>
      <c r="V928" s="4"/>
      <c r="W928" s="4"/>
    </row>
    <row x14ac:dyDescent="0.25" r="929" customHeight="1" ht="12.75">
      <c r="A929" s="4"/>
      <c r="B929" s="29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29"/>
      <c r="N929" s="29"/>
      <c r="O929" s="29"/>
      <c r="P929" s="32"/>
      <c r="Q929" s="32"/>
      <c r="R929" s="4"/>
      <c r="S929" s="4"/>
      <c r="T929" s="4"/>
      <c r="U929" s="4"/>
      <c r="V929" s="4"/>
      <c r="W929" s="4"/>
    </row>
    <row x14ac:dyDescent="0.25" r="930" customHeight="1" ht="12.75">
      <c r="A930" s="4"/>
      <c r="B930" s="29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29"/>
      <c r="N930" s="29"/>
      <c r="O930" s="29"/>
      <c r="P930" s="32"/>
      <c r="Q930" s="32"/>
      <c r="R930" s="4"/>
      <c r="S930" s="4"/>
      <c r="T930" s="4"/>
      <c r="U930" s="4"/>
      <c r="V930" s="4"/>
      <c r="W930" s="4"/>
    </row>
    <row x14ac:dyDescent="0.25" r="931" customHeight="1" ht="12.75">
      <c r="A931" s="4"/>
      <c r="B931" s="29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29"/>
      <c r="N931" s="29"/>
      <c r="O931" s="29"/>
      <c r="P931" s="32"/>
      <c r="Q931" s="32"/>
      <c r="R931" s="4"/>
      <c r="S931" s="4"/>
      <c r="T931" s="4"/>
      <c r="U931" s="4"/>
      <c r="V931" s="4"/>
      <c r="W931" s="4"/>
    </row>
    <row x14ac:dyDescent="0.25" r="932" customHeight="1" ht="12.75">
      <c r="A932" s="4"/>
      <c r="B932" s="29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29"/>
      <c r="N932" s="29"/>
      <c r="O932" s="29"/>
      <c r="P932" s="32"/>
      <c r="Q932" s="32"/>
      <c r="R932" s="4"/>
      <c r="S932" s="4"/>
      <c r="T932" s="4"/>
      <c r="U932" s="4"/>
      <c r="V932" s="4"/>
      <c r="W932" s="4"/>
    </row>
    <row x14ac:dyDescent="0.25" r="933" customHeight="1" ht="12.75">
      <c r="A933" s="4"/>
      <c r="B933" s="29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29"/>
      <c r="N933" s="29"/>
      <c r="O933" s="29"/>
      <c r="P933" s="32"/>
      <c r="Q933" s="32"/>
      <c r="R933" s="4"/>
      <c r="S933" s="4"/>
      <c r="T933" s="4"/>
      <c r="U933" s="4"/>
      <c r="V933" s="4"/>
      <c r="W933" s="4"/>
    </row>
    <row x14ac:dyDescent="0.25" r="934" customHeight="1" ht="12.75">
      <c r="A934" s="4"/>
      <c r="B934" s="29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29"/>
      <c r="N934" s="29"/>
      <c r="O934" s="29"/>
      <c r="P934" s="32"/>
      <c r="Q934" s="32"/>
      <c r="R934" s="4"/>
      <c r="S934" s="4"/>
      <c r="T934" s="4"/>
      <c r="U934" s="4"/>
      <c r="V934" s="4"/>
      <c r="W934" s="4"/>
    </row>
    <row x14ac:dyDescent="0.25" r="935" customHeight="1" ht="12.75">
      <c r="A935" s="4"/>
      <c r="B935" s="29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29"/>
      <c r="N935" s="29"/>
      <c r="O935" s="29"/>
      <c r="P935" s="32"/>
      <c r="Q935" s="32"/>
      <c r="R935" s="4"/>
      <c r="S935" s="4"/>
      <c r="T935" s="4"/>
      <c r="U935" s="4"/>
      <c r="V935" s="4"/>
      <c r="W935" s="4"/>
    </row>
    <row x14ac:dyDescent="0.25" r="936" customHeight="1" ht="12.75">
      <c r="A936" s="4"/>
      <c r="B936" s="29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29"/>
      <c r="N936" s="29"/>
      <c r="O936" s="29"/>
      <c r="P936" s="32"/>
      <c r="Q936" s="32"/>
      <c r="R936" s="4"/>
      <c r="S936" s="4"/>
      <c r="T936" s="4"/>
      <c r="U936" s="4"/>
      <c r="V936" s="4"/>
      <c r="W936" s="4"/>
    </row>
    <row x14ac:dyDescent="0.25" r="937" customHeight="1" ht="12.75">
      <c r="A937" s="4"/>
      <c r="B937" s="29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29"/>
      <c r="N937" s="29"/>
      <c r="O937" s="29"/>
      <c r="P937" s="32"/>
      <c r="Q937" s="32"/>
      <c r="R937" s="4"/>
      <c r="S937" s="4"/>
      <c r="T937" s="4"/>
      <c r="U937" s="4"/>
      <c r="V937" s="4"/>
      <c r="W937" s="4"/>
    </row>
    <row x14ac:dyDescent="0.25" r="938" customHeight="1" ht="12.75">
      <c r="A938" s="4"/>
      <c r="B938" s="29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29"/>
      <c r="N938" s="29"/>
      <c r="O938" s="29"/>
      <c r="P938" s="32"/>
      <c r="Q938" s="32"/>
      <c r="R938" s="4"/>
      <c r="S938" s="4"/>
      <c r="T938" s="4"/>
      <c r="U938" s="4"/>
      <c r="V938" s="4"/>
      <c r="W938" s="4"/>
    </row>
    <row x14ac:dyDescent="0.25" r="939" customHeight="1" ht="12.75">
      <c r="A939" s="4"/>
      <c r="B939" s="29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29"/>
      <c r="N939" s="29"/>
      <c r="O939" s="29"/>
      <c r="P939" s="32"/>
      <c r="Q939" s="32"/>
      <c r="R939" s="4"/>
      <c r="S939" s="4"/>
      <c r="T939" s="4"/>
      <c r="U939" s="4"/>
      <c r="V939" s="4"/>
      <c r="W939" s="4"/>
    </row>
    <row x14ac:dyDescent="0.25" r="940" customHeight="1" ht="12.75">
      <c r="A940" s="4"/>
      <c r="B940" s="29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29"/>
      <c r="N940" s="29"/>
      <c r="O940" s="29"/>
      <c r="P940" s="32"/>
      <c r="Q940" s="32"/>
      <c r="R940" s="4"/>
      <c r="S940" s="4"/>
      <c r="T940" s="4"/>
      <c r="U940" s="4"/>
      <c r="V940" s="4"/>
      <c r="W940" s="4"/>
    </row>
    <row x14ac:dyDescent="0.25" r="941" customHeight="1" ht="12.75">
      <c r="A941" s="4"/>
      <c r="B941" s="29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29"/>
      <c r="N941" s="29"/>
      <c r="O941" s="29"/>
      <c r="P941" s="32"/>
      <c r="Q941" s="32"/>
      <c r="R941" s="4"/>
      <c r="S941" s="4"/>
      <c r="T941" s="4"/>
      <c r="U941" s="4"/>
      <c r="V941" s="4"/>
      <c r="W941" s="4"/>
    </row>
    <row x14ac:dyDescent="0.25" r="942" customHeight="1" ht="12.75">
      <c r="A942" s="4"/>
      <c r="B942" s="29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29"/>
      <c r="N942" s="29"/>
      <c r="O942" s="29"/>
      <c r="P942" s="32"/>
      <c r="Q942" s="32"/>
      <c r="R942" s="4"/>
      <c r="S942" s="4"/>
      <c r="T942" s="4"/>
      <c r="U942" s="4"/>
      <c r="V942" s="4"/>
      <c r="W942" s="4"/>
    </row>
    <row x14ac:dyDescent="0.25" r="943" customHeight="1" ht="12.75">
      <c r="A943" s="4"/>
      <c r="B943" s="29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29"/>
      <c r="N943" s="29"/>
      <c r="O943" s="29"/>
      <c r="P943" s="32"/>
      <c r="Q943" s="32"/>
      <c r="R943" s="4"/>
      <c r="S943" s="4"/>
      <c r="T943" s="4"/>
      <c r="U943" s="4"/>
      <c r="V943" s="4"/>
      <c r="W943" s="4"/>
    </row>
    <row x14ac:dyDescent="0.25" r="944" customHeight="1" ht="12.75">
      <c r="A944" s="4"/>
      <c r="B944" s="29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29"/>
      <c r="N944" s="29"/>
      <c r="O944" s="29"/>
      <c r="P944" s="32"/>
      <c r="Q944" s="32"/>
      <c r="R944" s="4"/>
      <c r="S944" s="4"/>
      <c r="T944" s="4"/>
      <c r="U944" s="4"/>
      <c r="V944" s="4"/>
      <c r="W944" s="4"/>
    </row>
    <row x14ac:dyDescent="0.25" r="945" customHeight="1" ht="12.75">
      <c r="A945" s="4"/>
      <c r="B945" s="29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29"/>
      <c r="N945" s="29"/>
      <c r="O945" s="29"/>
      <c r="P945" s="32"/>
      <c r="Q945" s="32"/>
      <c r="R945" s="4"/>
      <c r="S945" s="4"/>
      <c r="T945" s="4"/>
      <c r="U945" s="4"/>
      <c r="V945" s="4"/>
      <c r="W945" s="4"/>
    </row>
    <row x14ac:dyDescent="0.25" r="946" customHeight="1" ht="12.75">
      <c r="A946" s="4"/>
      <c r="B946" s="29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29"/>
      <c r="N946" s="29"/>
      <c r="O946" s="29"/>
      <c r="P946" s="32"/>
      <c r="Q946" s="32"/>
      <c r="R946" s="4"/>
      <c r="S946" s="4"/>
      <c r="T946" s="4"/>
      <c r="U946" s="4"/>
      <c r="V946" s="4"/>
      <c r="W946" s="4"/>
    </row>
    <row x14ac:dyDescent="0.25" r="947" customHeight="1" ht="12.75">
      <c r="A947" s="4"/>
      <c r="B947" s="29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29"/>
      <c r="N947" s="29"/>
      <c r="O947" s="29"/>
      <c r="P947" s="32"/>
      <c r="Q947" s="32"/>
      <c r="R947" s="4"/>
      <c r="S947" s="4"/>
      <c r="T947" s="4"/>
      <c r="U947" s="4"/>
      <c r="V947" s="4"/>
      <c r="W947" s="4"/>
    </row>
    <row x14ac:dyDescent="0.25" r="948" customHeight="1" ht="12.75">
      <c r="A948" s="4"/>
      <c r="B948" s="29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29"/>
      <c r="N948" s="29"/>
      <c r="O948" s="29"/>
      <c r="P948" s="32"/>
      <c r="Q948" s="32"/>
      <c r="R948" s="4"/>
      <c r="S948" s="4"/>
      <c r="T948" s="4"/>
      <c r="U948" s="4"/>
      <c r="V948" s="4"/>
      <c r="W948" s="4"/>
    </row>
    <row x14ac:dyDescent="0.25" r="949" customHeight="1" ht="12.75">
      <c r="A949" s="4"/>
      <c r="B949" s="29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29"/>
      <c r="N949" s="29"/>
      <c r="O949" s="29"/>
      <c r="P949" s="32"/>
      <c r="Q949" s="32"/>
      <c r="R949" s="4"/>
      <c r="S949" s="4"/>
      <c r="T949" s="4"/>
      <c r="U949" s="4"/>
      <c r="V949" s="4"/>
      <c r="W949" s="4"/>
    </row>
    <row x14ac:dyDescent="0.25" r="950" customHeight="1" ht="12.75">
      <c r="A950" s="4"/>
      <c r="B950" s="29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29"/>
      <c r="N950" s="29"/>
      <c r="O950" s="29"/>
      <c r="P950" s="32"/>
      <c r="Q950" s="32"/>
      <c r="R950" s="4"/>
      <c r="S950" s="4"/>
      <c r="T950" s="4"/>
      <c r="U950" s="4"/>
      <c r="V950" s="4"/>
      <c r="W950" s="4"/>
    </row>
    <row x14ac:dyDescent="0.25" r="951" customHeight="1" ht="12.75">
      <c r="A951" s="4"/>
      <c r="B951" s="29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29"/>
      <c r="N951" s="29"/>
      <c r="O951" s="29"/>
      <c r="P951" s="32"/>
      <c r="Q951" s="32"/>
      <c r="R951" s="4"/>
      <c r="S951" s="4"/>
      <c r="T951" s="4"/>
      <c r="U951" s="4"/>
      <c r="V951" s="4"/>
      <c r="W951" s="4"/>
    </row>
    <row x14ac:dyDescent="0.25" r="952" customHeight="1" ht="12.75">
      <c r="A952" s="4"/>
      <c r="B952" s="29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29"/>
      <c r="N952" s="29"/>
      <c r="O952" s="29"/>
      <c r="P952" s="32"/>
      <c r="Q952" s="32"/>
      <c r="R952" s="4"/>
      <c r="S952" s="4"/>
      <c r="T952" s="4"/>
      <c r="U952" s="4"/>
      <c r="V952" s="4"/>
      <c r="W952" s="4"/>
    </row>
    <row x14ac:dyDescent="0.25" r="953" customHeight="1" ht="12.75">
      <c r="A953" s="4"/>
      <c r="B953" s="29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29"/>
      <c r="N953" s="29"/>
      <c r="O953" s="29"/>
      <c r="P953" s="32"/>
      <c r="Q953" s="32"/>
      <c r="R953" s="4"/>
      <c r="S953" s="4"/>
      <c r="T953" s="4"/>
      <c r="U953" s="4"/>
      <c r="V953" s="4"/>
      <c r="W953" s="4"/>
    </row>
    <row x14ac:dyDescent="0.25" r="954" customHeight="1" ht="12.75">
      <c r="A954" s="4"/>
      <c r="B954" s="29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29"/>
      <c r="N954" s="29"/>
      <c r="O954" s="29"/>
      <c r="P954" s="32"/>
      <c r="Q954" s="32"/>
      <c r="R954" s="4"/>
      <c r="S954" s="4"/>
      <c r="T954" s="4"/>
      <c r="U954" s="4"/>
      <c r="V954" s="4"/>
      <c r="W954" s="4"/>
    </row>
    <row x14ac:dyDescent="0.25" r="955" customHeight="1" ht="12.75">
      <c r="A955" s="4"/>
      <c r="B955" s="29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29"/>
      <c r="N955" s="29"/>
      <c r="O955" s="29"/>
      <c r="P955" s="32"/>
      <c r="Q955" s="32"/>
      <c r="R955" s="4"/>
      <c r="S955" s="4"/>
      <c r="T955" s="4"/>
      <c r="U955" s="4"/>
      <c r="V955" s="4"/>
      <c r="W955" s="4"/>
    </row>
    <row x14ac:dyDescent="0.25" r="956" customHeight="1" ht="12.75">
      <c r="A956" s="4"/>
      <c r="B956" s="29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29"/>
      <c r="N956" s="29"/>
      <c r="O956" s="29"/>
      <c r="P956" s="32"/>
      <c r="Q956" s="32"/>
      <c r="R956" s="4"/>
      <c r="S956" s="4"/>
      <c r="T956" s="4"/>
      <c r="U956" s="4"/>
      <c r="V956" s="4"/>
      <c r="W956" s="4"/>
    </row>
    <row x14ac:dyDescent="0.25" r="957" customHeight="1" ht="12.75">
      <c r="A957" s="4"/>
      <c r="B957" s="29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29"/>
      <c r="N957" s="29"/>
      <c r="O957" s="29"/>
      <c r="P957" s="32"/>
      <c r="Q957" s="32"/>
      <c r="R957" s="4"/>
      <c r="S957" s="4"/>
      <c r="T957" s="4"/>
      <c r="U957" s="4"/>
      <c r="V957" s="4"/>
      <c r="W957" s="4"/>
    </row>
    <row x14ac:dyDescent="0.25" r="958" customHeight="1" ht="12.75">
      <c r="A958" s="4"/>
      <c r="B958" s="29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29"/>
      <c r="N958" s="29"/>
      <c r="O958" s="29"/>
      <c r="P958" s="32"/>
      <c r="Q958" s="32"/>
      <c r="R958" s="4"/>
      <c r="S958" s="4"/>
      <c r="T958" s="4"/>
      <c r="U958" s="4"/>
      <c r="V958" s="4"/>
      <c r="W958" s="4"/>
    </row>
    <row x14ac:dyDescent="0.25" r="959" customHeight="1" ht="12.75">
      <c r="A959" s="4"/>
      <c r="B959" s="29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29"/>
      <c r="N959" s="29"/>
      <c r="O959" s="29"/>
      <c r="P959" s="32"/>
      <c r="Q959" s="32"/>
      <c r="R959" s="4"/>
      <c r="S959" s="4"/>
      <c r="T959" s="4"/>
      <c r="U959" s="4"/>
      <c r="V959" s="4"/>
      <c r="W959" s="4"/>
    </row>
    <row x14ac:dyDescent="0.25" r="960" customHeight="1" ht="12.75">
      <c r="A960" s="4"/>
      <c r="B960" s="29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29"/>
      <c r="N960" s="29"/>
      <c r="O960" s="29"/>
      <c r="P960" s="32"/>
      <c r="Q960" s="32"/>
      <c r="R960" s="4"/>
      <c r="S960" s="4"/>
      <c r="T960" s="4"/>
      <c r="U960" s="4"/>
      <c r="V960" s="4"/>
      <c r="W960" s="4"/>
    </row>
    <row x14ac:dyDescent="0.25" r="961" customHeight="1" ht="12.75">
      <c r="A961" s="4"/>
      <c r="B961" s="29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29"/>
      <c r="N961" s="29"/>
      <c r="O961" s="29"/>
      <c r="P961" s="32"/>
      <c r="Q961" s="32"/>
      <c r="R961" s="4"/>
      <c r="S961" s="4"/>
      <c r="T961" s="4"/>
      <c r="U961" s="4"/>
      <c r="V961" s="4"/>
      <c r="W961" s="4"/>
    </row>
    <row x14ac:dyDescent="0.25" r="962" customHeight="1" ht="12.75">
      <c r="A962" s="4"/>
      <c r="B962" s="29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29"/>
      <c r="N962" s="29"/>
      <c r="O962" s="29"/>
      <c r="P962" s="32"/>
      <c r="Q962" s="32"/>
      <c r="R962" s="4"/>
      <c r="S962" s="4"/>
      <c r="T962" s="4"/>
      <c r="U962" s="4"/>
      <c r="V962" s="4"/>
      <c r="W962" s="4"/>
    </row>
    <row x14ac:dyDescent="0.25" r="963" customHeight="1" ht="12.75">
      <c r="A963" s="4"/>
      <c r="B963" s="29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29"/>
      <c r="N963" s="29"/>
      <c r="O963" s="29"/>
      <c r="P963" s="32"/>
      <c r="Q963" s="32"/>
      <c r="R963" s="4"/>
      <c r="S963" s="4"/>
      <c r="T963" s="4"/>
      <c r="U963" s="4"/>
      <c r="V963" s="4"/>
      <c r="W963" s="4"/>
    </row>
    <row x14ac:dyDescent="0.25" r="964" customHeight="1" ht="12.75">
      <c r="A964" s="4"/>
      <c r="B964" s="29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29"/>
      <c r="N964" s="29"/>
      <c r="O964" s="29"/>
      <c r="P964" s="32"/>
      <c r="Q964" s="32"/>
      <c r="R964" s="4"/>
      <c r="S964" s="4"/>
      <c r="T964" s="4"/>
      <c r="U964" s="4"/>
      <c r="V964" s="4"/>
      <c r="W964" s="4"/>
    </row>
    <row x14ac:dyDescent="0.25" r="965" customHeight="1" ht="12.75">
      <c r="A965" s="4"/>
      <c r="B965" s="29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29"/>
      <c r="N965" s="29"/>
      <c r="O965" s="29"/>
      <c r="P965" s="32"/>
      <c r="Q965" s="32"/>
      <c r="R965" s="4"/>
      <c r="S965" s="4"/>
      <c r="T965" s="4"/>
      <c r="U965" s="4"/>
      <c r="V965" s="4"/>
      <c r="W965" s="4"/>
    </row>
    <row x14ac:dyDescent="0.25" r="966" customHeight="1" ht="12.75">
      <c r="A966" s="4"/>
      <c r="B966" s="29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29"/>
      <c r="N966" s="29"/>
      <c r="O966" s="29"/>
      <c r="P966" s="32"/>
      <c r="Q966" s="32"/>
      <c r="R966" s="4"/>
      <c r="S966" s="4"/>
      <c r="T966" s="4"/>
      <c r="U966" s="4"/>
      <c r="V966" s="4"/>
      <c r="W966" s="4"/>
    </row>
    <row x14ac:dyDescent="0.25" r="967" customHeight="1" ht="12.75">
      <c r="A967" s="4"/>
      <c r="B967" s="29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29"/>
      <c r="N967" s="29"/>
      <c r="O967" s="29"/>
      <c r="P967" s="32"/>
      <c r="Q967" s="32"/>
      <c r="R967" s="4"/>
      <c r="S967" s="4"/>
      <c r="T967" s="4"/>
      <c r="U967" s="4"/>
      <c r="V967" s="4"/>
      <c r="W967" s="4"/>
    </row>
    <row x14ac:dyDescent="0.25" r="968" customHeight="1" ht="12.75">
      <c r="A968" s="4"/>
      <c r="B968" s="29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29"/>
      <c r="N968" s="29"/>
      <c r="O968" s="29"/>
      <c r="P968" s="32"/>
      <c r="Q968" s="32"/>
      <c r="R968" s="4"/>
      <c r="S968" s="4"/>
      <c r="T968" s="4"/>
      <c r="U968" s="4"/>
      <c r="V968" s="4"/>
      <c r="W968" s="4"/>
    </row>
    <row x14ac:dyDescent="0.25" r="969" customHeight="1" ht="12.75">
      <c r="A969" s="4"/>
      <c r="B969" s="29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29"/>
      <c r="N969" s="29"/>
      <c r="O969" s="29"/>
      <c r="P969" s="32"/>
      <c r="Q969" s="32"/>
      <c r="R969" s="4"/>
      <c r="S969" s="4"/>
      <c r="T969" s="4"/>
      <c r="U969" s="4"/>
      <c r="V969" s="4"/>
      <c r="W969" s="4"/>
    </row>
    <row x14ac:dyDescent="0.25" r="970" customHeight="1" ht="12.75">
      <c r="A970" s="4"/>
      <c r="B970" s="29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29"/>
      <c r="N970" s="29"/>
      <c r="O970" s="29"/>
      <c r="P970" s="32"/>
      <c r="Q970" s="32"/>
      <c r="R970" s="4"/>
      <c r="S970" s="4"/>
      <c r="T970" s="4"/>
      <c r="U970" s="4"/>
      <c r="V970" s="4"/>
      <c r="W970" s="4"/>
    </row>
    <row x14ac:dyDescent="0.25" r="971" customHeight="1" ht="12.75">
      <c r="A971" s="4"/>
      <c r="B971" s="29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29"/>
      <c r="N971" s="29"/>
      <c r="O971" s="29"/>
      <c r="P971" s="32"/>
      <c r="Q971" s="32"/>
      <c r="R971" s="4"/>
      <c r="S971" s="4"/>
      <c r="T971" s="4"/>
      <c r="U971" s="4"/>
      <c r="V971" s="4"/>
      <c r="W971" s="4"/>
    </row>
    <row x14ac:dyDescent="0.25" r="972" customHeight="1" ht="12.75">
      <c r="A972" s="4"/>
      <c r="B972" s="29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29"/>
      <c r="N972" s="29"/>
      <c r="O972" s="29"/>
      <c r="P972" s="32"/>
      <c r="Q972" s="32"/>
      <c r="R972" s="4"/>
      <c r="S972" s="4"/>
      <c r="T972" s="4"/>
      <c r="U972" s="4"/>
      <c r="V972" s="4"/>
      <c r="W972" s="4"/>
    </row>
    <row x14ac:dyDescent="0.25" r="973" customHeight="1" ht="12.75">
      <c r="A973" s="4"/>
      <c r="B973" s="29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29"/>
      <c r="N973" s="29"/>
      <c r="O973" s="29"/>
      <c r="P973" s="32"/>
      <c r="Q973" s="32"/>
      <c r="R973" s="4"/>
      <c r="S973" s="4"/>
      <c r="T973" s="4"/>
      <c r="U973" s="4"/>
      <c r="V973" s="4"/>
      <c r="W973" s="4"/>
    </row>
    <row x14ac:dyDescent="0.25" r="974" customHeight="1" ht="12.75">
      <c r="A974" s="4"/>
      <c r="B974" s="29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29"/>
      <c r="N974" s="29"/>
      <c r="O974" s="29"/>
      <c r="P974" s="32"/>
      <c r="Q974" s="32"/>
      <c r="R974" s="4"/>
      <c r="S974" s="4"/>
      <c r="T974" s="4"/>
      <c r="U974" s="4"/>
      <c r="V974" s="4"/>
      <c r="W974" s="4"/>
    </row>
    <row x14ac:dyDescent="0.25" r="975" customHeight="1" ht="12.75">
      <c r="A975" s="4"/>
      <c r="B975" s="29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29"/>
      <c r="N975" s="29"/>
      <c r="O975" s="29"/>
      <c r="P975" s="32"/>
      <c r="Q975" s="32"/>
      <c r="R975" s="4"/>
      <c r="S975" s="4"/>
      <c r="T975" s="4"/>
      <c r="U975" s="4"/>
      <c r="V975" s="4"/>
      <c r="W975" s="4"/>
    </row>
    <row x14ac:dyDescent="0.25" r="976" customHeight="1" ht="12.75">
      <c r="A976" s="4"/>
      <c r="B976" s="29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29"/>
      <c r="N976" s="29"/>
      <c r="O976" s="29"/>
      <c r="P976" s="32"/>
      <c r="Q976" s="32"/>
      <c r="R976" s="4"/>
      <c r="S976" s="4"/>
      <c r="T976" s="4"/>
      <c r="U976" s="4"/>
      <c r="V976" s="4"/>
      <c r="W976" s="4"/>
    </row>
    <row x14ac:dyDescent="0.25" r="977" customHeight="1" ht="12.75">
      <c r="A977" s="4"/>
      <c r="B977" s="29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29"/>
      <c r="N977" s="29"/>
      <c r="O977" s="29"/>
      <c r="P977" s="32"/>
      <c r="Q977" s="32"/>
      <c r="R977" s="4"/>
      <c r="S977" s="4"/>
      <c r="T977" s="4"/>
      <c r="U977" s="4"/>
      <c r="V977" s="4"/>
      <c r="W977" s="4"/>
    </row>
    <row x14ac:dyDescent="0.25" r="978" customHeight="1" ht="12.75">
      <c r="A978" s="4"/>
      <c r="B978" s="29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29"/>
      <c r="N978" s="29"/>
      <c r="O978" s="29"/>
      <c r="P978" s="32"/>
      <c r="Q978" s="32"/>
      <c r="R978" s="4"/>
      <c r="S978" s="4"/>
      <c r="T978" s="4"/>
      <c r="U978" s="4"/>
      <c r="V978" s="4"/>
      <c r="W978" s="4"/>
    </row>
    <row x14ac:dyDescent="0.25" r="979" customHeight="1" ht="12.75">
      <c r="A979" s="4"/>
      <c r="B979" s="29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29"/>
      <c r="N979" s="29"/>
      <c r="O979" s="29"/>
      <c r="P979" s="32"/>
      <c r="Q979" s="32"/>
      <c r="R979" s="4"/>
      <c r="S979" s="4"/>
      <c r="T979" s="4"/>
      <c r="U979" s="4"/>
      <c r="V979" s="4"/>
      <c r="W979" s="4"/>
    </row>
    <row x14ac:dyDescent="0.25" r="980" customHeight="1" ht="12.75">
      <c r="A980" s="4"/>
      <c r="B980" s="29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29"/>
      <c r="N980" s="29"/>
      <c r="O980" s="29"/>
      <c r="P980" s="32"/>
      <c r="Q980" s="32"/>
      <c r="R980" s="4"/>
      <c r="S980" s="4"/>
      <c r="T980" s="4"/>
      <c r="U980" s="4"/>
      <c r="V980" s="4"/>
      <c r="W980" s="4"/>
    </row>
    <row x14ac:dyDescent="0.25" r="981" customHeight="1" ht="12.75">
      <c r="A981" s="4"/>
      <c r="B981" s="29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29"/>
      <c r="N981" s="29"/>
      <c r="O981" s="29"/>
      <c r="P981" s="32"/>
      <c r="Q981" s="32"/>
      <c r="R981" s="4"/>
      <c r="S981" s="4"/>
      <c r="T981" s="4"/>
      <c r="U981" s="4"/>
      <c r="V981" s="4"/>
      <c r="W981" s="4"/>
    </row>
    <row x14ac:dyDescent="0.25" r="982" customHeight="1" ht="12.75">
      <c r="A982" s="4"/>
      <c r="B982" s="29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29"/>
      <c r="N982" s="29"/>
      <c r="O982" s="29"/>
      <c r="P982" s="32"/>
      <c r="Q982" s="32"/>
      <c r="R982" s="4"/>
      <c r="S982" s="4"/>
      <c r="T982" s="4"/>
      <c r="U982" s="4"/>
      <c r="V982" s="4"/>
      <c r="W982" s="4"/>
    </row>
    <row x14ac:dyDescent="0.25" r="983" customHeight="1" ht="12.75">
      <c r="A983" s="4"/>
      <c r="B983" s="29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29"/>
      <c r="N983" s="29"/>
      <c r="O983" s="29"/>
      <c r="P983" s="32"/>
      <c r="Q983" s="32"/>
      <c r="R983" s="4"/>
      <c r="S983" s="4"/>
      <c r="T983" s="4"/>
      <c r="U983" s="4"/>
      <c r="V983" s="4"/>
      <c r="W983" s="4"/>
    </row>
    <row x14ac:dyDescent="0.25" r="984" customHeight="1" ht="12.75">
      <c r="A984" s="4"/>
      <c r="B984" s="29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29"/>
      <c r="N984" s="29"/>
      <c r="O984" s="29"/>
      <c r="P984" s="32"/>
      <c r="Q984" s="32"/>
      <c r="R984" s="4"/>
      <c r="S984" s="4"/>
      <c r="T984" s="4"/>
      <c r="U984" s="4"/>
      <c r="V984" s="4"/>
      <c r="W984" s="4"/>
    </row>
    <row x14ac:dyDescent="0.25" r="985" customHeight="1" ht="12.75">
      <c r="A985" s="4"/>
      <c r="B985" s="29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29"/>
      <c r="N985" s="29"/>
      <c r="O985" s="29"/>
      <c r="P985" s="32"/>
      <c r="Q985" s="32"/>
      <c r="R985" s="4"/>
      <c r="S985" s="4"/>
      <c r="T985" s="4"/>
      <c r="U985" s="4"/>
      <c r="V985" s="4"/>
      <c r="W985" s="4"/>
    </row>
    <row x14ac:dyDescent="0.25" r="986" customHeight="1" ht="12.75">
      <c r="A986" s="4"/>
      <c r="B986" s="29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29"/>
      <c r="N986" s="29"/>
      <c r="O986" s="29"/>
      <c r="P986" s="32"/>
      <c r="Q986" s="32"/>
      <c r="R986" s="4"/>
      <c r="S986" s="4"/>
      <c r="T986" s="4"/>
      <c r="U986" s="4"/>
      <c r="V986" s="4"/>
      <c r="W986" s="4"/>
    </row>
    <row x14ac:dyDescent="0.25" r="987" customHeight="1" ht="12.75">
      <c r="A987" s="4"/>
      <c r="B987" s="29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29"/>
      <c r="N987" s="29"/>
      <c r="O987" s="29"/>
      <c r="P987" s="32"/>
      <c r="Q987" s="32"/>
      <c r="R987" s="4"/>
      <c r="S987" s="4"/>
      <c r="T987" s="4"/>
      <c r="U987" s="4"/>
      <c r="V987" s="4"/>
      <c r="W987" s="4"/>
    </row>
    <row x14ac:dyDescent="0.25" r="988" customHeight="1" ht="12.75">
      <c r="A988" s="4"/>
      <c r="B988" s="29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29"/>
      <c r="N988" s="29"/>
      <c r="O988" s="29"/>
      <c r="P988" s="32"/>
      <c r="Q988" s="32"/>
      <c r="R988" s="4"/>
      <c r="S988" s="4"/>
      <c r="T988" s="4"/>
      <c r="U988" s="4"/>
      <c r="V988" s="4"/>
      <c r="W988" s="4"/>
    </row>
    <row x14ac:dyDescent="0.25" r="989" customHeight="1" ht="12.75">
      <c r="A989" s="4"/>
      <c r="B989" s="29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29"/>
      <c r="N989" s="29"/>
      <c r="O989" s="29"/>
      <c r="P989" s="32"/>
      <c r="Q989" s="32"/>
      <c r="R989" s="4"/>
      <c r="S989" s="4"/>
      <c r="T989" s="4"/>
      <c r="U989" s="4"/>
      <c r="V989" s="4"/>
      <c r="W989" s="4"/>
    </row>
    <row x14ac:dyDescent="0.25" r="990" customHeight="1" ht="12.75">
      <c r="A990" s="4"/>
      <c r="B990" s="29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29"/>
      <c r="N990" s="29"/>
      <c r="O990" s="29"/>
      <c r="P990" s="32"/>
      <c r="Q990" s="32"/>
      <c r="R990" s="4"/>
      <c r="S990" s="4"/>
      <c r="T990" s="4"/>
      <c r="U990" s="4"/>
      <c r="V990" s="4"/>
      <c r="W990" s="4"/>
    </row>
    <row x14ac:dyDescent="0.25" r="991" customHeight="1" ht="12.75">
      <c r="A991" s="4"/>
      <c r="B991" s="29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29"/>
      <c r="N991" s="29"/>
      <c r="O991" s="29"/>
      <c r="P991" s="32"/>
      <c r="Q991" s="32"/>
      <c r="R991" s="4"/>
      <c r="S991" s="4"/>
      <c r="T991" s="4"/>
      <c r="U991" s="4"/>
      <c r="V991" s="4"/>
      <c r="W991" s="4"/>
    </row>
    <row x14ac:dyDescent="0.25" r="992" customHeight="1" ht="12.75">
      <c r="A992" s="4"/>
      <c r="B992" s="29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29"/>
      <c r="N992" s="29"/>
      <c r="O992" s="29"/>
      <c r="P992" s="32"/>
      <c r="Q992" s="32"/>
      <c r="R992" s="4"/>
      <c r="S992" s="4"/>
      <c r="T992" s="4"/>
      <c r="U992" s="4"/>
      <c r="V992" s="4"/>
      <c r="W992" s="4"/>
    </row>
    <row x14ac:dyDescent="0.25" r="993" customHeight="1" ht="12.75">
      <c r="A993" s="4"/>
      <c r="B993" s="29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29"/>
      <c r="N993" s="29"/>
      <c r="O993" s="29"/>
      <c r="P993" s="32"/>
      <c r="Q993" s="32"/>
      <c r="R993" s="4"/>
      <c r="S993" s="4"/>
      <c r="T993" s="4"/>
      <c r="U993" s="4"/>
      <c r="V993" s="4"/>
      <c r="W993" s="4"/>
    </row>
    <row x14ac:dyDescent="0.25" r="994" customHeight="1" ht="12.75">
      <c r="A994" s="4"/>
      <c r="B994" s="29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29"/>
      <c r="N994" s="29"/>
      <c r="O994" s="29"/>
      <c r="P994" s="32"/>
      <c r="Q994" s="32"/>
      <c r="R994" s="4"/>
      <c r="S994" s="4"/>
      <c r="T994" s="4"/>
      <c r="U994" s="4"/>
      <c r="V994" s="4"/>
      <c r="W994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98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5.147857142857141" customWidth="1" bestFit="1"/>
    <col min="2" max="2" style="43" width="13.576428571428572" customWidth="1" bestFit="1"/>
    <col min="3" max="3" style="44" width="13.576428571428572" customWidth="1" bestFit="1"/>
    <col min="4" max="4" style="44" width="13.576428571428572" customWidth="1" bestFit="1"/>
    <col min="5" max="5" style="44" width="13.576428571428572" customWidth="1" bestFit="1"/>
    <col min="6" max="6" style="44" width="13.576428571428572" customWidth="1" bestFit="1"/>
    <col min="7" max="7" style="44" width="13.576428571428572" customWidth="1" bestFit="1"/>
    <col min="8" max="8" style="44" width="13.576428571428572" customWidth="1" bestFit="1"/>
    <col min="9" max="9" style="44" width="13.576428571428572" customWidth="1" bestFit="1"/>
    <col min="10" max="10" style="44" width="13.576428571428572" customWidth="1" bestFit="1"/>
    <col min="11" max="11" style="44" width="13.576428571428572" customWidth="1" bestFit="1"/>
    <col min="12" max="12" style="44" width="13.576428571428572" customWidth="1" bestFit="1"/>
    <col min="13" max="13" style="43" width="13.43357142857143" customWidth="1" bestFit="1"/>
    <col min="14" max="14" style="43" width="13.576428571428572" customWidth="1" bestFit="1"/>
    <col min="15" max="15" style="43" width="13.576428571428572" customWidth="1" bestFit="1"/>
    <col min="16" max="16" style="45" width="13.576428571428572" customWidth="1" bestFit="1"/>
    <col min="17" max="17" style="44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</cols>
  <sheetData>
    <row x14ac:dyDescent="0.25" r="1" customHeight="1" ht="14.25">
      <c r="A1" s="10" t="s">
        <v>0</v>
      </c>
      <c r="B1" s="11" t="s">
        <v>13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1" t="s">
        <v>14</v>
      </c>
      <c r="N1" s="11" t="s">
        <v>15</v>
      </c>
      <c r="O1" s="11" t="s">
        <v>16</v>
      </c>
      <c r="P1" s="12" t="s">
        <v>63</v>
      </c>
      <c r="Q1" s="12" t="s">
        <v>64</v>
      </c>
      <c r="R1" s="13" t="s">
        <v>65</v>
      </c>
      <c r="S1" s="14"/>
      <c r="T1" s="4"/>
      <c r="U1" s="4"/>
      <c r="V1" s="4"/>
      <c r="W1" s="4"/>
      <c r="X1" s="4"/>
    </row>
    <row x14ac:dyDescent="0.25" r="2" customHeight="1" ht="14.25">
      <c r="A2" s="15" t="s">
        <v>41</v>
      </c>
      <c r="B2" s="16">
        <f>$D$1:$D$71/$C$1:$C$71</f>
      </c>
      <c r="C2" s="17">
        <v>6</v>
      </c>
      <c r="D2" s="17">
        <v>5</v>
      </c>
      <c r="E2" s="17">
        <v>4</v>
      </c>
      <c r="F2" s="17">
        <v>1</v>
      </c>
      <c r="G2" s="17">
        <v>0</v>
      </c>
      <c r="H2" s="17">
        <v>0</v>
      </c>
      <c r="I2" s="17">
        <v>1</v>
      </c>
      <c r="J2" s="17">
        <v>4</v>
      </c>
      <c r="K2" s="17">
        <v>0</v>
      </c>
      <c r="L2" s="17">
        <v>0</v>
      </c>
      <c r="M2" s="16">
        <f>(($E2:$E9 + 2 * $F2:$F9 + 3 * $G2:$G9 + 4 * $H2:$H9) / $C2:$C9)</f>
      </c>
      <c r="N2" s="16">
        <f>(($D$1:$D$71 + $K$1:$K$71) / ($C$1:$C$71 + $K$1:$K$71))</f>
      </c>
      <c r="O2" s="16">
        <f>(($D$1:$D$60 + $K$1:$K$60) / ($C$1:$C$60 + $K$1:$K$89)) + ((($E$1:$E$101) + (2 * $F$1:$F$101) + (3 * $G$1:$G$101) + (4 * $H$1:$H$101)) / $C$1:$C$60)</f>
      </c>
      <c r="P2" s="17">
        <v>2</v>
      </c>
      <c r="Q2" s="17">
        <v>1</v>
      </c>
      <c r="R2" s="18">
        <f>$Q$1:$Q$83/$P$1:$P$83</f>
      </c>
      <c r="S2" s="14"/>
      <c r="T2" s="4"/>
      <c r="U2" s="4"/>
      <c r="V2" s="4"/>
      <c r="W2" s="4"/>
      <c r="X2" s="4"/>
    </row>
    <row x14ac:dyDescent="0.25" r="3" customHeight="1" ht="14.25">
      <c r="A3" s="23" t="s">
        <v>57</v>
      </c>
      <c r="B3" s="20">
        <f>$D$1:$D$71/$C$1:$C$71</f>
      </c>
      <c r="C3" s="21">
        <v>6</v>
      </c>
      <c r="D3" s="21">
        <v>4</v>
      </c>
      <c r="E3" s="21">
        <v>1</v>
      </c>
      <c r="F3" s="21">
        <v>3</v>
      </c>
      <c r="G3" s="21">
        <v>0</v>
      </c>
      <c r="H3" s="21">
        <v>0</v>
      </c>
      <c r="I3" s="21">
        <v>3</v>
      </c>
      <c r="J3" s="21">
        <v>4</v>
      </c>
      <c r="K3" s="21">
        <v>0</v>
      </c>
      <c r="L3" s="21">
        <v>0</v>
      </c>
      <c r="M3" s="20">
        <f>(($E3:$E9 + 2 * $F3:$F9 + 3 * $G3:$G9 + 4 * $H3:$H9) / $C3:$C9)</f>
      </c>
      <c r="N3" s="20">
        <f>(($D$1:$D$71 + $K$1:$K$71) / ($C$1:$C$71 + $K$1:$K$71))</f>
      </c>
      <c r="O3" s="20">
        <f>(($D$1:$D$60 + $K$1:$K$60) / ($C$1:$C$60 + $K$1:$K$89)) + ((($E$1:$E$101) + (2 * $F$1:$F$101) + (3 * $G$1:$G$101) + (4 * $H$1:$H$101)) / $C$1:$C$60)</f>
      </c>
      <c r="P3" s="21">
        <v>4</v>
      </c>
      <c r="Q3" s="21">
        <v>2</v>
      </c>
      <c r="R3" s="22">
        <f>$Q$1:$Q$83/$P$1:$P$83</f>
      </c>
      <c r="S3" s="14"/>
      <c r="T3" s="4"/>
      <c r="U3" s="4"/>
      <c r="V3" s="4"/>
      <c r="W3" s="4"/>
      <c r="X3" s="4"/>
    </row>
    <row x14ac:dyDescent="0.25" r="4" customHeight="1" ht="14.25">
      <c r="A4" s="15" t="s">
        <v>30</v>
      </c>
      <c r="B4" s="16">
        <f>$D$1:$D$71/$C$1:$C$71</f>
      </c>
      <c r="C4" s="17">
        <v>6</v>
      </c>
      <c r="D4" s="17">
        <v>5</v>
      </c>
      <c r="E4" s="17">
        <v>3</v>
      </c>
      <c r="F4" s="17">
        <v>2</v>
      </c>
      <c r="G4" s="17">
        <v>0</v>
      </c>
      <c r="H4" s="17">
        <v>0</v>
      </c>
      <c r="I4" s="17">
        <v>3</v>
      </c>
      <c r="J4" s="17">
        <v>3</v>
      </c>
      <c r="K4" s="17">
        <v>0</v>
      </c>
      <c r="L4" s="17">
        <v>0</v>
      </c>
      <c r="M4" s="16">
        <f>(($E4:$E9 + 2 * $F4:$F9 + 3 * $G4:$G9 + 4 * $H4:$H9) / $C4:$C9)</f>
      </c>
      <c r="N4" s="16">
        <f>(($D$1:$D$71 + $K$1:$K$71) / ($C$1:$C$71 + $K$1:$K$71))</f>
      </c>
      <c r="O4" s="16">
        <f>(($D$1:$D$60 + $K$1:$K$60) / ($C$1:$C$60 + $K$1:$K$89)) + ((($E$1:$E$101) + (2 * $F$1:$F$101) + (3 * $G$1:$G$101) + (4 * $H$1:$H$101)) / $C$1:$C$60)</f>
      </c>
      <c r="P4" s="17">
        <v>6</v>
      </c>
      <c r="Q4" s="17">
        <v>5</v>
      </c>
      <c r="R4" s="18">
        <f>$Q$1:$Q$83/$P$1:$P$83</f>
      </c>
      <c r="S4" s="14"/>
      <c r="T4" s="4"/>
      <c r="U4" s="4"/>
      <c r="V4" s="4"/>
      <c r="W4" s="4"/>
      <c r="X4" s="4"/>
    </row>
    <row x14ac:dyDescent="0.25" r="5" customHeight="1" ht="14.25">
      <c r="A5" s="19" t="s">
        <v>49</v>
      </c>
      <c r="B5" s="20">
        <f>$D$1:$D$71/$C$1:$C$71</f>
      </c>
      <c r="C5" s="21">
        <v>6</v>
      </c>
      <c r="D5" s="21">
        <v>4</v>
      </c>
      <c r="E5" s="21">
        <v>4</v>
      </c>
      <c r="F5" s="21">
        <v>0</v>
      </c>
      <c r="G5" s="21">
        <v>0</v>
      </c>
      <c r="H5" s="21">
        <v>0</v>
      </c>
      <c r="I5" s="21">
        <v>5</v>
      </c>
      <c r="J5" s="21">
        <v>3</v>
      </c>
      <c r="K5" s="21">
        <v>0</v>
      </c>
      <c r="L5" s="21">
        <v>0</v>
      </c>
      <c r="M5" s="20">
        <f>(($E5:$E10 + 2 * $F5:$F10 + 3 * $G5:$G10 + 4 * $H5:$H10) / $C5:$C10)</f>
      </c>
      <c r="N5" s="20">
        <f>(($D$1:$D$71 + $K$1:$K$71) / ($C$1:$C$71 + $K$1:$K$71))</f>
      </c>
      <c r="O5" s="20">
        <f>(($D$1:$D$60 + $K$1:$K$60) / ($C$1:$C$60 + $K$1:$K$89)) + ((($E$1:$E$101) + (2 * $F$1:$F$101) + (3 * $G$1:$G$101) + (4 * $H$1:$H$101)) / $C$1:$C$60)</f>
      </c>
      <c r="P5" s="21">
        <v>5</v>
      </c>
      <c r="Q5" s="21">
        <v>3</v>
      </c>
      <c r="R5" s="22">
        <f>$Q$1:$Q$83/$P$1:$P$83</f>
      </c>
      <c r="S5" s="14"/>
      <c r="T5" s="4"/>
      <c r="U5" s="4"/>
      <c r="V5" s="4"/>
      <c r="W5" s="4"/>
      <c r="X5" s="4"/>
    </row>
    <row x14ac:dyDescent="0.25" r="6" customHeight="1" ht="14.25">
      <c r="A6" s="15" t="s">
        <v>28</v>
      </c>
      <c r="B6" s="16">
        <f>$D$1:$D$71/$C$1:$C$71</f>
      </c>
      <c r="C6" s="17">
        <v>6</v>
      </c>
      <c r="D6" s="17">
        <v>6</v>
      </c>
      <c r="E6" s="17">
        <v>5</v>
      </c>
      <c r="F6" s="17">
        <v>0</v>
      </c>
      <c r="G6" s="17">
        <v>0</v>
      </c>
      <c r="H6" s="17">
        <v>1</v>
      </c>
      <c r="I6" s="17">
        <v>5</v>
      </c>
      <c r="J6" s="17">
        <v>4</v>
      </c>
      <c r="K6" s="17">
        <v>0</v>
      </c>
      <c r="L6" s="17">
        <v>0</v>
      </c>
      <c r="M6" s="16">
        <f>(($E6:$E10 + 2 * $F6:$F10 + 3 * $G6:$G10 + 4 * $H6:$H10) / $C6:$C10)</f>
      </c>
      <c r="N6" s="16">
        <f>(($D$1:$D$71 + $K$1:$K$71) / ($C$1:$C$71 + $K$1:$K$71))</f>
      </c>
      <c r="O6" s="16">
        <f>(($D$1:$D$60 + $K$1:$K$60) / ($C$1:$C$60 + $K$1:$K$89)) + ((($E$1:$E$101) + (2 * $F$1:$F$101) + (3 * $G$1:$G$101) + (4 * $H$1:$H$101)) / $C$1:$C$60)</f>
      </c>
      <c r="P6" s="17">
        <v>4</v>
      </c>
      <c r="Q6" s="17">
        <v>4</v>
      </c>
      <c r="R6" s="18">
        <f>$Q$1:$Q$83/$P$1:$P$83</f>
      </c>
      <c r="S6" s="14"/>
      <c r="T6" s="4"/>
      <c r="U6" s="4"/>
      <c r="V6" s="4"/>
      <c r="W6" s="4"/>
      <c r="X6" s="4"/>
    </row>
    <row x14ac:dyDescent="0.25" r="7" customHeight="1" ht="12.75">
      <c r="A7" s="19" t="s">
        <v>37</v>
      </c>
      <c r="B7" s="20">
        <f>$D$1:$D$71/$C$1:$C$71</f>
      </c>
      <c r="C7" s="21">
        <v>6</v>
      </c>
      <c r="D7" s="21">
        <v>4</v>
      </c>
      <c r="E7" s="21">
        <v>4</v>
      </c>
      <c r="F7" s="21">
        <v>0</v>
      </c>
      <c r="G7" s="21">
        <v>0</v>
      </c>
      <c r="H7" s="21">
        <v>0</v>
      </c>
      <c r="I7" s="21">
        <v>1</v>
      </c>
      <c r="J7" s="21">
        <v>3</v>
      </c>
      <c r="K7" s="21">
        <v>0</v>
      </c>
      <c r="L7" s="21">
        <v>0</v>
      </c>
      <c r="M7" s="20">
        <f>(($E7:$E10 + 2 * $F7:$F10 + 3 * $G7:$G10 + 4 * $H7:$H10) / $C7:$C10)</f>
      </c>
      <c r="N7" s="20">
        <f>(($D$1:$D$71 + $K$1:$K$71) / ($C$1:$C$71 + $K$1:$K$71))</f>
      </c>
      <c r="O7" s="20">
        <f>(($D$1:$D$60 + $K$1:$K$60) / ($C$1:$C$60 + $K$1:$K$89)) + ((($E$1:$E$101) + (2 * $F$1:$F$101) + (3 * $G$1:$G$101) + (4 * $H$1:$H$101)) / $C$1:$C$60)</f>
      </c>
      <c r="P7" s="21">
        <v>4</v>
      </c>
      <c r="Q7" s="21">
        <v>3</v>
      </c>
      <c r="R7" s="22">
        <f>$Q$1:$Q$83/$P$1:$P$83</f>
      </c>
      <c r="S7" s="4"/>
      <c r="T7" s="4"/>
      <c r="U7" s="4"/>
      <c r="V7" s="4"/>
      <c r="W7" s="4"/>
      <c r="X7" s="4"/>
    </row>
    <row x14ac:dyDescent="0.25" r="8" customHeight="1" ht="12.75">
      <c r="A8" s="15" t="s">
        <v>38</v>
      </c>
      <c r="B8" s="16">
        <f>$D$1:$D$71/$C$1:$C$71</f>
      </c>
      <c r="C8" s="17">
        <v>6</v>
      </c>
      <c r="D8" s="17">
        <v>6</v>
      </c>
      <c r="E8" s="17">
        <v>4</v>
      </c>
      <c r="F8" s="17">
        <v>2</v>
      </c>
      <c r="G8" s="17">
        <v>0</v>
      </c>
      <c r="H8" s="17">
        <v>0</v>
      </c>
      <c r="I8" s="17">
        <v>4</v>
      </c>
      <c r="J8" s="17">
        <v>2</v>
      </c>
      <c r="K8" s="17">
        <v>0</v>
      </c>
      <c r="L8" s="17">
        <v>0</v>
      </c>
      <c r="M8" s="16">
        <f>(($E8:$E9 + 2 * $F8:$F9 + 3 * $G8:$G9 + 4 * $H8:$H9) / $C8:$C9)</f>
      </c>
      <c r="N8" s="16">
        <f>(($D$1:$D$71 + $K$1:$K$71) / ($C$1:$C$71 + $K$1:$K$71))</f>
      </c>
      <c r="O8" s="16">
        <f>(($D$1:$D$60 + $K$1:$K$60) / ($C$1:$C$60 + $K$1:$K$89)) + ((($E$1:$E$101) + (2 * $F$1:$F$101) + (3 * $G$1:$G$101) + (4 * $H$1:$H$101)) / $C$1:$C$60)</f>
      </c>
      <c r="P8" s="17">
        <v>4</v>
      </c>
      <c r="Q8" s="17">
        <v>4</v>
      </c>
      <c r="R8" s="18">
        <f>$Q$1:$Q$83/$P$1:$P$83</f>
      </c>
      <c r="S8" s="4"/>
      <c r="T8" s="4"/>
      <c r="U8" s="4"/>
      <c r="V8" s="4"/>
      <c r="W8" s="4"/>
      <c r="X8" s="4"/>
    </row>
    <row x14ac:dyDescent="0.25" r="9" customHeight="1" ht="12.75">
      <c r="A9" s="19" t="s">
        <v>39</v>
      </c>
      <c r="B9" s="20">
        <f>$D$1:$D$71/$C$1:$C$71</f>
      </c>
      <c r="C9" s="21">
        <v>5</v>
      </c>
      <c r="D9" s="21">
        <v>1</v>
      </c>
      <c r="E9" s="21">
        <v>1</v>
      </c>
      <c r="F9" s="21">
        <v>0</v>
      </c>
      <c r="G9" s="21">
        <v>0</v>
      </c>
      <c r="H9" s="21">
        <v>0</v>
      </c>
      <c r="I9" s="21">
        <v>2</v>
      </c>
      <c r="J9" s="21">
        <v>2</v>
      </c>
      <c r="K9" s="21">
        <v>0</v>
      </c>
      <c r="L9" s="21">
        <v>0</v>
      </c>
      <c r="M9" s="20">
        <f>(($E9:$E10 + 2 * $F9:$F10 + 3 * $G9:$G10 + 4 * $H9:$H10) / $C9:$C10)</f>
      </c>
      <c r="N9" s="20">
        <f>(($D$1:$D$71 + $K$1:$K$71) / ($C$1:$C$71 + $K$1:$K$71))</f>
      </c>
      <c r="O9" s="20">
        <f>(($D$1:$D$60 + $K$1:$K$60) / ($C$1:$C$60 + $K$1:$K$89)) + ((($E$1:$E$101) + (2 * $F$1:$F$101) + (3 * $G$1:$G$101) + (4 * $H$1:$H$101)) / $C$1:$C$60)</f>
      </c>
      <c r="P9" s="21">
        <v>5</v>
      </c>
      <c r="Q9" s="21">
        <v>3</v>
      </c>
      <c r="R9" s="22">
        <f>$Q$1:$Q$83/$P$1:$P$83</f>
      </c>
      <c r="S9" s="4"/>
      <c r="T9" s="4"/>
      <c r="U9" s="4"/>
      <c r="V9" s="4"/>
      <c r="W9" s="4"/>
      <c r="X9" s="4"/>
    </row>
    <row x14ac:dyDescent="0.25" r="10" customHeight="1" ht="12.75">
      <c r="A10" s="15" t="s">
        <v>45</v>
      </c>
      <c r="B10" s="16">
        <f>$D$1:$D$71/$C$1:$C$71</f>
      </c>
      <c r="C10" s="17">
        <v>5</v>
      </c>
      <c r="D10" s="17">
        <v>2</v>
      </c>
      <c r="E10" s="17">
        <v>1</v>
      </c>
      <c r="F10" s="17">
        <v>1</v>
      </c>
      <c r="G10" s="17">
        <v>0</v>
      </c>
      <c r="H10" s="17">
        <v>0</v>
      </c>
      <c r="I10" s="17">
        <v>3</v>
      </c>
      <c r="J10" s="17">
        <v>1</v>
      </c>
      <c r="K10" s="17">
        <v>0</v>
      </c>
      <c r="L10" s="17">
        <v>0</v>
      </c>
      <c r="M10" s="16">
        <f>(($E10:$E11 + 2 * $F10:$F11 + 3 * $G10:$G11 + 4 * $H10:$H11) / $C10:$C11)</f>
      </c>
      <c r="N10" s="16">
        <f>(($D$1:$D$71 + $K$1:$K$71) / ($C$1:$C$71 + $K$1:$K$71))</f>
      </c>
      <c r="O10" s="16">
        <f>(($D$1:$D$60 + $K$1:$K$60) / ($C$1:$C$60 + $K$1:$K$89)) + ((($E$1:$E$101) + (2 * $F$1:$F$101) + (3 * $G$1:$G$101) + (4 * $H$1:$H$101)) / $C$1:$C$60)</f>
      </c>
      <c r="P10" s="17">
        <v>4</v>
      </c>
      <c r="Q10" s="17">
        <v>2</v>
      </c>
      <c r="R10" s="18">
        <f>$Q$1:$Q$83/$P$1:$P$83</f>
      </c>
      <c r="S10" s="4"/>
      <c r="T10" s="4"/>
      <c r="U10" s="4"/>
      <c r="V10" s="4"/>
      <c r="W10" s="4"/>
      <c r="X10" s="4"/>
    </row>
    <row x14ac:dyDescent="0.25" r="11" customHeight="1" ht="12.75">
      <c r="A11" s="46" t="s">
        <v>53</v>
      </c>
      <c r="B11" s="25">
        <f>$D$1:$D$71/$C$1:$C$71</f>
      </c>
      <c r="C11" s="26">
        <v>5</v>
      </c>
      <c r="D11" s="26">
        <v>4</v>
      </c>
      <c r="E11" s="26">
        <v>4</v>
      </c>
      <c r="F11" s="26">
        <v>0</v>
      </c>
      <c r="G11" s="26">
        <v>0</v>
      </c>
      <c r="H11" s="26">
        <v>0</v>
      </c>
      <c r="I11" s="26">
        <v>0</v>
      </c>
      <c r="J11" s="26">
        <v>1</v>
      </c>
      <c r="K11" s="26">
        <v>0</v>
      </c>
      <c r="L11" s="26">
        <v>0</v>
      </c>
      <c r="M11" s="25">
        <f>(($E11 + 2 * $F11 + 3 * $G11 + 4 * $H11) / $C11)</f>
      </c>
      <c r="N11" s="25">
        <f>(($D$1:$D$71 + $K$1:$K$71) / ($C$1:$C$71 + $K$1:$K$71))</f>
      </c>
      <c r="O11" s="25">
        <f>(($D$1:$D$60 + $K$1:$K$60) / ($C$1:$C$60 + $K$1:$K$89)) + ((($E$1:$E$101) + (2 * $F$1:$F$101) + (3 * $G$1:$G$101) + (4 * $H$1:$H$101)) / $C$1:$C$60)</f>
      </c>
      <c r="P11" s="26">
        <v>1</v>
      </c>
      <c r="Q11" s="26">
        <v>0</v>
      </c>
      <c r="R11" s="27">
        <f>$Q$1:$Q$83/$P$1:$P$83</f>
      </c>
      <c r="S11" s="4"/>
      <c r="T11" s="4"/>
      <c r="U11" s="4"/>
      <c r="V11" s="4"/>
      <c r="W11" s="4"/>
      <c r="X11" s="4"/>
    </row>
    <row x14ac:dyDescent="0.25" r="12" customHeight="1" ht="15.75">
      <c r="A12" s="4"/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39"/>
      <c r="N12" s="39"/>
      <c r="O12" s="14"/>
      <c r="P12" s="28"/>
      <c r="Q12" s="28"/>
      <c r="R12" s="14"/>
      <c r="S12" s="14"/>
      <c r="T12" s="4"/>
      <c r="U12" s="4"/>
      <c r="V12" s="4"/>
      <c r="W12" s="4"/>
      <c r="X12" s="4"/>
    </row>
    <row x14ac:dyDescent="0.25" r="13" customHeight="1" ht="14.25">
      <c r="A13" s="4"/>
      <c r="B13" s="39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39"/>
      <c r="N13" s="39"/>
      <c r="O13" s="14"/>
      <c r="P13" s="28"/>
      <c r="Q13" s="28"/>
      <c r="R13" s="14"/>
      <c r="S13" s="14"/>
      <c r="T13" s="4"/>
      <c r="U13" s="4"/>
      <c r="V13" s="4"/>
      <c r="W13" s="4"/>
      <c r="X13" s="4"/>
    </row>
    <row x14ac:dyDescent="0.25" r="14" customHeight="1" ht="15.75">
      <c r="A14" s="14"/>
      <c r="B14" s="14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14"/>
      <c r="N14" s="14"/>
      <c r="O14" s="14"/>
      <c r="P14" s="28"/>
      <c r="Q14" s="28"/>
      <c r="R14" s="14"/>
      <c r="S14" s="14"/>
      <c r="T14" s="14"/>
      <c r="U14" s="14"/>
      <c r="V14" s="14"/>
      <c r="W14" s="14"/>
      <c r="X14" s="14"/>
    </row>
    <row x14ac:dyDescent="0.25" r="15" customHeight="1" ht="14.25">
      <c r="A15" s="14"/>
      <c r="B15" s="14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14"/>
      <c r="N15" s="14"/>
      <c r="O15" s="14"/>
      <c r="P15" s="28"/>
      <c r="Q15" s="28"/>
      <c r="R15" s="14"/>
      <c r="S15" s="14"/>
      <c r="T15" s="14"/>
      <c r="U15" s="14"/>
      <c r="V15" s="14"/>
      <c r="W15" s="14"/>
      <c r="X15" s="14"/>
    </row>
    <row x14ac:dyDescent="0.25" r="16" customHeight="1" ht="14.25">
      <c r="A16" s="14"/>
      <c r="B16" s="14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14"/>
      <c r="N16" s="14"/>
      <c r="O16" s="14"/>
      <c r="P16" s="28"/>
      <c r="Q16" s="28"/>
      <c r="R16" s="14"/>
      <c r="S16" s="14"/>
      <c r="T16" s="14"/>
      <c r="U16" s="14"/>
      <c r="V16" s="14"/>
      <c r="W16" s="14"/>
      <c r="X16" s="14"/>
    </row>
    <row x14ac:dyDescent="0.25" r="17" customHeight="1" ht="14.25">
      <c r="A17" s="14"/>
      <c r="B17" s="14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14"/>
      <c r="N17" s="14"/>
      <c r="O17" s="14"/>
      <c r="P17" s="28"/>
      <c r="Q17" s="28"/>
      <c r="R17" s="14"/>
      <c r="S17" s="14"/>
      <c r="T17" s="14"/>
      <c r="U17" s="14"/>
      <c r="V17" s="14"/>
      <c r="W17" s="14"/>
      <c r="X17" s="14"/>
    </row>
    <row x14ac:dyDescent="0.25" r="18" customHeight="1" ht="14.25">
      <c r="A18" s="14"/>
      <c r="B18" s="14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14"/>
      <c r="N18" s="14"/>
      <c r="O18" s="14"/>
      <c r="P18" s="28"/>
      <c r="Q18" s="28"/>
      <c r="R18" s="14"/>
      <c r="S18" s="14"/>
      <c r="T18" s="14"/>
      <c r="U18" s="14"/>
      <c r="V18" s="14"/>
      <c r="W18" s="14"/>
      <c r="X18" s="14"/>
    </row>
    <row x14ac:dyDescent="0.25" r="19" customHeight="1" ht="14.25">
      <c r="A19" s="14"/>
      <c r="B19" s="14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14"/>
      <c r="N19" s="14"/>
      <c r="O19" s="14"/>
      <c r="P19" s="28"/>
      <c r="Q19" s="28"/>
      <c r="R19" s="14"/>
      <c r="S19" s="14"/>
      <c r="T19" s="14"/>
      <c r="U19" s="14"/>
      <c r="V19" s="14"/>
      <c r="W19" s="14"/>
      <c r="X19" s="14"/>
    </row>
    <row x14ac:dyDescent="0.25" r="20" customHeight="1" ht="14.25">
      <c r="A20" s="14"/>
      <c r="B20" s="14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14"/>
      <c r="N20" s="14"/>
      <c r="O20" s="14"/>
      <c r="P20" s="28"/>
      <c r="Q20" s="28"/>
      <c r="R20" s="14"/>
      <c r="S20" s="14"/>
      <c r="T20" s="14"/>
      <c r="U20" s="14"/>
      <c r="V20" s="14"/>
      <c r="W20" s="14"/>
      <c r="X20" s="14"/>
    </row>
    <row x14ac:dyDescent="0.25" r="21" customHeight="1" ht="14.25">
      <c r="A21" s="14"/>
      <c r="B21" s="14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14"/>
      <c r="N21" s="14"/>
      <c r="O21" s="14"/>
      <c r="P21" s="28"/>
      <c r="Q21" s="28"/>
      <c r="R21" s="14"/>
      <c r="S21" s="14"/>
      <c r="T21" s="14"/>
      <c r="U21" s="14"/>
      <c r="V21" s="14"/>
      <c r="W21" s="14"/>
      <c r="X21" s="14"/>
    </row>
    <row x14ac:dyDescent="0.25" r="22" customHeight="1" ht="14.25">
      <c r="A22" s="14"/>
      <c r="B22" s="14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14"/>
      <c r="N22" s="14"/>
      <c r="O22" s="14"/>
      <c r="P22" s="28"/>
      <c r="Q22" s="28"/>
      <c r="R22" s="14"/>
      <c r="S22" s="14"/>
      <c r="T22" s="14"/>
      <c r="U22" s="14"/>
      <c r="V22" s="14"/>
      <c r="W22" s="14"/>
      <c r="X22" s="14"/>
    </row>
    <row x14ac:dyDescent="0.25" r="23" customHeight="1" ht="14.25">
      <c r="A23" s="14"/>
      <c r="B23" s="14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4"/>
      <c r="N23" s="14"/>
      <c r="O23" s="14"/>
      <c r="P23" s="28"/>
      <c r="Q23" s="28"/>
      <c r="R23" s="14"/>
      <c r="S23" s="14"/>
      <c r="T23" s="14"/>
      <c r="U23" s="14"/>
      <c r="V23" s="14"/>
      <c r="W23" s="14"/>
      <c r="X23" s="14"/>
    </row>
    <row x14ac:dyDescent="0.25" r="24" customHeight="1" ht="17.25">
      <c r="A24" s="14"/>
      <c r="B24" s="14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14"/>
      <c r="N24" s="14"/>
      <c r="O24" s="14"/>
      <c r="P24" s="28"/>
      <c r="Q24" s="28"/>
      <c r="R24" s="14"/>
      <c r="S24" s="14"/>
      <c r="T24" s="14"/>
      <c r="U24" s="14"/>
      <c r="V24" s="14"/>
      <c r="W24" s="14"/>
      <c r="X24" s="14"/>
    </row>
    <row x14ac:dyDescent="0.25" r="25" customHeight="1" ht="14.25">
      <c r="A25" s="14"/>
      <c r="B25" s="14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4"/>
      <c r="N25" s="14"/>
      <c r="O25" s="14"/>
      <c r="P25" s="28"/>
      <c r="Q25" s="28"/>
      <c r="R25" s="14"/>
      <c r="S25" s="14"/>
      <c r="T25" s="14"/>
      <c r="U25" s="14"/>
      <c r="V25" s="14"/>
      <c r="W25" s="14"/>
      <c r="X25" s="14"/>
    </row>
    <row x14ac:dyDescent="0.25" r="26" customHeight="1" ht="14.25">
      <c r="A26" s="14"/>
      <c r="B26" s="14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14"/>
      <c r="N26" s="14"/>
      <c r="O26" s="14"/>
      <c r="P26" s="28"/>
      <c r="Q26" s="28"/>
      <c r="R26" s="14"/>
      <c r="S26" s="14"/>
      <c r="T26" s="14"/>
      <c r="U26" s="14"/>
      <c r="V26" s="14"/>
      <c r="W26" s="14"/>
      <c r="X26" s="14"/>
    </row>
    <row x14ac:dyDescent="0.25" r="27" customHeight="1" ht="14.25">
      <c r="A27" s="14"/>
      <c r="B27" s="14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14"/>
      <c r="N27" s="14"/>
      <c r="O27" s="14"/>
      <c r="P27" s="28"/>
      <c r="Q27" s="28"/>
      <c r="R27" s="14"/>
      <c r="S27" s="14"/>
      <c r="T27" s="14"/>
      <c r="U27" s="14"/>
      <c r="V27" s="14"/>
      <c r="W27" s="14"/>
      <c r="X27" s="14"/>
    </row>
    <row x14ac:dyDescent="0.25" r="28" customHeight="1" ht="14.25">
      <c r="A28" s="14"/>
      <c r="B28" s="14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4"/>
      <c r="N28" s="14"/>
      <c r="O28" s="14"/>
      <c r="P28" s="28"/>
      <c r="Q28" s="28"/>
      <c r="R28" s="14"/>
      <c r="S28" s="14"/>
      <c r="T28" s="14"/>
      <c r="U28" s="14"/>
      <c r="V28" s="14"/>
      <c r="W28" s="14"/>
      <c r="X28" s="14"/>
    </row>
    <row x14ac:dyDescent="0.25" r="29" customHeight="1" ht="14.25">
      <c r="A29" s="14"/>
      <c r="B29" s="14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4"/>
      <c r="N29" s="14"/>
      <c r="O29" s="14"/>
      <c r="P29" s="28"/>
      <c r="Q29" s="28"/>
      <c r="R29" s="14"/>
      <c r="S29" s="14"/>
      <c r="T29" s="14"/>
      <c r="U29" s="14"/>
      <c r="V29" s="14"/>
      <c r="W29" s="14"/>
      <c r="X29" s="14"/>
    </row>
    <row x14ac:dyDescent="0.25" r="30" customHeight="1" ht="14.25">
      <c r="A30" s="14"/>
      <c r="B30" s="14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4"/>
      <c r="N30" s="14"/>
      <c r="O30" s="14"/>
      <c r="P30" s="28"/>
      <c r="Q30" s="28"/>
      <c r="R30" s="14"/>
      <c r="S30" s="14"/>
      <c r="T30" s="14"/>
      <c r="U30" s="14"/>
      <c r="V30" s="14"/>
      <c r="W30" s="14"/>
      <c r="X30" s="14"/>
    </row>
    <row x14ac:dyDescent="0.25" r="31" customHeight="1" ht="14.25">
      <c r="A31" s="14"/>
      <c r="B31" s="14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14"/>
      <c r="N31" s="14"/>
      <c r="O31" s="14"/>
      <c r="P31" s="28"/>
      <c r="Q31" s="28"/>
      <c r="R31" s="14"/>
      <c r="S31" s="14"/>
      <c r="T31" s="14"/>
      <c r="U31" s="14"/>
      <c r="V31" s="14"/>
      <c r="W31" s="14"/>
      <c r="X31" s="14"/>
    </row>
    <row x14ac:dyDescent="0.25" r="32" customHeight="1" ht="15.75">
      <c r="A32" s="14"/>
      <c r="B32" s="14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14"/>
      <c r="N32" s="14"/>
      <c r="O32" s="14"/>
      <c r="P32" s="28"/>
      <c r="Q32" s="28"/>
      <c r="R32" s="14"/>
      <c r="S32" s="14"/>
      <c r="T32" s="14"/>
      <c r="U32" s="14"/>
      <c r="V32" s="14"/>
      <c r="W32" s="14"/>
      <c r="X32" s="14"/>
    </row>
    <row x14ac:dyDescent="0.25" r="33" customHeight="1" ht="14.25">
      <c r="A33" s="14"/>
      <c r="B33" s="14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14"/>
      <c r="N33" s="14"/>
      <c r="O33" s="14"/>
      <c r="P33" s="28"/>
      <c r="Q33" s="28"/>
      <c r="R33" s="14"/>
      <c r="S33" s="14"/>
      <c r="T33" s="14"/>
      <c r="U33" s="14"/>
      <c r="V33" s="14"/>
      <c r="W33" s="14"/>
      <c r="X33" s="14"/>
    </row>
    <row x14ac:dyDescent="0.25" r="34" customHeight="1" ht="15.75">
      <c r="A34" s="14"/>
      <c r="B34" s="14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14"/>
      <c r="N34" s="14"/>
      <c r="O34" s="14"/>
      <c r="P34" s="28"/>
      <c r="Q34" s="28"/>
      <c r="R34" s="14"/>
      <c r="S34" s="14"/>
      <c r="T34" s="14"/>
      <c r="U34" s="14"/>
      <c r="V34" s="14"/>
      <c r="W34" s="14"/>
      <c r="X34" s="14"/>
    </row>
    <row x14ac:dyDescent="0.25" r="35" customHeight="1" ht="18.75">
      <c r="A35" s="4"/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39"/>
      <c r="N35" s="39"/>
      <c r="O35" s="39"/>
      <c r="P35" s="32"/>
      <c r="Q35" s="40"/>
      <c r="R35" s="4"/>
      <c r="S35" s="4"/>
      <c r="T35" s="4"/>
      <c r="U35" s="4"/>
      <c r="V35" s="4"/>
      <c r="W35" s="4"/>
      <c r="X35" s="4"/>
    </row>
    <row x14ac:dyDescent="0.25" r="36" customHeight="1" ht="18.75">
      <c r="A36" s="4"/>
      <c r="B36" s="39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39"/>
      <c r="N36" s="39"/>
      <c r="O36" s="39"/>
      <c r="P36" s="32"/>
      <c r="Q36" s="40"/>
      <c r="R36" s="4"/>
      <c r="S36" s="4"/>
      <c r="T36" s="4"/>
      <c r="U36" s="4"/>
      <c r="V36" s="4"/>
      <c r="W36" s="4"/>
      <c r="X36" s="4"/>
    </row>
    <row x14ac:dyDescent="0.25" r="37" customHeight="1" ht="12.75">
      <c r="A37" s="4"/>
      <c r="B37" s="39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29"/>
      <c r="N37" s="29"/>
      <c r="O37" s="29"/>
      <c r="P37" s="32"/>
      <c r="Q37" s="40"/>
      <c r="R37" s="4"/>
      <c r="S37" s="4"/>
      <c r="T37" s="4"/>
      <c r="U37" s="4"/>
      <c r="V37" s="4"/>
      <c r="W37" s="4"/>
      <c r="X37" s="4"/>
    </row>
    <row x14ac:dyDescent="0.25" r="38" customHeight="1" ht="12.75">
      <c r="A38" s="4"/>
      <c r="B38" s="29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9"/>
      <c r="N38" s="29"/>
      <c r="O38" s="29"/>
      <c r="P38" s="32"/>
      <c r="Q38" s="40"/>
      <c r="R38" s="4"/>
      <c r="S38" s="4"/>
      <c r="T38" s="4"/>
      <c r="U38" s="4"/>
      <c r="V38" s="4"/>
      <c r="W38" s="4"/>
      <c r="X38" s="4"/>
    </row>
    <row x14ac:dyDescent="0.25" r="39" customHeight="1" ht="12.75">
      <c r="A39" s="4"/>
      <c r="B39" s="29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9"/>
      <c r="N39" s="29"/>
      <c r="O39" s="29"/>
      <c r="P39" s="32"/>
      <c r="Q39" s="40"/>
      <c r="R39" s="4"/>
      <c r="S39" s="4"/>
      <c r="T39" s="4"/>
      <c r="U39" s="4"/>
      <c r="V39" s="4"/>
      <c r="W39" s="4"/>
      <c r="X39" s="4"/>
    </row>
    <row x14ac:dyDescent="0.25" r="40" customHeight="1" ht="12.75">
      <c r="A40" s="4"/>
      <c r="B40" s="29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9"/>
      <c r="N40" s="29"/>
      <c r="O40" s="29"/>
      <c r="P40" s="32"/>
      <c r="Q40" s="40"/>
      <c r="R40" s="4"/>
      <c r="S40" s="4"/>
      <c r="T40" s="4"/>
      <c r="U40" s="4"/>
      <c r="V40" s="4"/>
      <c r="W40" s="4"/>
      <c r="X40" s="4"/>
    </row>
    <row x14ac:dyDescent="0.25" r="41" customHeight="1" ht="12.75">
      <c r="A41" s="4"/>
      <c r="B41" s="29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9"/>
      <c r="N41" s="29"/>
      <c r="O41" s="29"/>
      <c r="P41" s="32"/>
      <c r="Q41" s="40"/>
      <c r="R41" s="4"/>
      <c r="S41" s="4"/>
      <c r="T41" s="4"/>
      <c r="U41" s="4"/>
      <c r="V41" s="4"/>
      <c r="W41" s="4"/>
      <c r="X41" s="4"/>
    </row>
    <row x14ac:dyDescent="0.25" r="42" customHeight="1" ht="12.75">
      <c r="A42" s="4"/>
      <c r="B42" s="29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29"/>
      <c r="N42" s="29"/>
      <c r="O42" s="29"/>
      <c r="P42" s="32"/>
      <c r="Q42" s="40"/>
      <c r="R42" s="4"/>
      <c r="S42" s="4"/>
      <c r="T42" s="4"/>
      <c r="U42" s="4"/>
      <c r="V42" s="4"/>
      <c r="W42" s="4"/>
      <c r="X42" s="4"/>
    </row>
    <row x14ac:dyDescent="0.25" r="43" customHeight="1" ht="12.75">
      <c r="A43" s="4"/>
      <c r="B43" s="29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29"/>
      <c r="N43" s="29"/>
      <c r="O43" s="29"/>
      <c r="P43" s="32"/>
      <c r="Q43" s="40"/>
      <c r="R43" s="4"/>
      <c r="S43" s="4"/>
      <c r="T43" s="4"/>
      <c r="U43" s="4"/>
      <c r="V43" s="4"/>
      <c r="W43" s="4"/>
      <c r="X43" s="4"/>
    </row>
    <row x14ac:dyDescent="0.25" r="44" customHeight="1" ht="12.75">
      <c r="A44" s="4"/>
      <c r="B44" s="29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29"/>
      <c r="N44" s="29"/>
      <c r="O44" s="29"/>
      <c r="P44" s="32"/>
      <c r="Q44" s="40"/>
      <c r="R44" s="4"/>
      <c r="S44" s="4"/>
      <c r="T44" s="4"/>
      <c r="U44" s="4"/>
      <c r="V44" s="4"/>
      <c r="W44" s="4"/>
      <c r="X44" s="4"/>
    </row>
    <row x14ac:dyDescent="0.25" r="45" customHeight="1" ht="12.75">
      <c r="A45" s="4"/>
      <c r="B45" s="29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29"/>
      <c r="N45" s="29"/>
      <c r="O45" s="29"/>
      <c r="P45" s="32"/>
      <c r="Q45" s="40"/>
      <c r="R45" s="4"/>
      <c r="S45" s="4"/>
      <c r="T45" s="4"/>
      <c r="U45" s="4"/>
      <c r="V45" s="4"/>
      <c r="W45" s="4"/>
      <c r="X45" s="4"/>
    </row>
    <row x14ac:dyDescent="0.25" r="46" customHeight="1" ht="12.75">
      <c r="A46" s="4"/>
      <c r="B46" s="29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29"/>
      <c r="N46" s="29"/>
      <c r="O46" s="29"/>
      <c r="P46" s="32"/>
      <c r="Q46" s="40"/>
      <c r="R46" s="4"/>
      <c r="S46" s="4"/>
      <c r="T46" s="4"/>
      <c r="U46" s="4"/>
      <c r="V46" s="4"/>
      <c r="W46" s="4"/>
      <c r="X46" s="4"/>
    </row>
    <row x14ac:dyDescent="0.25" r="47" customHeight="1" ht="12.75">
      <c r="A47" s="4"/>
      <c r="B47" s="29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29"/>
      <c r="N47" s="29"/>
      <c r="O47" s="29"/>
      <c r="P47" s="32"/>
      <c r="Q47" s="40"/>
      <c r="R47" s="4"/>
      <c r="S47" s="4"/>
      <c r="T47" s="4"/>
      <c r="U47" s="4"/>
      <c r="V47" s="4"/>
      <c r="W47" s="4"/>
      <c r="X47" s="4"/>
    </row>
    <row x14ac:dyDescent="0.25" r="48" customHeight="1" ht="12.75">
      <c r="A48" s="4"/>
      <c r="B48" s="29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29"/>
      <c r="N48" s="29"/>
      <c r="O48" s="29"/>
      <c r="P48" s="32"/>
      <c r="Q48" s="40"/>
      <c r="R48" s="4"/>
      <c r="S48" s="4"/>
      <c r="T48" s="4"/>
      <c r="U48" s="4"/>
      <c r="V48" s="4"/>
      <c r="W48" s="4"/>
      <c r="X48" s="4"/>
    </row>
    <row x14ac:dyDescent="0.25" r="49" customHeight="1" ht="12.75">
      <c r="A49" s="4"/>
      <c r="B49" s="29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29"/>
      <c r="N49" s="29"/>
      <c r="O49" s="29"/>
      <c r="P49" s="32"/>
      <c r="Q49" s="40"/>
      <c r="R49" s="4"/>
      <c r="S49" s="4"/>
      <c r="T49" s="4"/>
      <c r="U49" s="4"/>
      <c r="V49" s="4"/>
      <c r="W49" s="4"/>
      <c r="X49" s="4"/>
    </row>
    <row x14ac:dyDescent="0.25" r="50" customHeight="1" ht="12.75">
      <c r="A50" s="4"/>
      <c r="B50" s="29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29"/>
      <c r="N50" s="29"/>
      <c r="O50" s="29"/>
      <c r="P50" s="32"/>
      <c r="Q50" s="40"/>
      <c r="R50" s="4"/>
      <c r="S50" s="4"/>
      <c r="T50" s="4"/>
      <c r="U50" s="4"/>
      <c r="V50" s="4"/>
      <c r="W50" s="4"/>
      <c r="X50" s="4"/>
    </row>
    <row x14ac:dyDescent="0.25" r="51" customHeight="1" ht="12.75">
      <c r="A51" s="4"/>
      <c r="B51" s="29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29"/>
      <c r="N51" s="29"/>
      <c r="O51" s="29"/>
      <c r="P51" s="32"/>
      <c r="Q51" s="40"/>
      <c r="R51" s="4"/>
      <c r="S51" s="4"/>
      <c r="T51" s="4"/>
      <c r="U51" s="4"/>
      <c r="V51" s="4"/>
      <c r="W51" s="4"/>
      <c r="X51" s="4"/>
    </row>
    <row x14ac:dyDescent="0.25" r="52" customHeight="1" ht="12.75">
      <c r="A52" s="4"/>
      <c r="B52" s="29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29"/>
      <c r="N52" s="29"/>
      <c r="O52" s="29"/>
      <c r="P52" s="32"/>
      <c r="Q52" s="40"/>
      <c r="R52" s="4"/>
      <c r="S52" s="4"/>
      <c r="T52" s="4"/>
      <c r="U52" s="4"/>
      <c r="V52" s="4"/>
      <c r="W52" s="4"/>
      <c r="X52" s="4"/>
    </row>
    <row x14ac:dyDescent="0.25" r="53" customHeight="1" ht="12.75">
      <c r="A53" s="4"/>
      <c r="B53" s="29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29"/>
      <c r="N53" s="29"/>
      <c r="O53" s="29"/>
      <c r="P53" s="32"/>
      <c r="Q53" s="40"/>
      <c r="R53" s="4"/>
      <c r="S53" s="4"/>
      <c r="T53" s="4"/>
      <c r="U53" s="4"/>
      <c r="V53" s="4"/>
      <c r="W53" s="4"/>
      <c r="X53" s="4"/>
    </row>
    <row x14ac:dyDescent="0.25" r="54" customHeight="1" ht="12.75">
      <c r="A54" s="4"/>
      <c r="B54" s="29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29"/>
      <c r="N54" s="29"/>
      <c r="O54" s="29"/>
      <c r="P54" s="32"/>
      <c r="Q54" s="40"/>
      <c r="R54" s="4"/>
      <c r="S54" s="4"/>
      <c r="T54" s="4"/>
      <c r="U54" s="4"/>
      <c r="V54" s="4"/>
      <c r="W54" s="4"/>
      <c r="X54" s="4"/>
    </row>
    <row x14ac:dyDescent="0.25" r="55" customHeight="1" ht="12.75">
      <c r="A55" s="4"/>
      <c r="B55" s="29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29"/>
      <c r="N55" s="29"/>
      <c r="O55" s="29"/>
      <c r="P55" s="32"/>
      <c r="Q55" s="40"/>
      <c r="R55" s="4"/>
      <c r="S55" s="4"/>
      <c r="T55" s="4"/>
      <c r="U55" s="4"/>
      <c r="V55" s="4"/>
      <c r="W55" s="4"/>
      <c r="X55" s="4"/>
    </row>
    <row x14ac:dyDescent="0.25" r="56" customHeight="1" ht="12.75">
      <c r="A56" s="4"/>
      <c r="B56" s="29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29"/>
      <c r="N56" s="29"/>
      <c r="O56" s="29"/>
      <c r="P56" s="32"/>
      <c r="Q56" s="40"/>
      <c r="R56" s="4"/>
      <c r="S56" s="4"/>
      <c r="T56" s="4"/>
      <c r="U56" s="4"/>
      <c r="V56" s="4"/>
      <c r="W56" s="4"/>
      <c r="X56" s="4"/>
    </row>
    <row x14ac:dyDescent="0.25" r="57" customHeight="1" ht="12.75">
      <c r="A57" s="4"/>
      <c r="B57" s="29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29"/>
      <c r="N57" s="29"/>
      <c r="O57" s="29"/>
      <c r="P57" s="32"/>
      <c r="Q57" s="40"/>
      <c r="R57" s="4"/>
      <c r="S57" s="4"/>
      <c r="T57" s="4"/>
      <c r="U57" s="4"/>
      <c r="V57" s="4"/>
      <c r="W57" s="4"/>
      <c r="X57" s="4"/>
    </row>
    <row x14ac:dyDescent="0.25" r="58" customHeight="1" ht="12.75">
      <c r="A58" s="4"/>
      <c r="B58" s="29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29"/>
      <c r="N58" s="29"/>
      <c r="O58" s="29"/>
      <c r="P58" s="32"/>
      <c r="Q58" s="40"/>
      <c r="R58" s="4"/>
      <c r="S58" s="4"/>
      <c r="T58" s="4"/>
      <c r="U58" s="4"/>
      <c r="V58" s="4"/>
      <c r="W58" s="4"/>
      <c r="X58" s="4"/>
    </row>
    <row x14ac:dyDescent="0.25" r="59" customHeight="1" ht="12.75">
      <c r="A59" s="4"/>
      <c r="B59" s="29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29"/>
      <c r="N59" s="29"/>
      <c r="O59" s="29"/>
      <c r="P59" s="32"/>
      <c r="Q59" s="40"/>
      <c r="R59" s="4"/>
      <c r="S59" s="4"/>
      <c r="T59" s="4"/>
      <c r="U59" s="4"/>
      <c r="V59" s="4"/>
      <c r="W59" s="4"/>
      <c r="X59" s="4"/>
    </row>
    <row x14ac:dyDescent="0.25" r="60" customHeight="1" ht="12.75">
      <c r="A60" s="4"/>
      <c r="B60" s="29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29"/>
      <c r="N60" s="29"/>
      <c r="O60" s="29"/>
      <c r="P60" s="32"/>
      <c r="Q60" s="40"/>
      <c r="R60" s="4"/>
      <c r="S60" s="4"/>
      <c r="T60" s="4"/>
      <c r="U60" s="4"/>
      <c r="V60" s="4"/>
      <c r="W60" s="4"/>
      <c r="X60" s="4"/>
    </row>
    <row x14ac:dyDescent="0.25" r="61" customHeight="1" ht="12.75">
      <c r="A61" s="4"/>
      <c r="B61" s="29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29"/>
      <c r="N61" s="29"/>
      <c r="O61" s="29"/>
      <c r="P61" s="32"/>
      <c r="Q61" s="40"/>
      <c r="R61" s="4"/>
      <c r="S61" s="4"/>
      <c r="T61" s="4"/>
      <c r="U61" s="4"/>
      <c r="V61" s="4"/>
      <c r="W61" s="4"/>
      <c r="X61" s="4"/>
    </row>
    <row x14ac:dyDescent="0.25" r="62" customHeight="1" ht="12.75">
      <c r="A62" s="4"/>
      <c r="B62" s="29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29"/>
      <c r="N62" s="29"/>
      <c r="O62" s="29"/>
      <c r="P62" s="32"/>
      <c r="Q62" s="40"/>
      <c r="R62" s="4"/>
      <c r="S62" s="4"/>
      <c r="T62" s="4"/>
      <c r="U62" s="4"/>
      <c r="V62" s="4"/>
      <c r="W62" s="4"/>
      <c r="X62" s="4"/>
    </row>
    <row x14ac:dyDescent="0.25" r="63" customHeight="1" ht="12.75">
      <c r="A63" s="4"/>
      <c r="B63" s="29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29"/>
      <c r="N63" s="29"/>
      <c r="O63" s="29"/>
      <c r="P63" s="32"/>
      <c r="Q63" s="40"/>
      <c r="R63" s="4"/>
      <c r="S63" s="4"/>
      <c r="T63" s="4"/>
      <c r="U63" s="4"/>
      <c r="V63" s="4"/>
      <c r="W63" s="4"/>
      <c r="X63" s="4"/>
    </row>
    <row x14ac:dyDescent="0.25" r="64" customHeight="1" ht="12.75">
      <c r="A64" s="4"/>
      <c r="B64" s="29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29"/>
      <c r="N64" s="29"/>
      <c r="O64" s="29"/>
      <c r="P64" s="32"/>
      <c r="Q64" s="40"/>
      <c r="R64" s="4"/>
      <c r="S64" s="4"/>
      <c r="T64" s="4"/>
      <c r="U64" s="4"/>
      <c r="V64" s="4"/>
      <c r="W64" s="4"/>
      <c r="X64" s="4"/>
    </row>
    <row x14ac:dyDescent="0.25" r="65" customHeight="1" ht="12.75">
      <c r="A65" s="4"/>
      <c r="B65" s="29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29"/>
      <c r="N65" s="29"/>
      <c r="O65" s="29"/>
      <c r="P65" s="32"/>
      <c r="Q65" s="40"/>
      <c r="R65" s="4"/>
      <c r="S65" s="4"/>
      <c r="T65" s="4"/>
      <c r="U65" s="4"/>
      <c r="V65" s="4"/>
      <c r="W65" s="4"/>
      <c r="X65" s="4"/>
    </row>
    <row x14ac:dyDescent="0.25" r="66" customHeight="1" ht="12.75">
      <c r="A66" s="4"/>
      <c r="B66" s="29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29"/>
      <c r="N66" s="29"/>
      <c r="O66" s="29"/>
      <c r="P66" s="32"/>
      <c r="Q66" s="40"/>
      <c r="R66" s="4"/>
      <c r="S66" s="4"/>
      <c r="T66" s="4"/>
      <c r="U66" s="4"/>
      <c r="V66" s="4"/>
      <c r="W66" s="4"/>
      <c r="X66" s="4"/>
    </row>
    <row x14ac:dyDescent="0.25" r="67" customHeight="1" ht="12.75">
      <c r="A67" s="4"/>
      <c r="B67" s="29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29"/>
      <c r="N67" s="29"/>
      <c r="O67" s="29"/>
      <c r="P67" s="32"/>
      <c r="Q67" s="40"/>
      <c r="R67" s="4"/>
      <c r="S67" s="4"/>
      <c r="T67" s="4"/>
      <c r="U67" s="4"/>
      <c r="V67" s="4"/>
      <c r="W67" s="4"/>
      <c r="X67" s="4"/>
    </row>
    <row x14ac:dyDescent="0.25" r="68" customHeight="1" ht="12.75">
      <c r="A68" s="4"/>
      <c r="B68" s="29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29"/>
      <c r="N68" s="29"/>
      <c r="O68" s="29"/>
      <c r="P68" s="32"/>
      <c r="Q68" s="40"/>
      <c r="R68" s="4"/>
      <c r="S68" s="4"/>
      <c r="T68" s="4"/>
      <c r="U68" s="4"/>
      <c r="V68" s="4"/>
      <c r="W68" s="4"/>
      <c r="X68" s="4"/>
    </row>
    <row x14ac:dyDescent="0.25" r="69" customHeight="1" ht="12.75">
      <c r="A69" s="4"/>
      <c r="B69" s="29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29"/>
      <c r="N69" s="29"/>
      <c r="O69" s="29"/>
      <c r="P69" s="32"/>
      <c r="Q69" s="40"/>
      <c r="R69" s="4"/>
      <c r="S69" s="4"/>
      <c r="T69" s="4"/>
      <c r="U69" s="4"/>
      <c r="V69" s="4"/>
      <c r="W69" s="4"/>
      <c r="X69" s="4"/>
    </row>
    <row x14ac:dyDescent="0.25" r="70" customHeight="1" ht="12.75">
      <c r="A70" s="4"/>
      <c r="B70" s="29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29"/>
      <c r="N70" s="29"/>
      <c r="O70" s="29"/>
      <c r="P70" s="32"/>
      <c r="Q70" s="40"/>
      <c r="R70" s="4"/>
      <c r="S70" s="4"/>
      <c r="T70" s="4"/>
      <c r="U70" s="4"/>
      <c r="V70" s="4"/>
      <c r="W70" s="4"/>
      <c r="X70" s="4"/>
    </row>
    <row x14ac:dyDescent="0.25" r="71" customHeight="1" ht="12.75">
      <c r="A71" s="4"/>
      <c r="B71" s="29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29"/>
      <c r="N71" s="29"/>
      <c r="O71" s="29"/>
      <c r="P71" s="32"/>
      <c r="Q71" s="40"/>
      <c r="R71" s="4"/>
      <c r="S71" s="4"/>
      <c r="T71" s="4"/>
      <c r="U71" s="4"/>
      <c r="V71" s="4"/>
      <c r="W71" s="4"/>
      <c r="X71" s="4"/>
    </row>
    <row x14ac:dyDescent="0.25" r="72" customHeight="1" ht="12.75">
      <c r="A72" s="4"/>
      <c r="B72" s="29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29"/>
      <c r="N72" s="29"/>
      <c r="O72" s="29"/>
      <c r="P72" s="32"/>
      <c r="Q72" s="40"/>
      <c r="R72" s="4"/>
      <c r="S72" s="4"/>
      <c r="T72" s="4"/>
      <c r="U72" s="4"/>
      <c r="V72" s="4"/>
      <c r="W72" s="4"/>
      <c r="X72" s="4"/>
    </row>
    <row x14ac:dyDescent="0.25" r="73" customHeight="1" ht="12.75">
      <c r="A73" s="4"/>
      <c r="B73" s="29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29"/>
      <c r="N73" s="29"/>
      <c r="O73" s="29"/>
      <c r="P73" s="32"/>
      <c r="Q73" s="40"/>
      <c r="R73" s="4"/>
      <c r="S73" s="4"/>
      <c r="T73" s="4"/>
      <c r="U73" s="4"/>
      <c r="V73" s="4"/>
      <c r="W73" s="4"/>
      <c r="X73" s="4"/>
    </row>
    <row x14ac:dyDescent="0.25" r="74" customHeight="1" ht="12.75">
      <c r="A74" s="4"/>
      <c r="B74" s="29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29"/>
      <c r="N74" s="29"/>
      <c r="O74" s="29"/>
      <c r="P74" s="32"/>
      <c r="Q74" s="40"/>
      <c r="R74" s="4"/>
      <c r="S74" s="4"/>
      <c r="T74" s="4"/>
      <c r="U74" s="4"/>
      <c r="V74" s="4"/>
      <c r="W74" s="4"/>
      <c r="X74" s="4"/>
    </row>
    <row x14ac:dyDescent="0.25" r="75" customHeight="1" ht="12.75">
      <c r="A75" s="4"/>
      <c r="B75" s="29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29"/>
      <c r="N75" s="29"/>
      <c r="O75" s="29"/>
      <c r="P75" s="32"/>
      <c r="Q75" s="40"/>
      <c r="R75" s="4"/>
      <c r="S75" s="4"/>
      <c r="T75" s="4"/>
      <c r="U75" s="4"/>
      <c r="V75" s="4"/>
      <c r="W75" s="4"/>
      <c r="X75" s="4"/>
    </row>
    <row x14ac:dyDescent="0.25" r="76" customHeight="1" ht="12.75">
      <c r="A76" s="4"/>
      <c r="B76" s="29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29"/>
      <c r="N76" s="29"/>
      <c r="O76" s="29"/>
      <c r="P76" s="32"/>
      <c r="Q76" s="40"/>
      <c r="R76" s="4"/>
      <c r="S76" s="4"/>
      <c r="T76" s="4"/>
      <c r="U76" s="4"/>
      <c r="V76" s="4"/>
      <c r="W76" s="4"/>
      <c r="X76" s="4"/>
    </row>
    <row x14ac:dyDescent="0.25" r="77" customHeight="1" ht="12.75">
      <c r="A77" s="4"/>
      <c r="B77" s="29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29"/>
      <c r="N77" s="29"/>
      <c r="O77" s="29"/>
      <c r="P77" s="32"/>
      <c r="Q77" s="40"/>
      <c r="R77" s="4"/>
      <c r="S77" s="4"/>
      <c r="T77" s="4"/>
      <c r="U77" s="4"/>
      <c r="V77" s="4"/>
      <c r="W77" s="4"/>
      <c r="X77" s="4"/>
    </row>
    <row x14ac:dyDescent="0.25" r="78" customHeight="1" ht="12.75">
      <c r="A78" s="4"/>
      <c r="B78" s="29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29"/>
      <c r="N78" s="29"/>
      <c r="O78" s="29"/>
      <c r="P78" s="32"/>
      <c r="Q78" s="40"/>
      <c r="R78" s="4"/>
      <c r="S78" s="4"/>
      <c r="T78" s="4"/>
      <c r="U78" s="4"/>
      <c r="V78" s="4"/>
      <c r="W78" s="4"/>
      <c r="X78" s="4"/>
    </row>
    <row x14ac:dyDescent="0.25" r="79" customHeight="1" ht="12.75">
      <c r="A79" s="4"/>
      <c r="B79" s="29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29"/>
      <c r="N79" s="29"/>
      <c r="O79" s="29"/>
      <c r="P79" s="32"/>
      <c r="Q79" s="40"/>
      <c r="R79" s="4"/>
      <c r="S79" s="4"/>
      <c r="T79" s="4"/>
      <c r="U79" s="4"/>
      <c r="V79" s="4"/>
      <c r="W79" s="4"/>
      <c r="X79" s="4"/>
    </row>
    <row x14ac:dyDescent="0.25" r="80" customHeight="1" ht="12.75">
      <c r="A80" s="4"/>
      <c r="B80" s="29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29"/>
      <c r="N80" s="29"/>
      <c r="O80" s="29"/>
      <c r="P80" s="32"/>
      <c r="Q80" s="40"/>
      <c r="R80" s="4"/>
      <c r="S80" s="4"/>
      <c r="T80" s="4"/>
      <c r="U80" s="4"/>
      <c r="V80" s="4"/>
      <c r="W80" s="4"/>
      <c r="X80" s="4"/>
    </row>
    <row x14ac:dyDescent="0.25" r="81" customHeight="1" ht="12.75">
      <c r="A81" s="4"/>
      <c r="B81" s="29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29"/>
      <c r="N81" s="29"/>
      <c r="O81" s="29"/>
      <c r="P81" s="32"/>
      <c r="Q81" s="40"/>
      <c r="R81" s="4"/>
      <c r="S81" s="4"/>
      <c r="T81" s="4"/>
      <c r="U81" s="4"/>
      <c r="V81" s="4"/>
      <c r="W81" s="4"/>
      <c r="X81" s="4"/>
    </row>
    <row x14ac:dyDescent="0.25" r="82" customHeight="1" ht="12.75">
      <c r="A82" s="4"/>
      <c r="B82" s="29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29"/>
      <c r="N82" s="29"/>
      <c r="O82" s="29"/>
      <c r="P82" s="32"/>
      <c r="Q82" s="40"/>
      <c r="R82" s="4"/>
      <c r="S82" s="4"/>
      <c r="T82" s="4"/>
      <c r="U82" s="4"/>
      <c r="V82" s="4"/>
      <c r="W82" s="4"/>
      <c r="X82" s="4"/>
    </row>
    <row x14ac:dyDescent="0.25" r="83" customHeight="1" ht="12.75">
      <c r="A83" s="4"/>
      <c r="B83" s="29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29"/>
      <c r="N83" s="29"/>
      <c r="O83" s="29"/>
      <c r="P83" s="32"/>
      <c r="Q83" s="40"/>
      <c r="R83" s="4"/>
      <c r="S83" s="4"/>
      <c r="T83" s="4"/>
      <c r="U83" s="4"/>
      <c r="V83" s="4"/>
      <c r="W83" s="4"/>
      <c r="X83" s="4"/>
    </row>
    <row x14ac:dyDescent="0.25" r="84" customHeight="1" ht="12.75">
      <c r="A84" s="4"/>
      <c r="B84" s="29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29"/>
      <c r="N84" s="29"/>
      <c r="O84" s="29"/>
      <c r="P84" s="32"/>
      <c r="Q84" s="40"/>
      <c r="R84" s="4"/>
      <c r="S84" s="4"/>
      <c r="T84" s="4"/>
      <c r="U84" s="4"/>
      <c r="V84" s="4"/>
      <c r="W84" s="4"/>
      <c r="X84" s="4"/>
    </row>
    <row x14ac:dyDescent="0.25" r="85" customHeight="1" ht="12.75">
      <c r="A85" s="4"/>
      <c r="B85" s="29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29"/>
      <c r="N85" s="29"/>
      <c r="O85" s="29"/>
      <c r="P85" s="32"/>
      <c r="Q85" s="40"/>
      <c r="R85" s="4"/>
      <c r="S85" s="4"/>
      <c r="T85" s="4"/>
      <c r="U85" s="4"/>
      <c r="V85" s="4"/>
      <c r="W85" s="4"/>
      <c r="X85" s="4"/>
    </row>
    <row x14ac:dyDescent="0.25" r="86" customHeight="1" ht="12.75">
      <c r="A86" s="4"/>
      <c r="B86" s="29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29"/>
      <c r="N86" s="29"/>
      <c r="O86" s="29"/>
      <c r="P86" s="32"/>
      <c r="Q86" s="40"/>
      <c r="R86" s="4"/>
      <c r="S86" s="4"/>
      <c r="T86" s="4"/>
      <c r="U86" s="4"/>
      <c r="V86" s="4"/>
      <c r="W86" s="4"/>
      <c r="X86" s="4"/>
    </row>
    <row x14ac:dyDescent="0.25" r="87" customHeight="1" ht="12.75">
      <c r="A87" s="4"/>
      <c r="B87" s="29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29"/>
      <c r="N87" s="29"/>
      <c r="O87" s="29"/>
      <c r="P87" s="32"/>
      <c r="Q87" s="40"/>
      <c r="R87" s="4"/>
      <c r="S87" s="4"/>
      <c r="T87" s="4"/>
      <c r="U87" s="4"/>
      <c r="V87" s="4"/>
      <c r="W87" s="4"/>
      <c r="X87" s="4"/>
    </row>
    <row x14ac:dyDescent="0.25" r="88" customHeight="1" ht="12.75">
      <c r="A88" s="4"/>
      <c r="B88" s="29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29"/>
      <c r="N88" s="29"/>
      <c r="O88" s="29"/>
      <c r="P88" s="32"/>
      <c r="Q88" s="40"/>
      <c r="R88" s="4"/>
      <c r="S88" s="4"/>
      <c r="T88" s="4"/>
      <c r="U88" s="4"/>
      <c r="V88" s="4"/>
      <c r="W88" s="4"/>
      <c r="X88" s="4"/>
    </row>
    <row x14ac:dyDescent="0.25" r="89" customHeight="1" ht="12.75">
      <c r="A89" s="4"/>
      <c r="B89" s="29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29"/>
      <c r="N89" s="29"/>
      <c r="O89" s="29"/>
      <c r="P89" s="32"/>
      <c r="Q89" s="40"/>
      <c r="R89" s="4"/>
      <c r="S89" s="4"/>
      <c r="T89" s="4"/>
      <c r="U89" s="4"/>
      <c r="V89" s="4"/>
      <c r="W89" s="4"/>
      <c r="X89" s="4"/>
    </row>
    <row x14ac:dyDescent="0.25" r="90" customHeight="1" ht="12.75">
      <c r="A90" s="4"/>
      <c r="B90" s="29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29"/>
      <c r="N90" s="29"/>
      <c r="O90" s="29"/>
      <c r="P90" s="32"/>
      <c r="Q90" s="40"/>
      <c r="R90" s="4"/>
      <c r="S90" s="4"/>
      <c r="T90" s="4"/>
      <c r="U90" s="4"/>
      <c r="V90" s="4"/>
      <c r="W90" s="4"/>
      <c r="X90" s="4"/>
    </row>
    <row x14ac:dyDescent="0.25" r="91" customHeight="1" ht="12.75">
      <c r="A91" s="4"/>
      <c r="B91" s="29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29"/>
      <c r="N91" s="29"/>
      <c r="O91" s="29"/>
      <c r="P91" s="32"/>
      <c r="Q91" s="40"/>
      <c r="R91" s="4"/>
      <c r="S91" s="4"/>
      <c r="T91" s="4"/>
      <c r="U91" s="4"/>
      <c r="V91" s="4"/>
      <c r="W91" s="4"/>
      <c r="X91" s="4"/>
    </row>
    <row x14ac:dyDescent="0.25" r="92" customHeight="1" ht="12.75">
      <c r="A92" s="4"/>
      <c r="B92" s="29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29"/>
      <c r="N92" s="29"/>
      <c r="O92" s="29"/>
      <c r="P92" s="32"/>
      <c r="Q92" s="40"/>
      <c r="R92" s="4"/>
      <c r="S92" s="4"/>
      <c r="T92" s="4"/>
      <c r="U92" s="4"/>
      <c r="V92" s="4"/>
      <c r="W92" s="4"/>
      <c r="X92" s="4"/>
    </row>
    <row x14ac:dyDescent="0.25" r="93" customHeight="1" ht="12.75">
      <c r="A93" s="4"/>
      <c r="B93" s="29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29"/>
      <c r="N93" s="29"/>
      <c r="O93" s="29"/>
      <c r="P93" s="32"/>
      <c r="Q93" s="40"/>
      <c r="R93" s="4"/>
      <c r="S93" s="4"/>
      <c r="T93" s="4"/>
      <c r="U93" s="4"/>
      <c r="V93" s="4"/>
      <c r="W93" s="4"/>
      <c r="X93" s="4"/>
    </row>
    <row x14ac:dyDescent="0.25" r="94" customHeight="1" ht="12.75">
      <c r="A94" s="4"/>
      <c r="B94" s="29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29"/>
      <c r="N94" s="29"/>
      <c r="O94" s="29"/>
      <c r="P94" s="32"/>
      <c r="Q94" s="40"/>
      <c r="R94" s="4"/>
      <c r="S94" s="4"/>
      <c r="T94" s="4"/>
      <c r="U94" s="4"/>
      <c r="V94" s="4"/>
      <c r="W94" s="4"/>
      <c r="X94" s="4"/>
    </row>
    <row x14ac:dyDescent="0.25" r="95" customHeight="1" ht="12.75">
      <c r="A95" s="4"/>
      <c r="B95" s="29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29"/>
      <c r="N95" s="29"/>
      <c r="O95" s="29"/>
      <c r="P95" s="32"/>
      <c r="Q95" s="40"/>
      <c r="R95" s="4"/>
      <c r="S95" s="4"/>
      <c r="T95" s="4"/>
      <c r="U95" s="4"/>
      <c r="V95" s="4"/>
      <c r="W95" s="4"/>
      <c r="X95" s="4"/>
    </row>
    <row x14ac:dyDescent="0.25" r="96" customHeight="1" ht="12.75">
      <c r="A96" s="4"/>
      <c r="B96" s="29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29"/>
      <c r="N96" s="29"/>
      <c r="O96" s="29"/>
      <c r="P96" s="32"/>
      <c r="Q96" s="40"/>
      <c r="R96" s="4"/>
      <c r="S96" s="4"/>
      <c r="T96" s="4"/>
      <c r="U96" s="4"/>
      <c r="V96" s="4"/>
      <c r="W96" s="4"/>
      <c r="X96" s="4"/>
    </row>
    <row x14ac:dyDescent="0.25" r="97" customHeight="1" ht="12.75">
      <c r="A97" s="4"/>
      <c r="B97" s="29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29"/>
      <c r="N97" s="29"/>
      <c r="O97" s="29"/>
      <c r="P97" s="32"/>
      <c r="Q97" s="40"/>
      <c r="R97" s="4"/>
      <c r="S97" s="4"/>
      <c r="T97" s="4"/>
      <c r="U97" s="4"/>
      <c r="V97" s="4"/>
      <c r="W97" s="4"/>
      <c r="X97" s="4"/>
    </row>
    <row x14ac:dyDescent="0.25" r="98" customHeight="1" ht="12.75">
      <c r="A98" s="4"/>
      <c r="B98" s="29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29"/>
      <c r="N98" s="29"/>
      <c r="O98" s="29"/>
      <c r="P98" s="32"/>
      <c r="Q98" s="40"/>
      <c r="R98" s="4"/>
      <c r="S98" s="4"/>
      <c r="T98" s="4"/>
      <c r="U98" s="4"/>
      <c r="V98" s="4"/>
      <c r="W98" s="4"/>
      <c r="X98" s="4"/>
    </row>
    <row x14ac:dyDescent="0.25" r="99" customHeight="1" ht="12.75">
      <c r="A99" s="4"/>
      <c r="B99" s="29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29"/>
      <c r="N99" s="29"/>
      <c r="O99" s="29"/>
      <c r="P99" s="32"/>
      <c r="Q99" s="40"/>
      <c r="R99" s="4"/>
      <c r="S99" s="4"/>
      <c r="T99" s="4"/>
      <c r="U99" s="4"/>
      <c r="V99" s="4"/>
      <c r="W99" s="4"/>
      <c r="X99" s="4"/>
    </row>
    <row x14ac:dyDescent="0.25" r="100" customHeight="1" ht="12.75">
      <c r="A100" s="4"/>
      <c r="B100" s="29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29"/>
      <c r="N100" s="29"/>
      <c r="O100" s="29"/>
      <c r="P100" s="32"/>
      <c r="Q100" s="40"/>
      <c r="R100" s="4"/>
      <c r="S100" s="4"/>
      <c r="T100" s="4"/>
      <c r="U100" s="4"/>
      <c r="V100" s="4"/>
      <c r="W100" s="4"/>
      <c r="X100" s="4"/>
    </row>
    <row x14ac:dyDescent="0.25" r="101" customHeight="1" ht="12.75">
      <c r="A101" s="4"/>
      <c r="B101" s="29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29"/>
      <c r="N101" s="29"/>
      <c r="O101" s="29"/>
      <c r="P101" s="32"/>
      <c r="Q101" s="40"/>
      <c r="R101" s="4"/>
      <c r="S101" s="4"/>
      <c r="T101" s="4"/>
      <c r="U101" s="4"/>
      <c r="V101" s="4"/>
      <c r="W101" s="4"/>
      <c r="X101" s="4"/>
    </row>
    <row x14ac:dyDescent="0.25" r="102" customHeight="1" ht="12.75">
      <c r="A102" s="4"/>
      <c r="B102" s="29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29"/>
      <c r="N102" s="29"/>
      <c r="O102" s="29"/>
      <c r="P102" s="32"/>
      <c r="Q102" s="40"/>
      <c r="R102" s="4"/>
      <c r="S102" s="4"/>
      <c r="T102" s="4"/>
      <c r="U102" s="4"/>
      <c r="V102" s="4"/>
      <c r="W102" s="4"/>
      <c r="X102" s="4"/>
    </row>
    <row x14ac:dyDescent="0.25" r="103" customHeight="1" ht="12.75">
      <c r="A103" s="4"/>
      <c r="B103" s="29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29"/>
      <c r="N103" s="29"/>
      <c r="O103" s="29"/>
      <c r="P103" s="32"/>
      <c r="Q103" s="40"/>
      <c r="R103" s="4"/>
      <c r="S103" s="4"/>
      <c r="T103" s="4"/>
      <c r="U103" s="4"/>
      <c r="V103" s="4"/>
      <c r="W103" s="4"/>
      <c r="X103" s="4"/>
    </row>
    <row x14ac:dyDescent="0.25" r="104" customHeight="1" ht="12.75">
      <c r="A104" s="4"/>
      <c r="B104" s="29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29"/>
      <c r="N104" s="29"/>
      <c r="O104" s="29"/>
      <c r="P104" s="32"/>
      <c r="Q104" s="40"/>
      <c r="R104" s="4"/>
      <c r="S104" s="4"/>
      <c r="T104" s="4"/>
      <c r="U104" s="4"/>
      <c r="V104" s="4"/>
      <c r="W104" s="4"/>
      <c r="X104" s="4"/>
    </row>
    <row x14ac:dyDescent="0.25" r="105" customHeight="1" ht="12.75">
      <c r="A105" s="4"/>
      <c r="B105" s="29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29"/>
      <c r="N105" s="29"/>
      <c r="O105" s="29"/>
      <c r="P105" s="32"/>
      <c r="Q105" s="40"/>
      <c r="R105" s="4"/>
      <c r="S105" s="4"/>
      <c r="T105" s="4"/>
      <c r="U105" s="4"/>
      <c r="V105" s="4"/>
      <c r="W105" s="4"/>
      <c r="X105" s="4"/>
    </row>
    <row x14ac:dyDescent="0.25" r="106" customHeight="1" ht="12.75">
      <c r="A106" s="4"/>
      <c r="B106" s="29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29"/>
      <c r="N106" s="29"/>
      <c r="O106" s="29"/>
      <c r="P106" s="32"/>
      <c r="Q106" s="40"/>
      <c r="R106" s="4"/>
      <c r="S106" s="4"/>
      <c r="T106" s="4"/>
      <c r="U106" s="4"/>
      <c r="V106" s="4"/>
      <c r="W106" s="4"/>
      <c r="X106" s="4"/>
    </row>
    <row x14ac:dyDescent="0.25" r="107" customHeight="1" ht="12.75">
      <c r="A107" s="4"/>
      <c r="B107" s="29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29"/>
      <c r="N107" s="29"/>
      <c r="O107" s="29"/>
      <c r="P107" s="32"/>
      <c r="Q107" s="40"/>
      <c r="R107" s="4"/>
      <c r="S107" s="4"/>
      <c r="T107" s="4"/>
      <c r="U107" s="4"/>
      <c r="V107" s="4"/>
      <c r="W107" s="4"/>
      <c r="X107" s="4"/>
    </row>
    <row x14ac:dyDescent="0.25" r="108" customHeight="1" ht="12.75">
      <c r="A108" s="4"/>
      <c r="B108" s="29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29"/>
      <c r="N108" s="29"/>
      <c r="O108" s="29"/>
      <c r="P108" s="32"/>
      <c r="Q108" s="40"/>
      <c r="R108" s="4"/>
      <c r="S108" s="4"/>
      <c r="T108" s="4"/>
      <c r="U108" s="4"/>
      <c r="V108" s="4"/>
      <c r="W108" s="4"/>
      <c r="X108" s="4"/>
    </row>
    <row x14ac:dyDescent="0.25" r="109" customHeight="1" ht="12.75">
      <c r="A109" s="4"/>
      <c r="B109" s="29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29"/>
      <c r="N109" s="29"/>
      <c r="O109" s="29"/>
      <c r="P109" s="32"/>
      <c r="Q109" s="40"/>
      <c r="R109" s="4"/>
      <c r="S109" s="4"/>
      <c r="T109" s="4"/>
      <c r="U109" s="4"/>
      <c r="V109" s="4"/>
      <c r="W109" s="4"/>
      <c r="X109" s="4"/>
    </row>
    <row x14ac:dyDescent="0.25" r="110" customHeight="1" ht="12.75">
      <c r="A110" s="4"/>
      <c r="B110" s="29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29"/>
      <c r="N110" s="29"/>
      <c r="O110" s="29"/>
      <c r="P110" s="32"/>
      <c r="Q110" s="40"/>
      <c r="R110" s="4"/>
      <c r="S110" s="4"/>
      <c r="T110" s="4"/>
      <c r="U110" s="4"/>
      <c r="V110" s="4"/>
      <c r="W110" s="4"/>
      <c r="X110" s="4"/>
    </row>
    <row x14ac:dyDescent="0.25" r="111" customHeight="1" ht="12.75">
      <c r="A111" s="4"/>
      <c r="B111" s="29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29"/>
      <c r="N111" s="29"/>
      <c r="O111" s="29"/>
      <c r="P111" s="32"/>
      <c r="Q111" s="40"/>
      <c r="R111" s="4"/>
      <c r="S111" s="4"/>
      <c r="T111" s="4"/>
      <c r="U111" s="4"/>
      <c r="V111" s="4"/>
      <c r="W111" s="4"/>
      <c r="X111" s="4"/>
    </row>
    <row x14ac:dyDescent="0.25" r="112" customHeight="1" ht="12.75">
      <c r="A112" s="4"/>
      <c r="B112" s="29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29"/>
      <c r="N112" s="29"/>
      <c r="O112" s="29"/>
      <c r="P112" s="32"/>
      <c r="Q112" s="40"/>
      <c r="R112" s="4"/>
      <c r="S112" s="4"/>
      <c r="T112" s="4"/>
      <c r="U112" s="4"/>
      <c r="V112" s="4"/>
      <c r="W112" s="4"/>
      <c r="X112" s="4"/>
    </row>
    <row x14ac:dyDescent="0.25" r="113" customHeight="1" ht="12.75">
      <c r="A113" s="4"/>
      <c r="B113" s="29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29"/>
      <c r="N113" s="29"/>
      <c r="O113" s="29"/>
      <c r="P113" s="32"/>
      <c r="Q113" s="40"/>
      <c r="R113" s="4"/>
      <c r="S113" s="4"/>
      <c r="T113" s="4"/>
      <c r="U113" s="4"/>
      <c r="V113" s="4"/>
      <c r="W113" s="4"/>
      <c r="X113" s="4"/>
    </row>
    <row x14ac:dyDescent="0.25" r="114" customHeight="1" ht="12.75">
      <c r="A114" s="4"/>
      <c r="B114" s="29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29"/>
      <c r="N114" s="29"/>
      <c r="O114" s="29"/>
      <c r="P114" s="32"/>
      <c r="Q114" s="40"/>
      <c r="R114" s="4"/>
      <c r="S114" s="4"/>
      <c r="T114" s="4"/>
      <c r="U114" s="4"/>
      <c r="V114" s="4"/>
      <c r="W114" s="4"/>
      <c r="X114" s="4"/>
    </row>
    <row x14ac:dyDescent="0.25" r="115" customHeight="1" ht="12.75">
      <c r="A115" s="4"/>
      <c r="B115" s="29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29"/>
      <c r="N115" s="29"/>
      <c r="O115" s="29"/>
      <c r="P115" s="32"/>
      <c r="Q115" s="40"/>
      <c r="R115" s="4"/>
      <c r="S115" s="4"/>
      <c r="T115" s="4"/>
      <c r="U115" s="4"/>
      <c r="V115" s="4"/>
      <c r="W115" s="4"/>
      <c r="X115" s="4"/>
    </row>
    <row x14ac:dyDescent="0.25" r="116" customHeight="1" ht="12.75">
      <c r="A116" s="4"/>
      <c r="B116" s="29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29"/>
      <c r="N116" s="29"/>
      <c r="O116" s="29"/>
      <c r="P116" s="32"/>
      <c r="Q116" s="40"/>
      <c r="R116" s="4"/>
      <c r="S116" s="4"/>
      <c r="T116" s="4"/>
      <c r="U116" s="4"/>
      <c r="V116" s="4"/>
      <c r="W116" s="4"/>
      <c r="X116" s="4"/>
    </row>
    <row x14ac:dyDescent="0.25" r="117" customHeight="1" ht="12.75">
      <c r="A117" s="4"/>
      <c r="B117" s="29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29"/>
      <c r="N117" s="29"/>
      <c r="O117" s="29"/>
      <c r="P117" s="32"/>
      <c r="Q117" s="40"/>
      <c r="R117" s="4"/>
      <c r="S117" s="4"/>
      <c r="T117" s="4"/>
      <c r="U117" s="4"/>
      <c r="V117" s="4"/>
      <c r="W117" s="4"/>
      <c r="X117" s="4"/>
    </row>
    <row x14ac:dyDescent="0.25" r="118" customHeight="1" ht="12.75">
      <c r="A118" s="4"/>
      <c r="B118" s="29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29"/>
      <c r="N118" s="29"/>
      <c r="O118" s="29"/>
      <c r="P118" s="32"/>
      <c r="Q118" s="40"/>
      <c r="R118" s="4"/>
      <c r="S118" s="4"/>
      <c r="T118" s="4"/>
      <c r="U118" s="4"/>
      <c r="V118" s="4"/>
      <c r="W118" s="4"/>
      <c r="X118" s="4"/>
    </row>
    <row x14ac:dyDescent="0.25" r="119" customHeight="1" ht="12.75">
      <c r="A119" s="4"/>
      <c r="B119" s="29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29"/>
      <c r="N119" s="29"/>
      <c r="O119" s="29"/>
      <c r="P119" s="32"/>
      <c r="Q119" s="40"/>
      <c r="R119" s="4"/>
      <c r="S119" s="4"/>
      <c r="T119" s="4"/>
      <c r="U119" s="4"/>
      <c r="V119" s="4"/>
      <c r="W119" s="4"/>
      <c r="X119" s="4"/>
    </row>
    <row x14ac:dyDescent="0.25" r="120" customHeight="1" ht="12.75">
      <c r="A120" s="4"/>
      <c r="B120" s="29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29"/>
      <c r="N120" s="29"/>
      <c r="O120" s="29"/>
      <c r="P120" s="32"/>
      <c r="Q120" s="40"/>
      <c r="R120" s="4"/>
      <c r="S120" s="4"/>
      <c r="T120" s="4"/>
      <c r="U120" s="4"/>
      <c r="V120" s="4"/>
      <c r="W120" s="4"/>
      <c r="X120" s="4"/>
    </row>
    <row x14ac:dyDescent="0.25" r="121" customHeight="1" ht="12.75">
      <c r="A121" s="4"/>
      <c r="B121" s="29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29"/>
      <c r="N121" s="29"/>
      <c r="O121" s="29"/>
      <c r="P121" s="32"/>
      <c r="Q121" s="40"/>
      <c r="R121" s="4"/>
      <c r="S121" s="4"/>
      <c r="T121" s="4"/>
      <c r="U121" s="4"/>
      <c r="V121" s="4"/>
      <c r="W121" s="4"/>
      <c r="X121" s="4"/>
    </row>
    <row x14ac:dyDescent="0.25" r="122" customHeight="1" ht="12.75">
      <c r="A122" s="4"/>
      <c r="B122" s="29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29"/>
      <c r="N122" s="29"/>
      <c r="O122" s="29"/>
      <c r="P122" s="32"/>
      <c r="Q122" s="40"/>
      <c r="R122" s="4"/>
      <c r="S122" s="4"/>
      <c r="T122" s="4"/>
      <c r="U122" s="4"/>
      <c r="V122" s="4"/>
      <c r="W122" s="4"/>
      <c r="X122" s="4"/>
    </row>
    <row x14ac:dyDescent="0.25" r="123" customHeight="1" ht="12.75">
      <c r="A123" s="4"/>
      <c r="B123" s="29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29"/>
      <c r="N123" s="29"/>
      <c r="O123" s="29"/>
      <c r="P123" s="32"/>
      <c r="Q123" s="40"/>
      <c r="R123" s="4"/>
      <c r="S123" s="4"/>
      <c r="T123" s="4"/>
      <c r="U123" s="4"/>
      <c r="V123" s="4"/>
      <c r="W123" s="4"/>
      <c r="X123" s="4"/>
    </row>
    <row x14ac:dyDescent="0.25" r="124" customHeight="1" ht="12.75">
      <c r="A124" s="4"/>
      <c r="B124" s="29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29"/>
      <c r="N124" s="29"/>
      <c r="O124" s="29"/>
      <c r="P124" s="32"/>
      <c r="Q124" s="40"/>
      <c r="R124" s="4"/>
      <c r="S124" s="4"/>
      <c r="T124" s="4"/>
      <c r="U124" s="4"/>
      <c r="V124" s="4"/>
      <c r="W124" s="4"/>
      <c r="X124" s="4"/>
    </row>
    <row x14ac:dyDescent="0.25" r="125" customHeight="1" ht="12.75">
      <c r="A125" s="4"/>
      <c r="B125" s="29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29"/>
      <c r="N125" s="29"/>
      <c r="O125" s="29"/>
      <c r="P125" s="32"/>
      <c r="Q125" s="40"/>
      <c r="R125" s="4"/>
      <c r="S125" s="4"/>
      <c r="T125" s="4"/>
      <c r="U125" s="4"/>
      <c r="V125" s="4"/>
      <c r="W125" s="4"/>
      <c r="X125" s="4"/>
    </row>
    <row x14ac:dyDescent="0.25" r="126" customHeight="1" ht="12.75">
      <c r="A126" s="4"/>
      <c r="B126" s="29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29"/>
      <c r="N126" s="29"/>
      <c r="O126" s="29"/>
      <c r="P126" s="32"/>
      <c r="Q126" s="40"/>
      <c r="R126" s="4"/>
      <c r="S126" s="4"/>
      <c r="T126" s="4"/>
      <c r="U126" s="4"/>
      <c r="V126" s="4"/>
      <c r="W126" s="4"/>
      <c r="X126" s="4"/>
    </row>
    <row x14ac:dyDescent="0.25" r="127" customHeight="1" ht="12.75">
      <c r="A127" s="4"/>
      <c r="B127" s="29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29"/>
      <c r="N127" s="29"/>
      <c r="O127" s="29"/>
      <c r="P127" s="32"/>
      <c r="Q127" s="40"/>
      <c r="R127" s="4"/>
      <c r="S127" s="4"/>
      <c r="T127" s="4"/>
      <c r="U127" s="4"/>
      <c r="V127" s="4"/>
      <c r="W127" s="4"/>
      <c r="X127" s="4"/>
    </row>
    <row x14ac:dyDescent="0.25" r="128" customHeight="1" ht="12.75">
      <c r="A128" s="4"/>
      <c r="B128" s="29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29"/>
      <c r="N128" s="29"/>
      <c r="O128" s="29"/>
      <c r="P128" s="32"/>
      <c r="Q128" s="40"/>
      <c r="R128" s="4"/>
      <c r="S128" s="4"/>
      <c r="T128" s="4"/>
      <c r="U128" s="4"/>
      <c r="V128" s="4"/>
      <c r="W128" s="4"/>
      <c r="X128" s="4"/>
    </row>
    <row x14ac:dyDescent="0.25" r="129" customHeight="1" ht="12.75">
      <c r="A129" s="4"/>
      <c r="B129" s="29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29"/>
      <c r="N129" s="29"/>
      <c r="O129" s="29"/>
      <c r="P129" s="32"/>
      <c r="Q129" s="40"/>
      <c r="R129" s="4"/>
      <c r="S129" s="4"/>
      <c r="T129" s="4"/>
      <c r="U129" s="4"/>
      <c r="V129" s="4"/>
      <c r="W129" s="4"/>
      <c r="X129" s="4"/>
    </row>
    <row x14ac:dyDescent="0.25" r="130" customHeight="1" ht="12.75">
      <c r="A130" s="4"/>
      <c r="B130" s="29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29"/>
      <c r="N130" s="29"/>
      <c r="O130" s="29"/>
      <c r="P130" s="32"/>
      <c r="Q130" s="40"/>
      <c r="R130" s="4"/>
      <c r="S130" s="4"/>
      <c r="T130" s="4"/>
      <c r="U130" s="4"/>
      <c r="V130" s="4"/>
      <c r="W130" s="4"/>
      <c r="X130" s="4"/>
    </row>
    <row x14ac:dyDescent="0.25" r="131" customHeight="1" ht="12.75">
      <c r="A131" s="4"/>
      <c r="B131" s="29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29"/>
      <c r="N131" s="29"/>
      <c r="O131" s="29"/>
      <c r="P131" s="32"/>
      <c r="Q131" s="40"/>
      <c r="R131" s="4"/>
      <c r="S131" s="4"/>
      <c r="T131" s="4"/>
      <c r="U131" s="4"/>
      <c r="V131" s="4"/>
      <c r="W131" s="4"/>
      <c r="X131" s="4"/>
    </row>
    <row x14ac:dyDescent="0.25" r="132" customHeight="1" ht="12.75">
      <c r="A132" s="4"/>
      <c r="B132" s="29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29"/>
      <c r="N132" s="29"/>
      <c r="O132" s="29"/>
      <c r="P132" s="32"/>
      <c r="Q132" s="40"/>
      <c r="R132" s="4"/>
      <c r="S132" s="4"/>
      <c r="T132" s="4"/>
      <c r="U132" s="4"/>
      <c r="V132" s="4"/>
      <c r="W132" s="4"/>
      <c r="X132" s="4"/>
    </row>
    <row x14ac:dyDescent="0.25" r="133" customHeight="1" ht="12.75">
      <c r="A133" s="4"/>
      <c r="B133" s="29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29"/>
      <c r="N133" s="29"/>
      <c r="O133" s="29"/>
      <c r="P133" s="32"/>
      <c r="Q133" s="40"/>
      <c r="R133" s="4"/>
      <c r="S133" s="4"/>
      <c r="T133" s="4"/>
      <c r="U133" s="4"/>
      <c r="V133" s="4"/>
      <c r="W133" s="4"/>
      <c r="X133" s="4"/>
    </row>
    <row x14ac:dyDescent="0.25" r="134" customHeight="1" ht="12.75">
      <c r="A134" s="4"/>
      <c r="B134" s="29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29"/>
      <c r="N134" s="29"/>
      <c r="O134" s="29"/>
      <c r="P134" s="32"/>
      <c r="Q134" s="40"/>
      <c r="R134" s="4"/>
      <c r="S134" s="4"/>
      <c r="T134" s="4"/>
      <c r="U134" s="4"/>
      <c r="V134" s="4"/>
      <c r="W134" s="4"/>
      <c r="X134" s="4"/>
    </row>
    <row x14ac:dyDescent="0.25" r="135" customHeight="1" ht="12.75">
      <c r="A135" s="4"/>
      <c r="B135" s="29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29"/>
      <c r="N135" s="29"/>
      <c r="O135" s="29"/>
      <c r="P135" s="32"/>
      <c r="Q135" s="40"/>
      <c r="R135" s="4"/>
      <c r="S135" s="4"/>
      <c r="T135" s="4"/>
      <c r="U135" s="4"/>
      <c r="V135" s="4"/>
      <c r="W135" s="4"/>
      <c r="X135" s="4"/>
    </row>
    <row x14ac:dyDescent="0.25" r="136" customHeight="1" ht="12.75">
      <c r="A136" s="4"/>
      <c r="B136" s="29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29"/>
      <c r="N136" s="29"/>
      <c r="O136" s="29"/>
      <c r="P136" s="32"/>
      <c r="Q136" s="40"/>
      <c r="R136" s="4"/>
      <c r="S136" s="4"/>
      <c r="T136" s="4"/>
      <c r="U136" s="4"/>
      <c r="V136" s="4"/>
      <c r="W136" s="4"/>
      <c r="X136" s="4"/>
    </row>
    <row x14ac:dyDescent="0.25" r="137" customHeight="1" ht="12.75">
      <c r="A137" s="4"/>
      <c r="B137" s="29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29"/>
      <c r="N137" s="29"/>
      <c r="O137" s="29"/>
      <c r="P137" s="32"/>
      <c r="Q137" s="40"/>
      <c r="R137" s="4"/>
      <c r="S137" s="4"/>
      <c r="T137" s="4"/>
      <c r="U137" s="4"/>
      <c r="V137" s="4"/>
      <c r="W137" s="4"/>
      <c r="X137" s="4"/>
    </row>
    <row x14ac:dyDescent="0.25" r="138" customHeight="1" ht="12.75">
      <c r="A138" s="4"/>
      <c r="B138" s="29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29"/>
      <c r="N138" s="29"/>
      <c r="O138" s="29"/>
      <c r="P138" s="32"/>
      <c r="Q138" s="40"/>
      <c r="R138" s="4"/>
      <c r="S138" s="4"/>
      <c r="T138" s="4"/>
      <c r="U138" s="4"/>
      <c r="V138" s="4"/>
      <c r="W138" s="4"/>
      <c r="X138" s="4"/>
    </row>
    <row x14ac:dyDescent="0.25" r="139" customHeight="1" ht="12.75">
      <c r="A139" s="4"/>
      <c r="B139" s="29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29"/>
      <c r="N139" s="29"/>
      <c r="O139" s="29"/>
      <c r="P139" s="32"/>
      <c r="Q139" s="40"/>
      <c r="R139" s="4"/>
      <c r="S139" s="4"/>
      <c r="T139" s="4"/>
      <c r="U139" s="4"/>
      <c r="V139" s="4"/>
      <c r="W139" s="4"/>
      <c r="X139" s="4"/>
    </row>
    <row x14ac:dyDescent="0.25" r="140" customHeight="1" ht="12.75">
      <c r="A140" s="4"/>
      <c r="B140" s="29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29"/>
      <c r="N140" s="29"/>
      <c r="O140" s="29"/>
      <c r="P140" s="32"/>
      <c r="Q140" s="40"/>
      <c r="R140" s="4"/>
      <c r="S140" s="4"/>
      <c r="T140" s="4"/>
      <c r="U140" s="4"/>
      <c r="V140" s="4"/>
      <c r="W140" s="4"/>
      <c r="X140" s="4"/>
    </row>
    <row x14ac:dyDescent="0.25" r="141" customHeight="1" ht="12.75">
      <c r="A141" s="4"/>
      <c r="B141" s="29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29"/>
      <c r="N141" s="29"/>
      <c r="O141" s="29"/>
      <c r="P141" s="32"/>
      <c r="Q141" s="40"/>
      <c r="R141" s="4"/>
      <c r="S141" s="4"/>
      <c r="T141" s="4"/>
      <c r="U141" s="4"/>
      <c r="V141" s="4"/>
      <c r="W141" s="4"/>
      <c r="X141" s="4"/>
    </row>
    <row x14ac:dyDescent="0.25" r="142" customHeight="1" ht="12.75">
      <c r="A142" s="4"/>
      <c r="B142" s="29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29"/>
      <c r="N142" s="29"/>
      <c r="O142" s="29"/>
      <c r="P142" s="32"/>
      <c r="Q142" s="40"/>
      <c r="R142" s="4"/>
      <c r="S142" s="4"/>
      <c r="T142" s="4"/>
      <c r="U142" s="4"/>
      <c r="V142" s="4"/>
      <c r="W142" s="4"/>
      <c r="X142" s="4"/>
    </row>
    <row x14ac:dyDescent="0.25" r="143" customHeight="1" ht="12.75">
      <c r="A143" s="4"/>
      <c r="B143" s="29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29"/>
      <c r="N143" s="29"/>
      <c r="O143" s="29"/>
      <c r="P143" s="32"/>
      <c r="Q143" s="40"/>
      <c r="R143" s="4"/>
      <c r="S143" s="4"/>
      <c r="T143" s="4"/>
      <c r="U143" s="4"/>
      <c r="V143" s="4"/>
      <c r="W143" s="4"/>
      <c r="X143" s="4"/>
    </row>
    <row x14ac:dyDescent="0.25" r="144" customHeight="1" ht="12.75">
      <c r="A144" s="4"/>
      <c r="B144" s="29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29"/>
      <c r="N144" s="29"/>
      <c r="O144" s="29"/>
      <c r="P144" s="32"/>
      <c r="Q144" s="40"/>
      <c r="R144" s="4"/>
      <c r="S144" s="4"/>
      <c r="T144" s="4"/>
      <c r="U144" s="4"/>
      <c r="V144" s="4"/>
      <c r="W144" s="4"/>
      <c r="X144" s="4"/>
    </row>
    <row x14ac:dyDescent="0.25" r="145" customHeight="1" ht="12.75">
      <c r="A145" s="4"/>
      <c r="B145" s="29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29"/>
      <c r="N145" s="29"/>
      <c r="O145" s="29"/>
      <c r="P145" s="32"/>
      <c r="Q145" s="40"/>
      <c r="R145" s="4"/>
      <c r="S145" s="4"/>
      <c r="T145" s="4"/>
      <c r="U145" s="4"/>
      <c r="V145" s="4"/>
      <c r="W145" s="4"/>
      <c r="X145" s="4"/>
    </row>
    <row x14ac:dyDescent="0.25" r="146" customHeight="1" ht="12.75">
      <c r="A146" s="4"/>
      <c r="B146" s="29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29"/>
      <c r="N146" s="29"/>
      <c r="O146" s="29"/>
      <c r="P146" s="32"/>
      <c r="Q146" s="40"/>
      <c r="R146" s="4"/>
      <c r="S146" s="4"/>
      <c r="T146" s="4"/>
      <c r="U146" s="4"/>
      <c r="V146" s="4"/>
      <c r="W146" s="4"/>
      <c r="X146" s="4"/>
    </row>
    <row x14ac:dyDescent="0.25" r="147" customHeight="1" ht="12.75">
      <c r="A147" s="4"/>
      <c r="B147" s="29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29"/>
      <c r="N147" s="29"/>
      <c r="O147" s="29"/>
      <c r="P147" s="32"/>
      <c r="Q147" s="40"/>
      <c r="R147" s="4"/>
      <c r="S147" s="4"/>
      <c r="T147" s="4"/>
      <c r="U147" s="4"/>
      <c r="V147" s="4"/>
      <c r="W147" s="4"/>
      <c r="X147" s="4"/>
    </row>
    <row x14ac:dyDescent="0.25" r="148" customHeight="1" ht="12.75">
      <c r="A148" s="4"/>
      <c r="B148" s="29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29"/>
      <c r="N148" s="29"/>
      <c r="O148" s="29"/>
      <c r="P148" s="32"/>
      <c r="Q148" s="40"/>
      <c r="R148" s="4"/>
      <c r="S148" s="4"/>
      <c r="T148" s="4"/>
      <c r="U148" s="4"/>
      <c r="V148" s="4"/>
      <c r="W148" s="4"/>
      <c r="X148" s="4"/>
    </row>
    <row x14ac:dyDescent="0.25" r="149" customHeight="1" ht="12.75">
      <c r="A149" s="4"/>
      <c r="B149" s="29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29"/>
      <c r="N149" s="29"/>
      <c r="O149" s="29"/>
      <c r="P149" s="32"/>
      <c r="Q149" s="40"/>
      <c r="R149" s="4"/>
      <c r="S149" s="4"/>
      <c r="T149" s="4"/>
      <c r="U149" s="4"/>
      <c r="V149" s="4"/>
      <c r="W149" s="4"/>
      <c r="X149" s="4"/>
    </row>
    <row x14ac:dyDescent="0.25" r="150" customHeight="1" ht="12.75">
      <c r="A150" s="4"/>
      <c r="B150" s="29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29"/>
      <c r="N150" s="29"/>
      <c r="O150" s="29"/>
      <c r="P150" s="32"/>
      <c r="Q150" s="40"/>
      <c r="R150" s="4"/>
      <c r="S150" s="4"/>
      <c r="T150" s="4"/>
      <c r="U150" s="4"/>
      <c r="V150" s="4"/>
      <c r="W150" s="4"/>
      <c r="X150" s="4"/>
    </row>
    <row x14ac:dyDescent="0.25" r="151" customHeight="1" ht="12.75">
      <c r="A151" s="4"/>
      <c r="B151" s="29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29"/>
      <c r="N151" s="29"/>
      <c r="O151" s="29"/>
      <c r="P151" s="32"/>
      <c r="Q151" s="40"/>
      <c r="R151" s="4"/>
      <c r="S151" s="4"/>
      <c r="T151" s="4"/>
      <c r="U151" s="4"/>
      <c r="V151" s="4"/>
      <c r="W151" s="4"/>
      <c r="X151" s="4"/>
    </row>
    <row x14ac:dyDescent="0.25" r="152" customHeight="1" ht="12.75">
      <c r="A152" s="4"/>
      <c r="B152" s="29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29"/>
      <c r="N152" s="29"/>
      <c r="O152" s="29"/>
      <c r="P152" s="32"/>
      <c r="Q152" s="40"/>
      <c r="R152" s="4"/>
      <c r="S152" s="4"/>
      <c r="T152" s="4"/>
      <c r="U152" s="4"/>
      <c r="V152" s="4"/>
      <c r="W152" s="4"/>
      <c r="X152" s="4"/>
    </row>
    <row x14ac:dyDescent="0.25" r="153" customHeight="1" ht="12.75">
      <c r="A153" s="4"/>
      <c r="B153" s="29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29"/>
      <c r="N153" s="29"/>
      <c r="O153" s="29"/>
      <c r="P153" s="32"/>
      <c r="Q153" s="40"/>
      <c r="R153" s="4"/>
      <c r="S153" s="4"/>
      <c r="T153" s="4"/>
      <c r="U153" s="4"/>
      <c r="V153" s="4"/>
      <c r="W153" s="4"/>
      <c r="X153" s="4"/>
    </row>
    <row x14ac:dyDescent="0.25" r="154" customHeight="1" ht="12.75">
      <c r="A154" s="4"/>
      <c r="B154" s="29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29"/>
      <c r="N154" s="29"/>
      <c r="O154" s="29"/>
      <c r="P154" s="32"/>
      <c r="Q154" s="40"/>
      <c r="R154" s="4"/>
      <c r="S154" s="4"/>
      <c r="T154" s="4"/>
      <c r="U154" s="4"/>
      <c r="V154" s="4"/>
      <c r="W154" s="4"/>
      <c r="X154" s="4"/>
    </row>
    <row x14ac:dyDescent="0.25" r="155" customHeight="1" ht="12.75">
      <c r="A155" s="4"/>
      <c r="B155" s="29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29"/>
      <c r="N155" s="29"/>
      <c r="O155" s="29"/>
      <c r="P155" s="32"/>
      <c r="Q155" s="40"/>
      <c r="R155" s="4"/>
      <c r="S155" s="4"/>
      <c r="T155" s="4"/>
      <c r="U155" s="4"/>
      <c r="V155" s="4"/>
      <c r="W155" s="4"/>
      <c r="X155" s="4"/>
    </row>
    <row x14ac:dyDescent="0.25" r="156" customHeight="1" ht="12.75">
      <c r="A156" s="4"/>
      <c r="B156" s="29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29"/>
      <c r="N156" s="29"/>
      <c r="O156" s="29"/>
      <c r="P156" s="32"/>
      <c r="Q156" s="40"/>
      <c r="R156" s="4"/>
      <c r="S156" s="4"/>
      <c r="T156" s="4"/>
      <c r="U156" s="4"/>
      <c r="V156" s="4"/>
      <c r="W156" s="4"/>
      <c r="X156" s="4"/>
    </row>
    <row x14ac:dyDescent="0.25" r="157" customHeight="1" ht="12.75">
      <c r="A157" s="4"/>
      <c r="B157" s="29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29"/>
      <c r="N157" s="29"/>
      <c r="O157" s="29"/>
      <c r="P157" s="32"/>
      <c r="Q157" s="40"/>
      <c r="R157" s="4"/>
      <c r="S157" s="4"/>
      <c r="T157" s="4"/>
      <c r="U157" s="4"/>
      <c r="V157" s="4"/>
      <c r="W157" s="4"/>
      <c r="X157" s="4"/>
    </row>
    <row x14ac:dyDescent="0.25" r="158" customHeight="1" ht="12.75">
      <c r="A158" s="4"/>
      <c r="B158" s="29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29"/>
      <c r="N158" s="29"/>
      <c r="O158" s="29"/>
      <c r="P158" s="32"/>
      <c r="Q158" s="40"/>
      <c r="R158" s="4"/>
      <c r="S158" s="4"/>
      <c r="T158" s="4"/>
      <c r="U158" s="4"/>
      <c r="V158" s="4"/>
      <c r="W158" s="4"/>
      <c r="X158" s="4"/>
    </row>
    <row x14ac:dyDescent="0.25" r="159" customHeight="1" ht="12.75">
      <c r="A159" s="4"/>
      <c r="B159" s="29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29"/>
      <c r="N159" s="29"/>
      <c r="O159" s="29"/>
      <c r="P159" s="32"/>
      <c r="Q159" s="40"/>
      <c r="R159" s="4"/>
      <c r="S159" s="4"/>
      <c r="T159" s="4"/>
      <c r="U159" s="4"/>
      <c r="V159" s="4"/>
      <c r="W159" s="4"/>
      <c r="X159" s="4"/>
    </row>
    <row x14ac:dyDescent="0.25" r="160" customHeight="1" ht="12.75">
      <c r="A160" s="4"/>
      <c r="B160" s="29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29"/>
      <c r="N160" s="29"/>
      <c r="O160" s="29"/>
      <c r="P160" s="32"/>
      <c r="Q160" s="40"/>
      <c r="R160" s="4"/>
      <c r="S160" s="4"/>
      <c r="T160" s="4"/>
      <c r="U160" s="4"/>
      <c r="V160" s="4"/>
      <c r="W160" s="4"/>
      <c r="X160" s="4"/>
    </row>
    <row x14ac:dyDescent="0.25" r="161" customHeight="1" ht="12.75">
      <c r="A161" s="4"/>
      <c r="B161" s="29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29"/>
      <c r="N161" s="29"/>
      <c r="O161" s="29"/>
      <c r="P161" s="32"/>
      <c r="Q161" s="40"/>
      <c r="R161" s="4"/>
      <c r="S161" s="4"/>
      <c r="T161" s="4"/>
      <c r="U161" s="4"/>
      <c r="V161" s="4"/>
      <c r="W161" s="4"/>
      <c r="X161" s="4"/>
    </row>
    <row x14ac:dyDescent="0.25" r="162" customHeight="1" ht="12.75">
      <c r="A162" s="4"/>
      <c r="B162" s="29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29"/>
      <c r="N162" s="29"/>
      <c r="O162" s="29"/>
      <c r="P162" s="32"/>
      <c r="Q162" s="40"/>
      <c r="R162" s="4"/>
      <c r="S162" s="4"/>
      <c r="T162" s="4"/>
      <c r="U162" s="4"/>
      <c r="V162" s="4"/>
      <c r="W162" s="4"/>
      <c r="X162" s="4"/>
    </row>
    <row x14ac:dyDescent="0.25" r="163" customHeight="1" ht="12.75">
      <c r="A163" s="4"/>
      <c r="B163" s="29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29"/>
      <c r="N163" s="29"/>
      <c r="O163" s="29"/>
      <c r="P163" s="32"/>
      <c r="Q163" s="40"/>
      <c r="R163" s="4"/>
      <c r="S163" s="4"/>
      <c r="T163" s="4"/>
      <c r="U163" s="4"/>
      <c r="V163" s="4"/>
      <c r="W163" s="4"/>
      <c r="X163" s="4"/>
    </row>
    <row x14ac:dyDescent="0.25" r="164" customHeight="1" ht="12.75">
      <c r="A164" s="4"/>
      <c r="B164" s="29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29"/>
      <c r="N164" s="29"/>
      <c r="O164" s="29"/>
      <c r="P164" s="32"/>
      <c r="Q164" s="40"/>
      <c r="R164" s="4"/>
      <c r="S164" s="4"/>
      <c r="T164" s="4"/>
      <c r="U164" s="4"/>
      <c r="V164" s="4"/>
      <c r="W164" s="4"/>
      <c r="X164" s="4"/>
    </row>
    <row x14ac:dyDescent="0.25" r="165" customHeight="1" ht="12.75">
      <c r="A165" s="4"/>
      <c r="B165" s="29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29"/>
      <c r="N165" s="29"/>
      <c r="O165" s="29"/>
      <c r="P165" s="32"/>
      <c r="Q165" s="40"/>
      <c r="R165" s="4"/>
      <c r="S165" s="4"/>
      <c r="T165" s="4"/>
      <c r="U165" s="4"/>
      <c r="V165" s="4"/>
      <c r="W165" s="4"/>
      <c r="X165" s="4"/>
    </row>
    <row x14ac:dyDescent="0.25" r="166" customHeight="1" ht="12.75">
      <c r="A166" s="4"/>
      <c r="B166" s="29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29"/>
      <c r="N166" s="29"/>
      <c r="O166" s="29"/>
      <c r="P166" s="32"/>
      <c r="Q166" s="40"/>
      <c r="R166" s="4"/>
      <c r="S166" s="4"/>
      <c r="T166" s="4"/>
      <c r="U166" s="4"/>
      <c r="V166" s="4"/>
      <c r="W166" s="4"/>
      <c r="X166" s="4"/>
    </row>
    <row x14ac:dyDescent="0.25" r="167" customHeight="1" ht="12.75">
      <c r="A167" s="4"/>
      <c r="B167" s="29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29"/>
      <c r="N167" s="29"/>
      <c r="O167" s="29"/>
      <c r="P167" s="32"/>
      <c r="Q167" s="40"/>
      <c r="R167" s="4"/>
      <c r="S167" s="4"/>
      <c r="T167" s="4"/>
      <c r="U167" s="4"/>
      <c r="V167" s="4"/>
      <c r="W167" s="4"/>
      <c r="X167" s="4"/>
    </row>
    <row x14ac:dyDescent="0.25" r="168" customHeight="1" ht="12.75">
      <c r="A168" s="4"/>
      <c r="B168" s="29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29"/>
      <c r="N168" s="29"/>
      <c r="O168" s="29"/>
      <c r="P168" s="32"/>
      <c r="Q168" s="40"/>
      <c r="R168" s="4"/>
      <c r="S168" s="4"/>
      <c r="T168" s="4"/>
      <c r="U168" s="4"/>
      <c r="V168" s="4"/>
      <c r="W168" s="4"/>
      <c r="X168" s="4"/>
    </row>
    <row x14ac:dyDescent="0.25" r="169" customHeight="1" ht="12.75">
      <c r="A169" s="4"/>
      <c r="B169" s="29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29"/>
      <c r="N169" s="29"/>
      <c r="O169" s="29"/>
      <c r="P169" s="32"/>
      <c r="Q169" s="40"/>
      <c r="R169" s="4"/>
      <c r="S169" s="4"/>
      <c r="T169" s="4"/>
      <c r="U169" s="4"/>
      <c r="V169" s="4"/>
      <c r="W169" s="4"/>
      <c r="X169" s="4"/>
    </row>
    <row x14ac:dyDescent="0.25" r="170" customHeight="1" ht="12.75">
      <c r="A170" s="4"/>
      <c r="B170" s="29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29"/>
      <c r="N170" s="29"/>
      <c r="O170" s="29"/>
      <c r="P170" s="32"/>
      <c r="Q170" s="40"/>
      <c r="R170" s="4"/>
      <c r="S170" s="4"/>
      <c r="T170" s="4"/>
      <c r="U170" s="4"/>
      <c r="V170" s="4"/>
      <c r="W170" s="4"/>
      <c r="X170" s="4"/>
    </row>
    <row x14ac:dyDescent="0.25" r="171" customHeight="1" ht="12.75">
      <c r="A171" s="4"/>
      <c r="B171" s="29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29"/>
      <c r="N171" s="29"/>
      <c r="O171" s="29"/>
      <c r="P171" s="32"/>
      <c r="Q171" s="40"/>
      <c r="R171" s="4"/>
      <c r="S171" s="4"/>
      <c r="T171" s="4"/>
      <c r="U171" s="4"/>
      <c r="V171" s="4"/>
      <c r="W171" s="4"/>
      <c r="X171" s="4"/>
    </row>
    <row x14ac:dyDescent="0.25" r="172" customHeight="1" ht="12.75">
      <c r="A172" s="4"/>
      <c r="B172" s="29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29"/>
      <c r="N172" s="29"/>
      <c r="O172" s="29"/>
      <c r="P172" s="32"/>
      <c r="Q172" s="40"/>
      <c r="R172" s="4"/>
      <c r="S172" s="4"/>
      <c r="T172" s="4"/>
      <c r="U172" s="4"/>
      <c r="V172" s="4"/>
      <c r="W172" s="4"/>
      <c r="X172" s="4"/>
    </row>
    <row x14ac:dyDescent="0.25" r="173" customHeight="1" ht="12.75">
      <c r="A173" s="4"/>
      <c r="B173" s="29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29"/>
      <c r="N173" s="29"/>
      <c r="O173" s="29"/>
      <c r="P173" s="32"/>
      <c r="Q173" s="40"/>
      <c r="R173" s="4"/>
      <c r="S173" s="4"/>
      <c r="T173" s="4"/>
      <c r="U173" s="4"/>
      <c r="V173" s="4"/>
      <c r="W173" s="4"/>
      <c r="X173" s="4"/>
    </row>
    <row x14ac:dyDescent="0.25" r="174" customHeight="1" ht="12.75">
      <c r="A174" s="4"/>
      <c r="B174" s="29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29"/>
      <c r="N174" s="29"/>
      <c r="O174" s="29"/>
      <c r="P174" s="32"/>
      <c r="Q174" s="40"/>
      <c r="R174" s="4"/>
      <c r="S174" s="4"/>
      <c r="T174" s="4"/>
      <c r="U174" s="4"/>
      <c r="V174" s="4"/>
      <c r="W174" s="4"/>
      <c r="X174" s="4"/>
    </row>
    <row x14ac:dyDescent="0.25" r="175" customHeight="1" ht="12.75">
      <c r="A175" s="4"/>
      <c r="B175" s="29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29"/>
      <c r="N175" s="29"/>
      <c r="O175" s="29"/>
      <c r="P175" s="32"/>
      <c r="Q175" s="40"/>
      <c r="R175" s="4"/>
      <c r="S175" s="4"/>
      <c r="T175" s="4"/>
      <c r="U175" s="4"/>
      <c r="V175" s="4"/>
      <c r="W175" s="4"/>
      <c r="X175" s="4"/>
    </row>
    <row x14ac:dyDescent="0.25" r="176" customHeight="1" ht="12.75">
      <c r="A176" s="4"/>
      <c r="B176" s="29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29"/>
      <c r="N176" s="29"/>
      <c r="O176" s="29"/>
      <c r="P176" s="32"/>
      <c r="Q176" s="40"/>
      <c r="R176" s="4"/>
      <c r="S176" s="4"/>
      <c r="T176" s="4"/>
      <c r="U176" s="4"/>
      <c r="V176" s="4"/>
      <c r="W176" s="4"/>
      <c r="X176" s="4"/>
    </row>
    <row x14ac:dyDescent="0.25" r="177" customHeight="1" ht="12.75">
      <c r="A177" s="4"/>
      <c r="B177" s="29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29"/>
      <c r="N177" s="29"/>
      <c r="O177" s="29"/>
      <c r="P177" s="32"/>
      <c r="Q177" s="40"/>
      <c r="R177" s="4"/>
      <c r="S177" s="4"/>
      <c r="T177" s="4"/>
      <c r="U177" s="4"/>
      <c r="V177" s="4"/>
      <c r="W177" s="4"/>
      <c r="X177" s="4"/>
    </row>
    <row x14ac:dyDescent="0.25" r="178" customHeight="1" ht="12.75">
      <c r="A178" s="4"/>
      <c r="B178" s="29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29"/>
      <c r="N178" s="29"/>
      <c r="O178" s="29"/>
      <c r="P178" s="32"/>
      <c r="Q178" s="40"/>
      <c r="R178" s="4"/>
      <c r="S178" s="4"/>
      <c r="T178" s="4"/>
      <c r="U178" s="4"/>
      <c r="V178" s="4"/>
      <c r="W178" s="4"/>
      <c r="X178" s="4"/>
    </row>
    <row x14ac:dyDescent="0.25" r="179" customHeight="1" ht="12.75">
      <c r="A179" s="4"/>
      <c r="B179" s="29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29"/>
      <c r="N179" s="29"/>
      <c r="O179" s="29"/>
      <c r="P179" s="32"/>
      <c r="Q179" s="40"/>
      <c r="R179" s="4"/>
      <c r="S179" s="4"/>
      <c r="T179" s="4"/>
      <c r="U179" s="4"/>
      <c r="V179" s="4"/>
      <c r="W179" s="4"/>
      <c r="X179" s="4"/>
    </row>
    <row x14ac:dyDescent="0.25" r="180" customHeight="1" ht="12.75">
      <c r="A180" s="4"/>
      <c r="B180" s="29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29"/>
      <c r="N180" s="29"/>
      <c r="O180" s="29"/>
      <c r="P180" s="32"/>
      <c r="Q180" s="40"/>
      <c r="R180" s="4"/>
      <c r="S180" s="4"/>
      <c r="T180" s="4"/>
      <c r="U180" s="4"/>
      <c r="V180" s="4"/>
      <c r="W180" s="4"/>
      <c r="X180" s="4"/>
    </row>
    <row x14ac:dyDescent="0.25" r="181" customHeight="1" ht="12.75">
      <c r="A181" s="4"/>
      <c r="B181" s="29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29"/>
      <c r="N181" s="29"/>
      <c r="O181" s="29"/>
      <c r="P181" s="32"/>
      <c r="Q181" s="40"/>
      <c r="R181" s="4"/>
      <c r="S181" s="4"/>
      <c r="T181" s="4"/>
      <c r="U181" s="4"/>
      <c r="V181" s="4"/>
      <c r="W181" s="4"/>
      <c r="X181" s="4"/>
    </row>
    <row x14ac:dyDescent="0.25" r="182" customHeight="1" ht="12.75">
      <c r="A182" s="4"/>
      <c r="B182" s="29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29"/>
      <c r="N182" s="29"/>
      <c r="O182" s="29"/>
      <c r="P182" s="32"/>
      <c r="Q182" s="40"/>
      <c r="R182" s="4"/>
      <c r="S182" s="4"/>
      <c r="T182" s="4"/>
      <c r="U182" s="4"/>
      <c r="V182" s="4"/>
      <c r="W182" s="4"/>
      <c r="X182" s="4"/>
    </row>
    <row x14ac:dyDescent="0.25" r="183" customHeight="1" ht="12.75">
      <c r="A183" s="4"/>
      <c r="B183" s="29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29"/>
      <c r="N183" s="29"/>
      <c r="O183" s="29"/>
      <c r="P183" s="32"/>
      <c r="Q183" s="40"/>
      <c r="R183" s="4"/>
      <c r="S183" s="4"/>
      <c r="T183" s="4"/>
      <c r="U183" s="4"/>
      <c r="V183" s="4"/>
      <c r="W183" s="4"/>
      <c r="X183" s="4"/>
    </row>
    <row x14ac:dyDescent="0.25" r="184" customHeight="1" ht="12.75">
      <c r="A184" s="4"/>
      <c r="B184" s="29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29"/>
      <c r="N184" s="29"/>
      <c r="O184" s="29"/>
      <c r="P184" s="32"/>
      <c r="Q184" s="40"/>
      <c r="R184" s="4"/>
      <c r="S184" s="4"/>
      <c r="T184" s="4"/>
      <c r="U184" s="4"/>
      <c r="V184" s="4"/>
      <c r="W184" s="4"/>
      <c r="X184" s="4"/>
    </row>
    <row x14ac:dyDescent="0.25" r="185" customHeight="1" ht="12.75">
      <c r="A185" s="4"/>
      <c r="B185" s="29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29"/>
      <c r="N185" s="29"/>
      <c r="O185" s="29"/>
      <c r="P185" s="32"/>
      <c r="Q185" s="40"/>
      <c r="R185" s="4"/>
      <c r="S185" s="4"/>
      <c r="T185" s="4"/>
      <c r="U185" s="4"/>
      <c r="V185" s="4"/>
      <c r="W185" s="4"/>
      <c r="X185" s="4"/>
    </row>
    <row x14ac:dyDescent="0.25" r="186" customHeight="1" ht="12.75">
      <c r="A186" s="4"/>
      <c r="B186" s="29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29"/>
      <c r="N186" s="29"/>
      <c r="O186" s="29"/>
      <c r="P186" s="32"/>
      <c r="Q186" s="40"/>
      <c r="R186" s="4"/>
      <c r="S186" s="4"/>
      <c r="T186" s="4"/>
      <c r="U186" s="4"/>
      <c r="V186" s="4"/>
      <c r="W186" s="4"/>
      <c r="X186" s="4"/>
    </row>
    <row x14ac:dyDescent="0.25" r="187" customHeight="1" ht="12.75">
      <c r="A187" s="4"/>
      <c r="B187" s="29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29"/>
      <c r="N187" s="29"/>
      <c r="O187" s="29"/>
      <c r="P187" s="32"/>
      <c r="Q187" s="40"/>
      <c r="R187" s="4"/>
      <c r="S187" s="4"/>
      <c r="T187" s="4"/>
      <c r="U187" s="4"/>
      <c r="V187" s="4"/>
      <c r="W187" s="4"/>
      <c r="X187" s="4"/>
    </row>
    <row x14ac:dyDescent="0.25" r="188" customHeight="1" ht="12.75">
      <c r="A188" s="4"/>
      <c r="B188" s="29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29"/>
      <c r="N188" s="29"/>
      <c r="O188" s="29"/>
      <c r="P188" s="32"/>
      <c r="Q188" s="40"/>
      <c r="R188" s="4"/>
      <c r="S188" s="4"/>
      <c r="T188" s="4"/>
      <c r="U188" s="4"/>
      <c r="V188" s="4"/>
      <c r="W188" s="4"/>
      <c r="X188" s="4"/>
    </row>
    <row x14ac:dyDescent="0.25" r="189" customHeight="1" ht="12.75">
      <c r="A189" s="4"/>
      <c r="B189" s="29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29"/>
      <c r="N189" s="29"/>
      <c r="O189" s="29"/>
      <c r="P189" s="32"/>
      <c r="Q189" s="40"/>
      <c r="R189" s="4"/>
      <c r="S189" s="4"/>
      <c r="T189" s="4"/>
      <c r="U189" s="4"/>
      <c r="V189" s="4"/>
      <c r="W189" s="4"/>
      <c r="X189" s="4"/>
    </row>
    <row x14ac:dyDescent="0.25" r="190" customHeight="1" ht="12.75">
      <c r="A190" s="4"/>
      <c r="B190" s="29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29"/>
      <c r="N190" s="29"/>
      <c r="O190" s="29"/>
      <c r="P190" s="32"/>
      <c r="Q190" s="40"/>
      <c r="R190" s="4"/>
      <c r="S190" s="4"/>
      <c r="T190" s="4"/>
      <c r="U190" s="4"/>
      <c r="V190" s="4"/>
      <c r="W190" s="4"/>
      <c r="X190" s="4"/>
    </row>
    <row x14ac:dyDescent="0.25" r="191" customHeight="1" ht="12.75">
      <c r="A191" s="4"/>
      <c r="B191" s="29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29"/>
      <c r="N191" s="29"/>
      <c r="O191" s="29"/>
      <c r="P191" s="32"/>
      <c r="Q191" s="40"/>
      <c r="R191" s="4"/>
      <c r="S191" s="4"/>
      <c r="T191" s="4"/>
      <c r="U191" s="4"/>
      <c r="V191" s="4"/>
      <c r="W191" s="4"/>
      <c r="X191" s="4"/>
    </row>
    <row x14ac:dyDescent="0.25" r="192" customHeight="1" ht="12.75">
      <c r="A192" s="4"/>
      <c r="B192" s="29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29"/>
      <c r="N192" s="29"/>
      <c r="O192" s="29"/>
      <c r="P192" s="32"/>
      <c r="Q192" s="40"/>
      <c r="R192" s="4"/>
      <c r="S192" s="4"/>
      <c r="T192" s="4"/>
      <c r="U192" s="4"/>
      <c r="V192" s="4"/>
      <c r="W192" s="4"/>
      <c r="X192" s="4"/>
    </row>
    <row x14ac:dyDescent="0.25" r="193" customHeight="1" ht="12.75">
      <c r="A193" s="4"/>
      <c r="B193" s="29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29"/>
      <c r="N193" s="29"/>
      <c r="O193" s="29"/>
      <c r="P193" s="32"/>
      <c r="Q193" s="40"/>
      <c r="R193" s="4"/>
      <c r="S193" s="4"/>
      <c r="T193" s="4"/>
      <c r="U193" s="4"/>
      <c r="V193" s="4"/>
      <c r="W193" s="4"/>
      <c r="X193" s="4"/>
    </row>
    <row x14ac:dyDescent="0.25" r="194" customHeight="1" ht="12.75">
      <c r="A194" s="4"/>
      <c r="B194" s="29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29"/>
      <c r="N194" s="29"/>
      <c r="O194" s="29"/>
      <c r="P194" s="32"/>
      <c r="Q194" s="40"/>
      <c r="R194" s="4"/>
      <c r="S194" s="4"/>
      <c r="T194" s="4"/>
      <c r="U194" s="4"/>
      <c r="V194" s="4"/>
      <c r="W194" s="4"/>
      <c r="X194" s="4"/>
    </row>
    <row x14ac:dyDescent="0.25" r="195" customHeight="1" ht="12.75">
      <c r="A195" s="4"/>
      <c r="B195" s="29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29"/>
      <c r="N195" s="29"/>
      <c r="O195" s="29"/>
      <c r="P195" s="32"/>
      <c r="Q195" s="40"/>
      <c r="R195" s="4"/>
      <c r="S195" s="4"/>
      <c r="T195" s="4"/>
      <c r="U195" s="4"/>
      <c r="V195" s="4"/>
      <c r="W195" s="4"/>
      <c r="X195" s="4"/>
    </row>
    <row x14ac:dyDescent="0.25" r="196" customHeight="1" ht="12.75">
      <c r="A196" s="4"/>
      <c r="B196" s="29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29"/>
      <c r="N196" s="29"/>
      <c r="O196" s="29"/>
      <c r="P196" s="32"/>
      <c r="Q196" s="40"/>
      <c r="R196" s="4"/>
      <c r="S196" s="4"/>
      <c r="T196" s="4"/>
      <c r="U196" s="4"/>
      <c r="V196" s="4"/>
      <c r="W196" s="4"/>
      <c r="X196" s="4"/>
    </row>
    <row x14ac:dyDescent="0.25" r="197" customHeight="1" ht="12.75">
      <c r="A197" s="4"/>
      <c r="B197" s="29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29"/>
      <c r="N197" s="29"/>
      <c r="O197" s="29"/>
      <c r="P197" s="32"/>
      <c r="Q197" s="40"/>
      <c r="R197" s="4"/>
      <c r="S197" s="4"/>
      <c r="T197" s="4"/>
      <c r="U197" s="4"/>
      <c r="V197" s="4"/>
      <c r="W197" s="4"/>
      <c r="X197" s="4"/>
    </row>
    <row x14ac:dyDescent="0.25" r="198" customHeight="1" ht="12.75">
      <c r="A198" s="4"/>
      <c r="B198" s="29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29"/>
      <c r="N198" s="29"/>
      <c r="O198" s="29"/>
      <c r="P198" s="32"/>
      <c r="Q198" s="40"/>
      <c r="R198" s="4"/>
      <c r="S198" s="4"/>
      <c r="T198" s="4"/>
      <c r="U198" s="4"/>
      <c r="V198" s="4"/>
      <c r="W198" s="4"/>
      <c r="X198" s="4"/>
    </row>
    <row x14ac:dyDescent="0.25" r="199" customHeight="1" ht="12.75">
      <c r="A199" s="4"/>
      <c r="B199" s="29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29"/>
      <c r="N199" s="29"/>
      <c r="O199" s="29"/>
      <c r="P199" s="32"/>
      <c r="Q199" s="40"/>
      <c r="R199" s="4"/>
      <c r="S199" s="4"/>
      <c r="T199" s="4"/>
      <c r="U199" s="4"/>
      <c r="V199" s="4"/>
      <c r="W199" s="4"/>
      <c r="X199" s="4"/>
    </row>
    <row x14ac:dyDescent="0.25" r="200" customHeight="1" ht="12.75">
      <c r="A200" s="4"/>
      <c r="B200" s="29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29"/>
      <c r="N200" s="29"/>
      <c r="O200" s="29"/>
      <c r="P200" s="32"/>
      <c r="Q200" s="40"/>
      <c r="R200" s="4"/>
      <c r="S200" s="4"/>
      <c r="T200" s="4"/>
      <c r="U200" s="4"/>
      <c r="V200" s="4"/>
      <c r="W200" s="4"/>
      <c r="X200" s="4"/>
    </row>
    <row x14ac:dyDescent="0.25" r="201" customHeight="1" ht="12.75">
      <c r="A201" s="4"/>
      <c r="B201" s="29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29"/>
      <c r="N201" s="29"/>
      <c r="O201" s="29"/>
      <c r="P201" s="32"/>
      <c r="Q201" s="40"/>
      <c r="R201" s="4"/>
      <c r="S201" s="4"/>
      <c r="T201" s="4"/>
      <c r="U201" s="4"/>
      <c r="V201" s="4"/>
      <c r="W201" s="4"/>
      <c r="X201" s="4"/>
    </row>
    <row x14ac:dyDescent="0.25" r="202" customHeight="1" ht="12.75">
      <c r="A202" s="4"/>
      <c r="B202" s="29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29"/>
      <c r="N202" s="29"/>
      <c r="O202" s="29"/>
      <c r="P202" s="32"/>
      <c r="Q202" s="40"/>
      <c r="R202" s="4"/>
      <c r="S202" s="4"/>
      <c r="T202" s="4"/>
      <c r="U202" s="4"/>
      <c r="V202" s="4"/>
      <c r="W202" s="4"/>
      <c r="X202" s="4"/>
    </row>
    <row x14ac:dyDescent="0.25" r="203" customHeight="1" ht="12.75">
      <c r="A203" s="4"/>
      <c r="B203" s="29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29"/>
      <c r="N203" s="29"/>
      <c r="O203" s="29"/>
      <c r="P203" s="32"/>
      <c r="Q203" s="40"/>
      <c r="R203" s="4"/>
      <c r="S203" s="4"/>
      <c r="T203" s="4"/>
      <c r="U203" s="4"/>
      <c r="V203" s="4"/>
      <c r="W203" s="4"/>
      <c r="X203" s="4"/>
    </row>
    <row x14ac:dyDescent="0.25" r="204" customHeight="1" ht="12.75">
      <c r="A204" s="4"/>
      <c r="B204" s="29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29"/>
      <c r="N204" s="29"/>
      <c r="O204" s="29"/>
      <c r="P204" s="32"/>
      <c r="Q204" s="40"/>
      <c r="R204" s="4"/>
      <c r="S204" s="4"/>
      <c r="T204" s="4"/>
      <c r="U204" s="4"/>
      <c r="V204" s="4"/>
      <c r="W204" s="4"/>
      <c r="X204" s="4"/>
    </row>
    <row x14ac:dyDescent="0.25" r="205" customHeight="1" ht="12.75">
      <c r="A205" s="4"/>
      <c r="B205" s="29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29"/>
      <c r="N205" s="29"/>
      <c r="O205" s="29"/>
      <c r="P205" s="32"/>
      <c r="Q205" s="40"/>
      <c r="R205" s="4"/>
      <c r="S205" s="4"/>
      <c r="T205" s="4"/>
      <c r="U205" s="4"/>
      <c r="V205" s="4"/>
      <c r="W205" s="4"/>
      <c r="X205" s="4"/>
    </row>
    <row x14ac:dyDescent="0.25" r="206" customHeight="1" ht="12.75">
      <c r="A206" s="4"/>
      <c r="B206" s="29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29"/>
      <c r="N206" s="29"/>
      <c r="O206" s="29"/>
      <c r="P206" s="32"/>
      <c r="Q206" s="40"/>
      <c r="R206" s="4"/>
      <c r="S206" s="4"/>
      <c r="T206" s="4"/>
      <c r="U206" s="4"/>
      <c r="V206" s="4"/>
      <c r="W206" s="4"/>
      <c r="X206" s="4"/>
    </row>
    <row x14ac:dyDescent="0.25" r="207" customHeight="1" ht="12.75">
      <c r="A207" s="4"/>
      <c r="B207" s="29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29"/>
      <c r="N207" s="29"/>
      <c r="O207" s="29"/>
      <c r="P207" s="32"/>
      <c r="Q207" s="40"/>
      <c r="R207" s="4"/>
      <c r="S207" s="4"/>
      <c r="T207" s="4"/>
      <c r="U207" s="4"/>
      <c r="V207" s="4"/>
      <c r="W207" s="4"/>
      <c r="X207" s="4"/>
    </row>
    <row x14ac:dyDescent="0.25" r="208" customHeight="1" ht="12.75">
      <c r="A208" s="4"/>
      <c r="B208" s="29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29"/>
      <c r="N208" s="29"/>
      <c r="O208" s="29"/>
      <c r="P208" s="32"/>
      <c r="Q208" s="40"/>
      <c r="R208" s="4"/>
      <c r="S208" s="4"/>
      <c r="T208" s="4"/>
      <c r="U208" s="4"/>
      <c r="V208" s="4"/>
      <c r="W208" s="4"/>
      <c r="X208" s="4"/>
    </row>
    <row x14ac:dyDescent="0.25" r="209" customHeight="1" ht="12.75">
      <c r="A209" s="4"/>
      <c r="B209" s="29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29"/>
      <c r="N209" s="29"/>
      <c r="O209" s="29"/>
      <c r="P209" s="32"/>
      <c r="Q209" s="40"/>
      <c r="R209" s="4"/>
      <c r="S209" s="4"/>
      <c r="T209" s="4"/>
      <c r="U209" s="4"/>
      <c r="V209" s="4"/>
      <c r="W209" s="4"/>
      <c r="X209" s="4"/>
    </row>
    <row x14ac:dyDescent="0.25" r="210" customHeight="1" ht="12.75">
      <c r="A210" s="4"/>
      <c r="B210" s="29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29"/>
      <c r="N210" s="29"/>
      <c r="O210" s="29"/>
      <c r="P210" s="32"/>
      <c r="Q210" s="40"/>
      <c r="R210" s="4"/>
      <c r="S210" s="4"/>
      <c r="T210" s="4"/>
      <c r="U210" s="4"/>
      <c r="V210" s="4"/>
      <c r="W210" s="4"/>
      <c r="X210" s="4"/>
    </row>
    <row x14ac:dyDescent="0.25" r="211" customHeight="1" ht="12.75">
      <c r="A211" s="4"/>
      <c r="B211" s="29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29"/>
      <c r="N211" s="29"/>
      <c r="O211" s="29"/>
      <c r="P211" s="32"/>
      <c r="Q211" s="40"/>
      <c r="R211" s="4"/>
      <c r="S211" s="4"/>
      <c r="T211" s="4"/>
      <c r="U211" s="4"/>
      <c r="V211" s="4"/>
      <c r="W211" s="4"/>
      <c r="X211" s="4"/>
    </row>
    <row x14ac:dyDescent="0.25" r="212" customHeight="1" ht="12.75">
      <c r="A212" s="4"/>
      <c r="B212" s="29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29"/>
      <c r="N212" s="29"/>
      <c r="O212" s="29"/>
      <c r="P212" s="32"/>
      <c r="Q212" s="40"/>
      <c r="R212" s="4"/>
      <c r="S212" s="4"/>
      <c r="T212" s="4"/>
      <c r="U212" s="4"/>
      <c r="V212" s="4"/>
      <c r="W212" s="4"/>
      <c r="X212" s="4"/>
    </row>
    <row x14ac:dyDescent="0.25" r="213" customHeight="1" ht="12.75">
      <c r="A213" s="4"/>
      <c r="B213" s="29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29"/>
      <c r="N213" s="29"/>
      <c r="O213" s="29"/>
      <c r="P213" s="32"/>
      <c r="Q213" s="40"/>
      <c r="R213" s="4"/>
      <c r="S213" s="4"/>
      <c r="T213" s="4"/>
      <c r="U213" s="4"/>
      <c r="V213" s="4"/>
      <c r="W213" s="4"/>
      <c r="X213" s="4"/>
    </row>
    <row x14ac:dyDescent="0.25" r="214" customHeight="1" ht="12.75">
      <c r="A214" s="4"/>
      <c r="B214" s="29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29"/>
      <c r="N214" s="29"/>
      <c r="O214" s="29"/>
      <c r="P214" s="32"/>
      <c r="Q214" s="40"/>
      <c r="R214" s="4"/>
      <c r="S214" s="4"/>
      <c r="T214" s="4"/>
      <c r="U214" s="4"/>
      <c r="V214" s="4"/>
      <c r="W214" s="4"/>
      <c r="X214" s="4"/>
    </row>
    <row x14ac:dyDescent="0.25" r="215" customHeight="1" ht="12.75">
      <c r="A215" s="4"/>
      <c r="B215" s="29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29"/>
      <c r="N215" s="29"/>
      <c r="O215" s="29"/>
      <c r="P215" s="32"/>
      <c r="Q215" s="40"/>
      <c r="R215" s="4"/>
      <c r="S215" s="4"/>
      <c r="T215" s="4"/>
      <c r="U215" s="4"/>
      <c r="V215" s="4"/>
      <c r="W215" s="4"/>
      <c r="X215" s="4"/>
    </row>
    <row x14ac:dyDescent="0.25" r="216" customHeight="1" ht="12.75">
      <c r="A216" s="4"/>
      <c r="B216" s="29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29"/>
      <c r="N216" s="29"/>
      <c r="O216" s="29"/>
      <c r="P216" s="32"/>
      <c r="Q216" s="40"/>
      <c r="R216" s="4"/>
      <c r="S216" s="4"/>
      <c r="T216" s="4"/>
      <c r="U216" s="4"/>
      <c r="V216" s="4"/>
      <c r="W216" s="4"/>
      <c r="X216" s="4"/>
    </row>
    <row x14ac:dyDescent="0.25" r="217" customHeight="1" ht="12.75">
      <c r="A217" s="4"/>
      <c r="B217" s="29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29"/>
      <c r="N217" s="29"/>
      <c r="O217" s="29"/>
      <c r="P217" s="32"/>
      <c r="Q217" s="40"/>
      <c r="R217" s="4"/>
      <c r="S217" s="4"/>
      <c r="T217" s="4"/>
      <c r="U217" s="4"/>
      <c r="V217" s="4"/>
      <c r="W217" s="4"/>
      <c r="X217" s="4"/>
    </row>
    <row x14ac:dyDescent="0.25" r="218" customHeight="1" ht="12.75">
      <c r="A218" s="4"/>
      <c r="B218" s="29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29"/>
      <c r="N218" s="29"/>
      <c r="O218" s="29"/>
      <c r="P218" s="32"/>
      <c r="Q218" s="40"/>
      <c r="R218" s="4"/>
      <c r="S218" s="4"/>
      <c r="T218" s="4"/>
      <c r="U218" s="4"/>
      <c r="V218" s="4"/>
      <c r="W218" s="4"/>
      <c r="X218" s="4"/>
    </row>
    <row x14ac:dyDescent="0.25" r="219" customHeight="1" ht="12.75">
      <c r="A219" s="4"/>
      <c r="B219" s="29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29"/>
      <c r="N219" s="29"/>
      <c r="O219" s="29"/>
      <c r="P219" s="32"/>
      <c r="Q219" s="40"/>
      <c r="R219" s="4"/>
      <c r="S219" s="4"/>
      <c r="T219" s="4"/>
      <c r="U219" s="4"/>
      <c r="V219" s="4"/>
      <c r="W219" s="4"/>
      <c r="X219" s="4"/>
    </row>
    <row x14ac:dyDescent="0.25" r="220" customHeight="1" ht="12.75">
      <c r="A220" s="4"/>
      <c r="B220" s="29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29"/>
      <c r="N220" s="29"/>
      <c r="O220" s="29"/>
      <c r="P220" s="32"/>
      <c r="Q220" s="40"/>
      <c r="R220" s="4"/>
      <c r="S220" s="4"/>
      <c r="T220" s="4"/>
      <c r="U220" s="4"/>
      <c r="V220" s="4"/>
      <c r="W220" s="4"/>
      <c r="X220" s="4"/>
    </row>
    <row x14ac:dyDescent="0.25" r="221" customHeight="1" ht="12.75">
      <c r="A221" s="4"/>
      <c r="B221" s="29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29"/>
      <c r="N221" s="29"/>
      <c r="O221" s="29"/>
      <c r="P221" s="32"/>
      <c r="Q221" s="40"/>
      <c r="R221" s="4"/>
      <c r="S221" s="4"/>
      <c r="T221" s="4"/>
      <c r="U221" s="4"/>
      <c r="V221" s="4"/>
      <c r="W221" s="4"/>
      <c r="X221" s="4"/>
    </row>
    <row x14ac:dyDescent="0.25" r="222" customHeight="1" ht="12.75">
      <c r="A222" s="4"/>
      <c r="B222" s="29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29"/>
      <c r="N222" s="29"/>
      <c r="O222" s="29"/>
      <c r="P222" s="32"/>
      <c r="Q222" s="40"/>
      <c r="R222" s="4"/>
      <c r="S222" s="4"/>
      <c r="T222" s="4"/>
      <c r="U222" s="4"/>
      <c r="V222" s="4"/>
      <c r="W222" s="4"/>
      <c r="X222" s="4"/>
    </row>
    <row x14ac:dyDescent="0.25" r="223" customHeight="1" ht="12.75">
      <c r="A223" s="4"/>
      <c r="B223" s="29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29"/>
      <c r="N223" s="29"/>
      <c r="O223" s="29"/>
      <c r="P223" s="32"/>
      <c r="Q223" s="40"/>
      <c r="R223" s="4"/>
      <c r="S223" s="4"/>
      <c r="T223" s="4"/>
      <c r="U223" s="4"/>
      <c r="V223" s="4"/>
      <c r="W223" s="4"/>
      <c r="X223" s="4"/>
    </row>
    <row x14ac:dyDescent="0.25" r="224" customHeight="1" ht="12.75">
      <c r="A224" s="4"/>
      <c r="B224" s="29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29"/>
      <c r="N224" s="29"/>
      <c r="O224" s="29"/>
      <c r="P224" s="32"/>
      <c r="Q224" s="40"/>
      <c r="R224" s="4"/>
      <c r="S224" s="4"/>
      <c r="T224" s="4"/>
      <c r="U224" s="4"/>
      <c r="V224" s="4"/>
      <c r="W224" s="4"/>
      <c r="X224" s="4"/>
    </row>
    <row x14ac:dyDescent="0.25" r="225" customHeight="1" ht="12.75">
      <c r="A225" s="4"/>
      <c r="B225" s="29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29"/>
      <c r="N225" s="29"/>
      <c r="O225" s="29"/>
      <c r="P225" s="32"/>
      <c r="Q225" s="40"/>
      <c r="R225" s="4"/>
      <c r="S225" s="4"/>
      <c r="T225" s="4"/>
      <c r="U225" s="4"/>
      <c r="V225" s="4"/>
      <c r="W225" s="4"/>
      <c r="X225" s="4"/>
    </row>
    <row x14ac:dyDescent="0.25" r="226" customHeight="1" ht="12.75">
      <c r="A226" s="4"/>
      <c r="B226" s="29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29"/>
      <c r="N226" s="29"/>
      <c r="O226" s="29"/>
      <c r="P226" s="32"/>
      <c r="Q226" s="40"/>
      <c r="R226" s="4"/>
      <c r="S226" s="4"/>
      <c r="T226" s="4"/>
      <c r="U226" s="4"/>
      <c r="V226" s="4"/>
      <c r="W226" s="4"/>
      <c r="X226" s="4"/>
    </row>
    <row x14ac:dyDescent="0.25" r="227" customHeight="1" ht="12.75">
      <c r="A227" s="4"/>
      <c r="B227" s="29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29"/>
      <c r="N227" s="29"/>
      <c r="O227" s="29"/>
      <c r="P227" s="32"/>
      <c r="Q227" s="40"/>
      <c r="R227" s="4"/>
      <c r="S227" s="4"/>
      <c r="T227" s="4"/>
      <c r="U227" s="4"/>
      <c r="V227" s="4"/>
      <c r="W227" s="4"/>
      <c r="X227" s="4"/>
    </row>
    <row x14ac:dyDescent="0.25" r="228" customHeight="1" ht="12.75">
      <c r="A228" s="4"/>
      <c r="B228" s="29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29"/>
      <c r="N228" s="29"/>
      <c r="O228" s="29"/>
      <c r="P228" s="32"/>
      <c r="Q228" s="40"/>
      <c r="R228" s="4"/>
      <c r="S228" s="4"/>
      <c r="T228" s="4"/>
      <c r="U228" s="4"/>
      <c r="V228" s="4"/>
      <c r="W228" s="4"/>
      <c r="X228" s="4"/>
    </row>
    <row x14ac:dyDescent="0.25" r="229" customHeight="1" ht="12.75">
      <c r="A229" s="4"/>
      <c r="B229" s="29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29"/>
      <c r="N229" s="29"/>
      <c r="O229" s="29"/>
      <c r="P229" s="32"/>
      <c r="Q229" s="40"/>
      <c r="R229" s="4"/>
      <c r="S229" s="4"/>
      <c r="T229" s="4"/>
      <c r="U229" s="4"/>
      <c r="V229" s="4"/>
      <c r="W229" s="4"/>
      <c r="X229" s="4"/>
    </row>
    <row x14ac:dyDescent="0.25" r="230" customHeight="1" ht="12.75">
      <c r="A230" s="4"/>
      <c r="B230" s="29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29"/>
      <c r="N230" s="29"/>
      <c r="O230" s="29"/>
      <c r="P230" s="32"/>
      <c r="Q230" s="40"/>
      <c r="R230" s="4"/>
      <c r="S230" s="4"/>
      <c r="T230" s="4"/>
      <c r="U230" s="4"/>
      <c r="V230" s="4"/>
      <c r="W230" s="4"/>
      <c r="X230" s="4"/>
    </row>
    <row x14ac:dyDescent="0.25" r="231" customHeight="1" ht="12.75">
      <c r="A231" s="4"/>
      <c r="B231" s="29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29"/>
      <c r="N231" s="29"/>
      <c r="O231" s="29"/>
      <c r="P231" s="32"/>
      <c r="Q231" s="40"/>
      <c r="R231" s="4"/>
      <c r="S231" s="4"/>
      <c r="T231" s="4"/>
      <c r="U231" s="4"/>
      <c r="V231" s="4"/>
      <c r="W231" s="4"/>
      <c r="X231" s="4"/>
    </row>
    <row x14ac:dyDescent="0.25" r="232" customHeight="1" ht="12.75">
      <c r="A232" s="4"/>
      <c r="B232" s="29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29"/>
      <c r="N232" s="29"/>
      <c r="O232" s="29"/>
      <c r="P232" s="32"/>
      <c r="Q232" s="40"/>
      <c r="R232" s="4"/>
      <c r="S232" s="4"/>
      <c r="T232" s="4"/>
      <c r="U232" s="4"/>
      <c r="V232" s="4"/>
      <c r="W232" s="4"/>
      <c r="X232" s="4"/>
    </row>
    <row x14ac:dyDescent="0.25" r="233" customHeight="1" ht="12.75">
      <c r="A233" s="4"/>
      <c r="B233" s="29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29"/>
      <c r="N233" s="29"/>
      <c r="O233" s="29"/>
      <c r="P233" s="32"/>
      <c r="Q233" s="40"/>
      <c r="R233" s="4"/>
      <c r="S233" s="4"/>
      <c r="T233" s="4"/>
      <c r="U233" s="4"/>
      <c r="V233" s="4"/>
      <c r="W233" s="4"/>
      <c r="X233" s="4"/>
    </row>
    <row x14ac:dyDescent="0.25" r="234" customHeight="1" ht="12.75">
      <c r="A234" s="4"/>
      <c r="B234" s="29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29"/>
      <c r="N234" s="29"/>
      <c r="O234" s="29"/>
      <c r="P234" s="32"/>
      <c r="Q234" s="40"/>
      <c r="R234" s="4"/>
      <c r="S234" s="4"/>
      <c r="T234" s="4"/>
      <c r="U234" s="4"/>
      <c r="V234" s="4"/>
      <c r="W234" s="4"/>
      <c r="X234" s="4"/>
    </row>
    <row x14ac:dyDescent="0.25" r="235" customHeight="1" ht="12.75">
      <c r="A235" s="4"/>
      <c r="B235" s="29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29"/>
      <c r="N235" s="29"/>
      <c r="O235" s="29"/>
      <c r="P235" s="32"/>
      <c r="Q235" s="40"/>
      <c r="R235" s="4"/>
      <c r="S235" s="4"/>
      <c r="T235" s="4"/>
      <c r="U235" s="4"/>
      <c r="V235" s="4"/>
      <c r="W235" s="4"/>
      <c r="X235" s="4"/>
    </row>
    <row x14ac:dyDescent="0.25" r="236" customHeight="1" ht="12.75">
      <c r="A236" s="4"/>
      <c r="B236" s="29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29"/>
      <c r="N236" s="29"/>
      <c r="O236" s="29"/>
      <c r="P236" s="32"/>
      <c r="Q236" s="40"/>
      <c r="R236" s="4"/>
      <c r="S236" s="4"/>
      <c r="T236" s="4"/>
      <c r="U236" s="4"/>
      <c r="V236" s="4"/>
      <c r="W236" s="4"/>
      <c r="X236" s="4"/>
    </row>
    <row x14ac:dyDescent="0.25" r="237" customHeight="1" ht="12.75">
      <c r="A237" s="4"/>
      <c r="B237" s="29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29"/>
      <c r="N237" s="29"/>
      <c r="O237" s="29"/>
      <c r="P237" s="32"/>
      <c r="Q237" s="40"/>
      <c r="R237" s="4"/>
      <c r="S237" s="4"/>
      <c r="T237" s="4"/>
      <c r="U237" s="4"/>
      <c r="V237" s="4"/>
      <c r="W237" s="4"/>
      <c r="X237" s="4"/>
    </row>
    <row x14ac:dyDescent="0.25" r="238" customHeight="1" ht="12.75">
      <c r="A238" s="4"/>
      <c r="B238" s="29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29"/>
      <c r="N238" s="29"/>
      <c r="O238" s="29"/>
      <c r="P238" s="32"/>
      <c r="Q238" s="40"/>
      <c r="R238" s="4"/>
      <c r="S238" s="4"/>
      <c r="T238" s="4"/>
      <c r="U238" s="4"/>
      <c r="V238" s="4"/>
      <c r="W238" s="4"/>
      <c r="X238" s="4"/>
    </row>
    <row x14ac:dyDescent="0.25" r="239" customHeight="1" ht="12.75">
      <c r="A239" s="4"/>
      <c r="B239" s="29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29"/>
      <c r="N239" s="29"/>
      <c r="O239" s="29"/>
      <c r="P239" s="32"/>
      <c r="Q239" s="40"/>
      <c r="R239" s="4"/>
      <c r="S239" s="4"/>
      <c r="T239" s="4"/>
      <c r="U239" s="4"/>
      <c r="V239" s="4"/>
      <c r="W239" s="4"/>
      <c r="X239" s="4"/>
    </row>
    <row x14ac:dyDescent="0.25" r="240" customHeight="1" ht="12.75">
      <c r="A240" s="4"/>
      <c r="B240" s="29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29"/>
      <c r="N240" s="29"/>
      <c r="O240" s="29"/>
      <c r="P240" s="32"/>
      <c r="Q240" s="40"/>
      <c r="R240" s="4"/>
      <c r="S240" s="4"/>
      <c r="T240" s="4"/>
      <c r="U240" s="4"/>
      <c r="V240" s="4"/>
      <c r="W240" s="4"/>
      <c r="X240" s="4"/>
    </row>
    <row x14ac:dyDescent="0.25" r="241" customHeight="1" ht="12.75">
      <c r="A241" s="4"/>
      <c r="B241" s="29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29"/>
      <c r="N241" s="29"/>
      <c r="O241" s="29"/>
      <c r="P241" s="32"/>
      <c r="Q241" s="40"/>
      <c r="R241" s="4"/>
      <c r="S241" s="4"/>
      <c r="T241" s="4"/>
      <c r="U241" s="4"/>
      <c r="V241" s="4"/>
      <c r="W241" s="4"/>
      <c r="X241" s="4"/>
    </row>
    <row x14ac:dyDescent="0.25" r="242" customHeight="1" ht="12.75">
      <c r="A242" s="4"/>
      <c r="B242" s="29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29"/>
      <c r="N242" s="29"/>
      <c r="O242" s="29"/>
      <c r="P242" s="32"/>
      <c r="Q242" s="40"/>
      <c r="R242" s="4"/>
      <c r="S242" s="4"/>
      <c r="T242" s="4"/>
      <c r="U242" s="4"/>
      <c r="V242" s="4"/>
      <c r="W242" s="4"/>
      <c r="X242" s="4"/>
    </row>
    <row x14ac:dyDescent="0.25" r="243" customHeight="1" ht="12.75">
      <c r="A243" s="4"/>
      <c r="B243" s="29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29"/>
      <c r="N243" s="29"/>
      <c r="O243" s="29"/>
      <c r="P243" s="32"/>
      <c r="Q243" s="40"/>
      <c r="R243" s="4"/>
      <c r="S243" s="4"/>
      <c r="T243" s="4"/>
      <c r="U243" s="4"/>
      <c r="V243" s="4"/>
      <c r="W243" s="4"/>
      <c r="X243" s="4"/>
    </row>
    <row x14ac:dyDescent="0.25" r="244" customHeight="1" ht="12.75">
      <c r="A244" s="4"/>
      <c r="B244" s="29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29"/>
      <c r="N244" s="29"/>
      <c r="O244" s="29"/>
      <c r="P244" s="32"/>
      <c r="Q244" s="40"/>
      <c r="R244" s="4"/>
      <c r="S244" s="4"/>
      <c r="T244" s="4"/>
      <c r="U244" s="4"/>
      <c r="V244" s="4"/>
      <c r="W244" s="4"/>
      <c r="X244" s="4"/>
    </row>
    <row x14ac:dyDescent="0.25" r="245" customHeight="1" ht="12.75">
      <c r="A245" s="4"/>
      <c r="B245" s="29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29"/>
      <c r="N245" s="29"/>
      <c r="O245" s="29"/>
      <c r="P245" s="32"/>
      <c r="Q245" s="40"/>
      <c r="R245" s="4"/>
      <c r="S245" s="4"/>
      <c r="T245" s="4"/>
      <c r="U245" s="4"/>
      <c r="V245" s="4"/>
      <c r="W245" s="4"/>
      <c r="X245" s="4"/>
    </row>
    <row x14ac:dyDescent="0.25" r="246" customHeight="1" ht="12.75">
      <c r="A246" s="4"/>
      <c r="B246" s="29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29"/>
      <c r="N246" s="29"/>
      <c r="O246" s="29"/>
      <c r="P246" s="32"/>
      <c r="Q246" s="40"/>
      <c r="R246" s="4"/>
      <c r="S246" s="4"/>
      <c r="T246" s="4"/>
      <c r="U246" s="4"/>
      <c r="V246" s="4"/>
      <c r="W246" s="4"/>
      <c r="X246" s="4"/>
    </row>
    <row x14ac:dyDescent="0.25" r="247" customHeight="1" ht="12.75">
      <c r="A247" s="4"/>
      <c r="B247" s="29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29"/>
      <c r="N247" s="29"/>
      <c r="O247" s="29"/>
      <c r="P247" s="32"/>
      <c r="Q247" s="40"/>
      <c r="R247" s="4"/>
      <c r="S247" s="4"/>
      <c r="T247" s="4"/>
      <c r="U247" s="4"/>
      <c r="V247" s="4"/>
      <c r="W247" s="4"/>
      <c r="X247" s="4"/>
    </row>
    <row x14ac:dyDescent="0.25" r="248" customHeight="1" ht="12.75">
      <c r="A248" s="4"/>
      <c r="B248" s="29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29"/>
      <c r="N248" s="29"/>
      <c r="O248" s="29"/>
      <c r="P248" s="32"/>
      <c r="Q248" s="40"/>
      <c r="R248" s="4"/>
      <c r="S248" s="4"/>
      <c r="T248" s="4"/>
      <c r="U248" s="4"/>
      <c r="V248" s="4"/>
      <c r="W248" s="4"/>
      <c r="X248" s="4"/>
    </row>
    <row x14ac:dyDescent="0.25" r="249" customHeight="1" ht="12.75">
      <c r="A249" s="4"/>
      <c r="B249" s="29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29"/>
      <c r="N249" s="29"/>
      <c r="O249" s="29"/>
      <c r="P249" s="32"/>
      <c r="Q249" s="40"/>
      <c r="R249" s="4"/>
      <c r="S249" s="4"/>
      <c r="T249" s="4"/>
      <c r="U249" s="4"/>
      <c r="V249" s="4"/>
      <c r="W249" s="4"/>
      <c r="X249" s="4"/>
    </row>
    <row x14ac:dyDescent="0.25" r="250" customHeight="1" ht="12.75">
      <c r="A250" s="4"/>
      <c r="B250" s="29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29"/>
      <c r="N250" s="29"/>
      <c r="O250" s="29"/>
      <c r="P250" s="32"/>
      <c r="Q250" s="40"/>
      <c r="R250" s="4"/>
      <c r="S250" s="4"/>
      <c r="T250" s="4"/>
      <c r="U250" s="4"/>
      <c r="V250" s="4"/>
      <c r="W250" s="4"/>
      <c r="X250" s="4"/>
    </row>
    <row x14ac:dyDescent="0.25" r="251" customHeight="1" ht="12.75">
      <c r="A251" s="4"/>
      <c r="B251" s="29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29"/>
      <c r="N251" s="29"/>
      <c r="O251" s="29"/>
      <c r="P251" s="32"/>
      <c r="Q251" s="40"/>
      <c r="R251" s="4"/>
      <c r="S251" s="4"/>
      <c r="T251" s="4"/>
      <c r="U251" s="4"/>
      <c r="V251" s="4"/>
      <c r="W251" s="4"/>
      <c r="X251" s="4"/>
    </row>
    <row x14ac:dyDescent="0.25" r="252" customHeight="1" ht="12.75">
      <c r="A252" s="4"/>
      <c r="B252" s="29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29"/>
      <c r="N252" s="29"/>
      <c r="O252" s="29"/>
      <c r="P252" s="32"/>
      <c r="Q252" s="40"/>
      <c r="R252" s="4"/>
      <c r="S252" s="4"/>
      <c r="T252" s="4"/>
      <c r="U252" s="4"/>
      <c r="V252" s="4"/>
      <c r="W252" s="4"/>
      <c r="X252" s="4"/>
    </row>
    <row x14ac:dyDescent="0.25" r="253" customHeight="1" ht="12.75">
      <c r="A253" s="4"/>
      <c r="B253" s="29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29"/>
      <c r="N253" s="29"/>
      <c r="O253" s="29"/>
      <c r="P253" s="32"/>
      <c r="Q253" s="40"/>
      <c r="R253" s="4"/>
      <c r="S253" s="4"/>
      <c r="T253" s="4"/>
      <c r="U253" s="4"/>
      <c r="V253" s="4"/>
      <c r="W253" s="4"/>
      <c r="X253" s="4"/>
    </row>
    <row x14ac:dyDescent="0.25" r="254" customHeight="1" ht="12.75">
      <c r="A254" s="4"/>
      <c r="B254" s="29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29"/>
      <c r="N254" s="29"/>
      <c r="O254" s="29"/>
      <c r="P254" s="32"/>
      <c r="Q254" s="40"/>
      <c r="R254" s="4"/>
      <c r="S254" s="4"/>
      <c r="T254" s="4"/>
      <c r="U254" s="4"/>
      <c r="V254" s="4"/>
      <c r="W254" s="4"/>
      <c r="X254" s="4"/>
    </row>
    <row x14ac:dyDescent="0.25" r="255" customHeight="1" ht="12.75">
      <c r="A255" s="4"/>
      <c r="B255" s="29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29"/>
      <c r="N255" s="29"/>
      <c r="O255" s="29"/>
      <c r="P255" s="32"/>
      <c r="Q255" s="40"/>
      <c r="R255" s="4"/>
      <c r="S255" s="4"/>
      <c r="T255" s="4"/>
      <c r="U255" s="4"/>
      <c r="V255" s="4"/>
      <c r="W255" s="4"/>
      <c r="X255" s="4"/>
    </row>
    <row x14ac:dyDescent="0.25" r="256" customHeight="1" ht="12.75">
      <c r="A256" s="4"/>
      <c r="B256" s="29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29"/>
      <c r="N256" s="29"/>
      <c r="O256" s="29"/>
      <c r="P256" s="32"/>
      <c r="Q256" s="40"/>
      <c r="R256" s="4"/>
      <c r="S256" s="4"/>
      <c r="T256" s="4"/>
      <c r="U256" s="4"/>
      <c r="V256" s="4"/>
      <c r="W256" s="4"/>
      <c r="X256" s="4"/>
    </row>
    <row x14ac:dyDescent="0.25" r="257" customHeight="1" ht="12.75">
      <c r="A257" s="4"/>
      <c r="B257" s="29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29"/>
      <c r="N257" s="29"/>
      <c r="O257" s="29"/>
      <c r="P257" s="32"/>
      <c r="Q257" s="40"/>
      <c r="R257" s="4"/>
      <c r="S257" s="4"/>
      <c r="T257" s="4"/>
      <c r="U257" s="4"/>
      <c r="V257" s="4"/>
      <c r="W257" s="4"/>
      <c r="X257" s="4"/>
    </row>
    <row x14ac:dyDescent="0.25" r="258" customHeight="1" ht="12.75">
      <c r="A258" s="4"/>
      <c r="B258" s="29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29"/>
      <c r="N258" s="29"/>
      <c r="O258" s="29"/>
      <c r="P258" s="32"/>
      <c r="Q258" s="40"/>
      <c r="R258" s="4"/>
      <c r="S258" s="4"/>
      <c r="T258" s="4"/>
      <c r="U258" s="4"/>
      <c r="V258" s="4"/>
      <c r="W258" s="4"/>
      <c r="X258" s="4"/>
    </row>
    <row x14ac:dyDescent="0.25" r="259" customHeight="1" ht="12.75">
      <c r="A259" s="4"/>
      <c r="B259" s="29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29"/>
      <c r="N259" s="29"/>
      <c r="O259" s="29"/>
      <c r="P259" s="32"/>
      <c r="Q259" s="40"/>
      <c r="R259" s="4"/>
      <c r="S259" s="4"/>
      <c r="T259" s="4"/>
      <c r="U259" s="4"/>
      <c r="V259" s="4"/>
      <c r="W259" s="4"/>
      <c r="X259" s="4"/>
    </row>
    <row x14ac:dyDescent="0.25" r="260" customHeight="1" ht="12.75">
      <c r="A260" s="4"/>
      <c r="B260" s="29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29"/>
      <c r="N260" s="29"/>
      <c r="O260" s="29"/>
      <c r="P260" s="32"/>
      <c r="Q260" s="40"/>
      <c r="R260" s="4"/>
      <c r="S260" s="4"/>
      <c r="T260" s="4"/>
      <c r="U260" s="4"/>
      <c r="V260" s="4"/>
      <c r="W260" s="4"/>
      <c r="X260" s="4"/>
    </row>
    <row x14ac:dyDescent="0.25" r="261" customHeight="1" ht="12.75">
      <c r="A261" s="4"/>
      <c r="B261" s="29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29"/>
      <c r="N261" s="29"/>
      <c r="O261" s="29"/>
      <c r="P261" s="32"/>
      <c r="Q261" s="40"/>
      <c r="R261" s="4"/>
      <c r="S261" s="4"/>
      <c r="T261" s="4"/>
      <c r="U261" s="4"/>
      <c r="V261" s="4"/>
      <c r="W261" s="4"/>
      <c r="X261" s="4"/>
    </row>
    <row x14ac:dyDescent="0.25" r="262" customHeight="1" ht="12.75">
      <c r="A262" s="4"/>
      <c r="B262" s="29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29"/>
      <c r="N262" s="29"/>
      <c r="O262" s="29"/>
      <c r="P262" s="32"/>
      <c r="Q262" s="40"/>
      <c r="R262" s="4"/>
      <c r="S262" s="4"/>
      <c r="T262" s="4"/>
      <c r="U262" s="4"/>
      <c r="V262" s="4"/>
      <c r="W262" s="4"/>
      <c r="X262" s="4"/>
    </row>
    <row x14ac:dyDescent="0.25" r="263" customHeight="1" ht="12.75">
      <c r="A263" s="4"/>
      <c r="B263" s="29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29"/>
      <c r="N263" s="29"/>
      <c r="O263" s="29"/>
      <c r="P263" s="32"/>
      <c r="Q263" s="40"/>
      <c r="R263" s="4"/>
      <c r="S263" s="4"/>
      <c r="T263" s="4"/>
      <c r="U263" s="4"/>
      <c r="V263" s="4"/>
      <c r="W263" s="4"/>
      <c r="X263" s="4"/>
    </row>
    <row x14ac:dyDescent="0.25" r="264" customHeight="1" ht="12.75">
      <c r="A264" s="4"/>
      <c r="B264" s="29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29"/>
      <c r="N264" s="29"/>
      <c r="O264" s="29"/>
      <c r="P264" s="32"/>
      <c r="Q264" s="40"/>
      <c r="R264" s="4"/>
      <c r="S264" s="4"/>
      <c r="T264" s="4"/>
      <c r="U264" s="4"/>
      <c r="V264" s="4"/>
      <c r="W264" s="4"/>
      <c r="X264" s="4"/>
    </row>
    <row x14ac:dyDescent="0.25" r="265" customHeight="1" ht="12.75">
      <c r="A265" s="4"/>
      <c r="B265" s="29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29"/>
      <c r="N265" s="29"/>
      <c r="O265" s="29"/>
      <c r="P265" s="32"/>
      <c r="Q265" s="40"/>
      <c r="R265" s="4"/>
      <c r="S265" s="4"/>
      <c r="T265" s="4"/>
      <c r="U265" s="4"/>
      <c r="V265" s="4"/>
      <c r="W265" s="4"/>
      <c r="X265" s="4"/>
    </row>
    <row x14ac:dyDescent="0.25" r="266" customHeight="1" ht="12.75">
      <c r="A266" s="4"/>
      <c r="B266" s="29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29"/>
      <c r="N266" s="29"/>
      <c r="O266" s="29"/>
      <c r="P266" s="32"/>
      <c r="Q266" s="40"/>
      <c r="R266" s="4"/>
      <c r="S266" s="4"/>
      <c r="T266" s="4"/>
      <c r="U266" s="4"/>
      <c r="V266" s="4"/>
      <c r="W266" s="4"/>
      <c r="X266" s="4"/>
    </row>
    <row x14ac:dyDescent="0.25" r="267" customHeight="1" ht="12.75">
      <c r="A267" s="4"/>
      <c r="B267" s="29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29"/>
      <c r="N267" s="29"/>
      <c r="O267" s="29"/>
      <c r="P267" s="32"/>
      <c r="Q267" s="40"/>
      <c r="R267" s="4"/>
      <c r="S267" s="4"/>
      <c r="T267" s="4"/>
      <c r="U267" s="4"/>
      <c r="V267" s="4"/>
      <c r="W267" s="4"/>
      <c r="X267" s="4"/>
    </row>
    <row x14ac:dyDescent="0.25" r="268" customHeight="1" ht="12.75">
      <c r="A268" s="4"/>
      <c r="B268" s="29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29"/>
      <c r="N268" s="29"/>
      <c r="O268" s="29"/>
      <c r="P268" s="32"/>
      <c r="Q268" s="40"/>
      <c r="R268" s="4"/>
      <c r="S268" s="4"/>
      <c r="T268" s="4"/>
      <c r="U268" s="4"/>
      <c r="V268" s="4"/>
      <c r="W268" s="4"/>
      <c r="X268" s="4"/>
    </row>
    <row x14ac:dyDescent="0.25" r="269" customHeight="1" ht="12.75">
      <c r="A269" s="4"/>
      <c r="B269" s="29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29"/>
      <c r="N269" s="29"/>
      <c r="O269" s="29"/>
      <c r="P269" s="32"/>
      <c r="Q269" s="40"/>
      <c r="R269" s="4"/>
      <c r="S269" s="4"/>
      <c r="T269" s="4"/>
      <c r="U269" s="4"/>
      <c r="V269" s="4"/>
      <c r="W269" s="4"/>
      <c r="X269" s="4"/>
    </row>
    <row x14ac:dyDescent="0.25" r="270" customHeight="1" ht="12.75">
      <c r="A270" s="4"/>
      <c r="B270" s="29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29"/>
      <c r="N270" s="29"/>
      <c r="O270" s="29"/>
      <c r="P270" s="32"/>
      <c r="Q270" s="40"/>
      <c r="R270" s="4"/>
      <c r="S270" s="4"/>
      <c r="T270" s="4"/>
      <c r="U270" s="4"/>
      <c r="V270" s="4"/>
      <c r="W270" s="4"/>
      <c r="X270" s="4"/>
    </row>
    <row x14ac:dyDescent="0.25" r="271" customHeight="1" ht="12.75">
      <c r="A271" s="4"/>
      <c r="B271" s="29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29"/>
      <c r="N271" s="29"/>
      <c r="O271" s="29"/>
      <c r="P271" s="32"/>
      <c r="Q271" s="40"/>
      <c r="R271" s="4"/>
      <c r="S271" s="4"/>
      <c r="T271" s="4"/>
      <c r="U271" s="4"/>
      <c r="V271" s="4"/>
      <c r="W271" s="4"/>
      <c r="X271" s="4"/>
    </row>
    <row x14ac:dyDescent="0.25" r="272" customHeight="1" ht="12.75">
      <c r="A272" s="4"/>
      <c r="B272" s="29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29"/>
      <c r="N272" s="29"/>
      <c r="O272" s="29"/>
      <c r="P272" s="32"/>
      <c r="Q272" s="40"/>
      <c r="R272" s="4"/>
      <c r="S272" s="4"/>
      <c r="T272" s="4"/>
      <c r="U272" s="4"/>
      <c r="V272" s="4"/>
      <c r="W272" s="4"/>
      <c r="X272" s="4"/>
    </row>
    <row x14ac:dyDescent="0.25" r="273" customHeight="1" ht="12.75">
      <c r="A273" s="4"/>
      <c r="B273" s="29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29"/>
      <c r="N273" s="29"/>
      <c r="O273" s="29"/>
      <c r="P273" s="32"/>
      <c r="Q273" s="40"/>
      <c r="R273" s="4"/>
      <c r="S273" s="4"/>
      <c r="T273" s="4"/>
      <c r="U273" s="4"/>
      <c r="V273" s="4"/>
      <c r="W273" s="4"/>
      <c r="X273" s="4"/>
    </row>
    <row x14ac:dyDescent="0.25" r="274" customHeight="1" ht="12.75">
      <c r="A274" s="4"/>
      <c r="B274" s="29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29"/>
      <c r="N274" s="29"/>
      <c r="O274" s="29"/>
      <c r="P274" s="32"/>
      <c r="Q274" s="40"/>
      <c r="R274" s="4"/>
      <c r="S274" s="4"/>
      <c r="T274" s="4"/>
      <c r="U274" s="4"/>
      <c r="V274" s="4"/>
      <c r="W274" s="4"/>
      <c r="X274" s="4"/>
    </row>
    <row x14ac:dyDescent="0.25" r="275" customHeight="1" ht="12.75">
      <c r="A275" s="4"/>
      <c r="B275" s="29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29"/>
      <c r="N275" s="29"/>
      <c r="O275" s="29"/>
      <c r="P275" s="32"/>
      <c r="Q275" s="40"/>
      <c r="R275" s="4"/>
      <c r="S275" s="4"/>
      <c r="T275" s="4"/>
      <c r="U275" s="4"/>
      <c r="V275" s="4"/>
      <c r="W275" s="4"/>
      <c r="X275" s="4"/>
    </row>
    <row x14ac:dyDescent="0.25" r="276" customHeight="1" ht="12.75">
      <c r="A276" s="4"/>
      <c r="B276" s="29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29"/>
      <c r="N276" s="29"/>
      <c r="O276" s="29"/>
      <c r="P276" s="32"/>
      <c r="Q276" s="40"/>
      <c r="R276" s="4"/>
      <c r="S276" s="4"/>
      <c r="T276" s="4"/>
      <c r="U276" s="4"/>
      <c r="V276" s="4"/>
      <c r="W276" s="4"/>
      <c r="X276" s="4"/>
    </row>
    <row x14ac:dyDescent="0.25" r="277" customHeight="1" ht="12.75">
      <c r="A277" s="4"/>
      <c r="B277" s="29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29"/>
      <c r="N277" s="29"/>
      <c r="O277" s="29"/>
      <c r="P277" s="32"/>
      <c r="Q277" s="40"/>
      <c r="R277" s="4"/>
      <c r="S277" s="4"/>
      <c r="T277" s="4"/>
      <c r="U277" s="4"/>
      <c r="V277" s="4"/>
      <c r="W277" s="4"/>
      <c r="X277" s="4"/>
    </row>
    <row x14ac:dyDescent="0.25" r="278" customHeight="1" ht="12.75">
      <c r="A278" s="4"/>
      <c r="B278" s="29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29"/>
      <c r="N278" s="29"/>
      <c r="O278" s="29"/>
      <c r="P278" s="32"/>
      <c r="Q278" s="40"/>
      <c r="R278" s="4"/>
      <c r="S278" s="4"/>
      <c r="T278" s="4"/>
      <c r="U278" s="4"/>
      <c r="V278" s="4"/>
      <c r="W278" s="4"/>
      <c r="X278" s="4"/>
    </row>
    <row x14ac:dyDescent="0.25" r="279" customHeight="1" ht="12.75">
      <c r="A279" s="4"/>
      <c r="B279" s="29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29"/>
      <c r="N279" s="29"/>
      <c r="O279" s="29"/>
      <c r="P279" s="32"/>
      <c r="Q279" s="40"/>
      <c r="R279" s="4"/>
      <c r="S279" s="4"/>
      <c r="T279" s="4"/>
      <c r="U279" s="4"/>
      <c r="V279" s="4"/>
      <c r="W279" s="4"/>
      <c r="X279" s="4"/>
    </row>
    <row x14ac:dyDescent="0.25" r="280" customHeight="1" ht="12.75">
      <c r="A280" s="4"/>
      <c r="B280" s="29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29"/>
      <c r="N280" s="29"/>
      <c r="O280" s="29"/>
      <c r="P280" s="32"/>
      <c r="Q280" s="40"/>
      <c r="R280" s="4"/>
      <c r="S280" s="4"/>
      <c r="T280" s="4"/>
      <c r="U280" s="4"/>
      <c r="V280" s="4"/>
      <c r="W280" s="4"/>
      <c r="X280" s="4"/>
    </row>
    <row x14ac:dyDescent="0.25" r="281" customHeight="1" ht="12.75">
      <c r="A281" s="4"/>
      <c r="B281" s="29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29"/>
      <c r="N281" s="29"/>
      <c r="O281" s="29"/>
      <c r="P281" s="32"/>
      <c r="Q281" s="40"/>
      <c r="R281" s="4"/>
      <c r="S281" s="4"/>
      <c r="T281" s="4"/>
      <c r="U281" s="4"/>
      <c r="V281" s="4"/>
      <c r="W281" s="4"/>
      <c r="X281" s="4"/>
    </row>
    <row x14ac:dyDescent="0.25" r="282" customHeight="1" ht="12.75">
      <c r="A282" s="4"/>
      <c r="B282" s="29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29"/>
      <c r="N282" s="29"/>
      <c r="O282" s="29"/>
      <c r="P282" s="32"/>
      <c r="Q282" s="40"/>
      <c r="R282" s="4"/>
      <c r="S282" s="4"/>
      <c r="T282" s="4"/>
      <c r="U282" s="4"/>
      <c r="V282" s="4"/>
      <c r="W282" s="4"/>
      <c r="X282" s="4"/>
    </row>
    <row x14ac:dyDescent="0.25" r="283" customHeight="1" ht="12.75">
      <c r="A283" s="4"/>
      <c r="B283" s="29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29"/>
      <c r="N283" s="29"/>
      <c r="O283" s="29"/>
      <c r="P283" s="32"/>
      <c r="Q283" s="40"/>
      <c r="R283" s="4"/>
      <c r="S283" s="4"/>
      <c r="T283" s="4"/>
      <c r="U283" s="4"/>
      <c r="V283" s="4"/>
      <c r="W283" s="4"/>
      <c r="X283" s="4"/>
    </row>
    <row x14ac:dyDescent="0.25" r="284" customHeight="1" ht="12.75">
      <c r="A284" s="4"/>
      <c r="B284" s="29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29"/>
      <c r="N284" s="29"/>
      <c r="O284" s="29"/>
      <c r="P284" s="32"/>
      <c r="Q284" s="40"/>
      <c r="R284" s="4"/>
      <c r="S284" s="4"/>
      <c r="T284" s="4"/>
      <c r="U284" s="4"/>
      <c r="V284" s="4"/>
      <c r="W284" s="4"/>
      <c r="X284" s="4"/>
    </row>
    <row x14ac:dyDescent="0.25" r="285" customHeight="1" ht="12.75">
      <c r="A285" s="4"/>
      <c r="B285" s="29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29"/>
      <c r="N285" s="29"/>
      <c r="O285" s="29"/>
      <c r="P285" s="32"/>
      <c r="Q285" s="40"/>
      <c r="R285" s="4"/>
      <c r="S285" s="4"/>
      <c r="T285" s="4"/>
      <c r="U285" s="4"/>
      <c r="V285" s="4"/>
      <c r="W285" s="4"/>
      <c r="X285" s="4"/>
    </row>
    <row x14ac:dyDescent="0.25" r="286" customHeight="1" ht="12.75">
      <c r="A286" s="4"/>
      <c r="B286" s="29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29"/>
      <c r="N286" s="29"/>
      <c r="O286" s="29"/>
      <c r="P286" s="32"/>
      <c r="Q286" s="40"/>
      <c r="R286" s="4"/>
      <c r="S286" s="4"/>
      <c r="T286" s="4"/>
      <c r="U286" s="4"/>
      <c r="V286" s="4"/>
      <c r="W286" s="4"/>
      <c r="X286" s="4"/>
    </row>
    <row x14ac:dyDescent="0.25" r="287" customHeight="1" ht="12.75">
      <c r="A287" s="4"/>
      <c r="B287" s="29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29"/>
      <c r="N287" s="29"/>
      <c r="O287" s="29"/>
      <c r="P287" s="32"/>
      <c r="Q287" s="40"/>
      <c r="R287" s="4"/>
      <c r="S287" s="4"/>
      <c r="T287" s="4"/>
      <c r="U287" s="4"/>
      <c r="V287" s="4"/>
      <c r="W287" s="4"/>
      <c r="X287" s="4"/>
    </row>
    <row x14ac:dyDescent="0.25" r="288" customHeight="1" ht="12.75">
      <c r="A288" s="4"/>
      <c r="B288" s="29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29"/>
      <c r="N288" s="29"/>
      <c r="O288" s="29"/>
      <c r="P288" s="32"/>
      <c r="Q288" s="40"/>
      <c r="R288" s="4"/>
      <c r="S288" s="4"/>
      <c r="T288" s="4"/>
      <c r="U288" s="4"/>
      <c r="V288" s="4"/>
      <c r="W288" s="4"/>
      <c r="X288" s="4"/>
    </row>
    <row x14ac:dyDescent="0.25" r="289" customHeight="1" ht="12.75">
      <c r="A289" s="4"/>
      <c r="B289" s="29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29"/>
      <c r="N289" s="29"/>
      <c r="O289" s="29"/>
      <c r="P289" s="32"/>
      <c r="Q289" s="40"/>
      <c r="R289" s="4"/>
      <c r="S289" s="4"/>
      <c r="T289" s="4"/>
      <c r="U289" s="4"/>
      <c r="V289" s="4"/>
      <c r="W289" s="4"/>
      <c r="X289" s="4"/>
    </row>
    <row x14ac:dyDescent="0.25" r="290" customHeight="1" ht="12.75">
      <c r="A290" s="4"/>
      <c r="B290" s="29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29"/>
      <c r="N290" s="29"/>
      <c r="O290" s="29"/>
      <c r="P290" s="32"/>
      <c r="Q290" s="40"/>
      <c r="R290" s="4"/>
      <c r="S290" s="4"/>
      <c r="T290" s="4"/>
      <c r="U290" s="4"/>
      <c r="V290" s="4"/>
      <c r="W290" s="4"/>
      <c r="X290" s="4"/>
    </row>
    <row x14ac:dyDescent="0.25" r="291" customHeight="1" ht="12.75">
      <c r="A291" s="4"/>
      <c r="B291" s="29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29"/>
      <c r="N291" s="29"/>
      <c r="O291" s="29"/>
      <c r="P291" s="32"/>
      <c r="Q291" s="40"/>
      <c r="R291" s="4"/>
      <c r="S291" s="4"/>
      <c r="T291" s="4"/>
      <c r="U291" s="4"/>
      <c r="V291" s="4"/>
      <c r="W291" s="4"/>
      <c r="X291" s="4"/>
    </row>
    <row x14ac:dyDescent="0.25" r="292" customHeight="1" ht="12.75">
      <c r="A292" s="4"/>
      <c r="B292" s="29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29"/>
      <c r="N292" s="29"/>
      <c r="O292" s="29"/>
      <c r="P292" s="32"/>
      <c r="Q292" s="40"/>
      <c r="R292" s="4"/>
      <c r="S292" s="4"/>
      <c r="T292" s="4"/>
      <c r="U292" s="4"/>
      <c r="V292" s="4"/>
      <c r="W292" s="4"/>
      <c r="X292" s="4"/>
    </row>
    <row x14ac:dyDescent="0.25" r="293" customHeight="1" ht="12.75">
      <c r="A293" s="4"/>
      <c r="B293" s="29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29"/>
      <c r="N293" s="29"/>
      <c r="O293" s="29"/>
      <c r="P293" s="32"/>
      <c r="Q293" s="40"/>
      <c r="R293" s="4"/>
      <c r="S293" s="4"/>
      <c r="T293" s="4"/>
      <c r="U293" s="4"/>
      <c r="V293" s="4"/>
      <c r="W293" s="4"/>
      <c r="X293" s="4"/>
    </row>
    <row x14ac:dyDescent="0.25" r="294" customHeight="1" ht="12.75">
      <c r="A294" s="4"/>
      <c r="B294" s="29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29"/>
      <c r="N294" s="29"/>
      <c r="O294" s="29"/>
      <c r="P294" s="32"/>
      <c r="Q294" s="40"/>
      <c r="R294" s="4"/>
      <c r="S294" s="4"/>
      <c r="T294" s="4"/>
      <c r="U294" s="4"/>
      <c r="V294" s="4"/>
      <c r="W294" s="4"/>
      <c r="X294" s="4"/>
    </row>
    <row x14ac:dyDescent="0.25" r="295" customHeight="1" ht="12.75">
      <c r="A295" s="4"/>
      <c r="B295" s="29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29"/>
      <c r="N295" s="29"/>
      <c r="O295" s="29"/>
      <c r="P295" s="32"/>
      <c r="Q295" s="40"/>
      <c r="R295" s="4"/>
      <c r="S295" s="4"/>
      <c r="T295" s="4"/>
      <c r="U295" s="4"/>
      <c r="V295" s="4"/>
      <c r="W295" s="4"/>
      <c r="X295" s="4"/>
    </row>
    <row x14ac:dyDescent="0.25" r="296" customHeight="1" ht="12.75">
      <c r="A296" s="4"/>
      <c r="B296" s="29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29"/>
      <c r="N296" s="29"/>
      <c r="O296" s="29"/>
      <c r="P296" s="32"/>
      <c r="Q296" s="40"/>
      <c r="R296" s="4"/>
      <c r="S296" s="4"/>
      <c r="T296" s="4"/>
      <c r="U296" s="4"/>
      <c r="V296" s="4"/>
      <c r="W296" s="4"/>
      <c r="X296" s="4"/>
    </row>
    <row x14ac:dyDescent="0.25" r="297" customHeight="1" ht="12.75">
      <c r="A297" s="4"/>
      <c r="B297" s="29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29"/>
      <c r="N297" s="29"/>
      <c r="O297" s="29"/>
      <c r="P297" s="32"/>
      <c r="Q297" s="40"/>
      <c r="R297" s="4"/>
      <c r="S297" s="4"/>
      <c r="T297" s="4"/>
      <c r="U297" s="4"/>
      <c r="V297" s="4"/>
      <c r="W297" s="4"/>
      <c r="X297" s="4"/>
    </row>
    <row x14ac:dyDescent="0.25" r="298" customHeight="1" ht="12.75">
      <c r="A298" s="4"/>
      <c r="B298" s="29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29"/>
      <c r="N298" s="29"/>
      <c r="O298" s="29"/>
      <c r="P298" s="32"/>
      <c r="Q298" s="40"/>
      <c r="R298" s="4"/>
      <c r="S298" s="4"/>
      <c r="T298" s="4"/>
      <c r="U298" s="4"/>
      <c r="V298" s="4"/>
      <c r="W298" s="4"/>
      <c r="X298" s="4"/>
    </row>
    <row x14ac:dyDescent="0.25" r="299" customHeight="1" ht="12.75">
      <c r="A299" s="4"/>
      <c r="B299" s="29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29"/>
      <c r="N299" s="29"/>
      <c r="O299" s="29"/>
      <c r="P299" s="32"/>
      <c r="Q299" s="40"/>
      <c r="R299" s="4"/>
      <c r="S299" s="4"/>
      <c r="T299" s="4"/>
      <c r="U299" s="4"/>
      <c r="V299" s="4"/>
      <c r="W299" s="4"/>
      <c r="X299" s="4"/>
    </row>
    <row x14ac:dyDescent="0.25" r="300" customHeight="1" ht="12.75">
      <c r="A300" s="4"/>
      <c r="B300" s="29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29"/>
      <c r="N300" s="29"/>
      <c r="O300" s="29"/>
      <c r="P300" s="32"/>
      <c r="Q300" s="40"/>
      <c r="R300" s="4"/>
      <c r="S300" s="4"/>
      <c r="T300" s="4"/>
      <c r="U300" s="4"/>
      <c r="V300" s="4"/>
      <c r="W300" s="4"/>
      <c r="X300" s="4"/>
    </row>
    <row x14ac:dyDescent="0.25" r="301" customHeight="1" ht="12.75">
      <c r="A301" s="4"/>
      <c r="B301" s="29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29"/>
      <c r="N301" s="29"/>
      <c r="O301" s="29"/>
      <c r="P301" s="32"/>
      <c r="Q301" s="40"/>
      <c r="R301" s="4"/>
      <c r="S301" s="4"/>
      <c r="T301" s="4"/>
      <c r="U301" s="4"/>
      <c r="V301" s="4"/>
      <c r="W301" s="4"/>
      <c r="X301" s="4"/>
    </row>
    <row x14ac:dyDescent="0.25" r="302" customHeight="1" ht="12.75">
      <c r="A302" s="4"/>
      <c r="B302" s="29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29"/>
      <c r="N302" s="29"/>
      <c r="O302" s="29"/>
      <c r="P302" s="32"/>
      <c r="Q302" s="40"/>
      <c r="R302" s="4"/>
      <c r="S302" s="4"/>
      <c r="T302" s="4"/>
      <c r="U302" s="4"/>
      <c r="V302" s="4"/>
      <c r="W302" s="4"/>
      <c r="X302" s="4"/>
    </row>
    <row x14ac:dyDescent="0.25" r="303" customHeight="1" ht="12.75">
      <c r="A303" s="4"/>
      <c r="B303" s="29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29"/>
      <c r="N303" s="29"/>
      <c r="O303" s="29"/>
      <c r="P303" s="32"/>
      <c r="Q303" s="40"/>
      <c r="R303" s="4"/>
      <c r="S303" s="4"/>
      <c r="T303" s="4"/>
      <c r="U303" s="4"/>
      <c r="V303" s="4"/>
      <c r="W303" s="4"/>
      <c r="X303" s="4"/>
    </row>
    <row x14ac:dyDescent="0.25" r="304" customHeight="1" ht="12.75">
      <c r="A304" s="4"/>
      <c r="B304" s="29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29"/>
      <c r="N304" s="29"/>
      <c r="O304" s="29"/>
      <c r="P304" s="32"/>
      <c r="Q304" s="40"/>
      <c r="R304" s="4"/>
      <c r="S304" s="4"/>
      <c r="T304" s="4"/>
      <c r="U304" s="4"/>
      <c r="V304" s="4"/>
      <c r="W304" s="4"/>
      <c r="X304" s="4"/>
    </row>
    <row x14ac:dyDescent="0.25" r="305" customHeight="1" ht="12.75">
      <c r="A305" s="4"/>
      <c r="B305" s="29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29"/>
      <c r="N305" s="29"/>
      <c r="O305" s="29"/>
      <c r="P305" s="32"/>
      <c r="Q305" s="40"/>
      <c r="R305" s="4"/>
      <c r="S305" s="4"/>
      <c r="T305" s="4"/>
      <c r="U305" s="4"/>
      <c r="V305" s="4"/>
      <c r="W305" s="4"/>
      <c r="X305" s="4"/>
    </row>
    <row x14ac:dyDescent="0.25" r="306" customHeight="1" ht="12.75">
      <c r="A306" s="4"/>
      <c r="B306" s="29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29"/>
      <c r="N306" s="29"/>
      <c r="O306" s="29"/>
      <c r="P306" s="32"/>
      <c r="Q306" s="40"/>
      <c r="R306" s="4"/>
      <c r="S306" s="4"/>
      <c r="T306" s="4"/>
      <c r="U306" s="4"/>
      <c r="V306" s="4"/>
      <c r="W306" s="4"/>
      <c r="X306" s="4"/>
    </row>
    <row x14ac:dyDescent="0.25" r="307" customHeight="1" ht="12.75">
      <c r="A307" s="4"/>
      <c r="B307" s="29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29"/>
      <c r="N307" s="29"/>
      <c r="O307" s="29"/>
      <c r="P307" s="32"/>
      <c r="Q307" s="40"/>
      <c r="R307" s="4"/>
      <c r="S307" s="4"/>
      <c r="T307" s="4"/>
      <c r="U307" s="4"/>
      <c r="V307" s="4"/>
      <c r="W307" s="4"/>
      <c r="X307" s="4"/>
    </row>
    <row x14ac:dyDescent="0.25" r="308" customHeight="1" ht="12.75">
      <c r="A308" s="4"/>
      <c r="B308" s="29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29"/>
      <c r="N308" s="29"/>
      <c r="O308" s="29"/>
      <c r="P308" s="32"/>
      <c r="Q308" s="40"/>
      <c r="R308" s="4"/>
      <c r="S308" s="4"/>
      <c r="T308" s="4"/>
      <c r="U308" s="4"/>
      <c r="V308" s="4"/>
      <c r="W308" s="4"/>
      <c r="X308" s="4"/>
    </row>
    <row x14ac:dyDescent="0.25" r="309" customHeight="1" ht="12.75">
      <c r="A309" s="4"/>
      <c r="B309" s="29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29"/>
      <c r="N309" s="29"/>
      <c r="O309" s="29"/>
      <c r="P309" s="32"/>
      <c r="Q309" s="40"/>
      <c r="R309" s="4"/>
      <c r="S309" s="4"/>
      <c r="T309" s="4"/>
      <c r="U309" s="4"/>
      <c r="V309" s="4"/>
      <c r="W309" s="4"/>
      <c r="X309" s="4"/>
    </row>
    <row x14ac:dyDescent="0.25" r="310" customHeight="1" ht="12.75">
      <c r="A310" s="4"/>
      <c r="B310" s="29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29"/>
      <c r="N310" s="29"/>
      <c r="O310" s="29"/>
      <c r="P310" s="32"/>
      <c r="Q310" s="40"/>
      <c r="R310" s="4"/>
      <c r="S310" s="4"/>
      <c r="T310" s="4"/>
      <c r="U310" s="4"/>
      <c r="V310" s="4"/>
      <c r="W310" s="4"/>
      <c r="X310" s="4"/>
    </row>
    <row x14ac:dyDescent="0.25" r="311" customHeight="1" ht="12.75">
      <c r="A311" s="4"/>
      <c r="B311" s="29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29"/>
      <c r="N311" s="29"/>
      <c r="O311" s="29"/>
      <c r="P311" s="32"/>
      <c r="Q311" s="40"/>
      <c r="R311" s="4"/>
      <c r="S311" s="4"/>
      <c r="T311" s="4"/>
      <c r="U311" s="4"/>
      <c r="V311" s="4"/>
      <c r="W311" s="4"/>
      <c r="X311" s="4"/>
    </row>
    <row x14ac:dyDescent="0.25" r="312" customHeight="1" ht="12.75">
      <c r="A312" s="4"/>
      <c r="B312" s="29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29"/>
      <c r="N312" s="29"/>
      <c r="O312" s="29"/>
      <c r="P312" s="32"/>
      <c r="Q312" s="40"/>
      <c r="R312" s="4"/>
      <c r="S312" s="4"/>
      <c r="T312" s="4"/>
      <c r="U312" s="4"/>
      <c r="V312" s="4"/>
      <c r="W312" s="4"/>
      <c r="X312" s="4"/>
    </row>
    <row x14ac:dyDescent="0.25" r="313" customHeight="1" ht="12.75">
      <c r="A313" s="4"/>
      <c r="B313" s="29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29"/>
      <c r="N313" s="29"/>
      <c r="O313" s="29"/>
      <c r="P313" s="32"/>
      <c r="Q313" s="40"/>
      <c r="R313" s="4"/>
      <c r="S313" s="4"/>
      <c r="T313" s="4"/>
      <c r="U313" s="4"/>
      <c r="V313" s="4"/>
      <c r="W313" s="4"/>
      <c r="X313" s="4"/>
    </row>
    <row x14ac:dyDescent="0.25" r="314" customHeight="1" ht="12.75">
      <c r="A314" s="4"/>
      <c r="B314" s="29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29"/>
      <c r="N314" s="29"/>
      <c r="O314" s="29"/>
      <c r="P314" s="32"/>
      <c r="Q314" s="40"/>
      <c r="R314" s="4"/>
      <c r="S314" s="4"/>
      <c r="T314" s="4"/>
      <c r="U314" s="4"/>
      <c r="V314" s="4"/>
      <c r="W314" s="4"/>
      <c r="X314" s="4"/>
    </row>
    <row x14ac:dyDescent="0.25" r="315" customHeight="1" ht="12.75">
      <c r="A315" s="4"/>
      <c r="B315" s="29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29"/>
      <c r="N315" s="29"/>
      <c r="O315" s="29"/>
      <c r="P315" s="32"/>
      <c r="Q315" s="40"/>
      <c r="R315" s="4"/>
      <c r="S315" s="4"/>
      <c r="T315" s="4"/>
      <c r="U315" s="4"/>
      <c r="V315" s="4"/>
      <c r="W315" s="4"/>
      <c r="X315" s="4"/>
    </row>
    <row x14ac:dyDescent="0.25" r="316" customHeight="1" ht="12.75">
      <c r="A316" s="4"/>
      <c r="B316" s="29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29"/>
      <c r="N316" s="29"/>
      <c r="O316" s="29"/>
      <c r="P316" s="32"/>
      <c r="Q316" s="40"/>
      <c r="R316" s="4"/>
      <c r="S316" s="4"/>
      <c r="T316" s="4"/>
      <c r="U316" s="4"/>
      <c r="V316" s="4"/>
      <c r="W316" s="4"/>
      <c r="X316" s="4"/>
    </row>
    <row x14ac:dyDescent="0.25" r="317" customHeight="1" ht="12.75">
      <c r="A317" s="4"/>
      <c r="B317" s="29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29"/>
      <c r="N317" s="29"/>
      <c r="O317" s="29"/>
      <c r="P317" s="32"/>
      <c r="Q317" s="40"/>
      <c r="R317" s="4"/>
      <c r="S317" s="4"/>
      <c r="T317" s="4"/>
      <c r="U317" s="4"/>
      <c r="V317" s="4"/>
      <c r="W317" s="4"/>
      <c r="X317" s="4"/>
    </row>
    <row x14ac:dyDescent="0.25" r="318" customHeight="1" ht="12.75">
      <c r="A318" s="4"/>
      <c r="B318" s="29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29"/>
      <c r="N318" s="29"/>
      <c r="O318" s="29"/>
      <c r="P318" s="32"/>
      <c r="Q318" s="40"/>
      <c r="R318" s="4"/>
      <c r="S318" s="4"/>
      <c r="T318" s="4"/>
      <c r="U318" s="4"/>
      <c r="V318" s="4"/>
      <c r="W318" s="4"/>
      <c r="X318" s="4"/>
    </row>
    <row x14ac:dyDescent="0.25" r="319" customHeight="1" ht="12.75">
      <c r="A319" s="4"/>
      <c r="B319" s="29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29"/>
      <c r="N319" s="29"/>
      <c r="O319" s="29"/>
      <c r="P319" s="32"/>
      <c r="Q319" s="40"/>
      <c r="R319" s="4"/>
      <c r="S319" s="4"/>
      <c r="T319" s="4"/>
      <c r="U319" s="4"/>
      <c r="V319" s="4"/>
      <c r="W319" s="4"/>
      <c r="X319" s="4"/>
    </row>
    <row x14ac:dyDescent="0.25" r="320" customHeight="1" ht="12.75">
      <c r="A320" s="4"/>
      <c r="B320" s="29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29"/>
      <c r="N320" s="29"/>
      <c r="O320" s="29"/>
      <c r="P320" s="32"/>
      <c r="Q320" s="40"/>
      <c r="R320" s="4"/>
      <c r="S320" s="4"/>
      <c r="T320" s="4"/>
      <c r="U320" s="4"/>
      <c r="V320" s="4"/>
      <c r="W320" s="4"/>
      <c r="X320" s="4"/>
    </row>
    <row x14ac:dyDescent="0.25" r="321" customHeight="1" ht="12.75">
      <c r="A321" s="4"/>
      <c r="B321" s="29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29"/>
      <c r="N321" s="29"/>
      <c r="O321" s="29"/>
      <c r="P321" s="32"/>
      <c r="Q321" s="40"/>
      <c r="R321" s="4"/>
      <c r="S321" s="4"/>
      <c r="T321" s="4"/>
      <c r="U321" s="4"/>
      <c r="V321" s="4"/>
      <c r="W321" s="4"/>
      <c r="X321" s="4"/>
    </row>
    <row x14ac:dyDescent="0.25" r="322" customHeight="1" ht="12.75">
      <c r="A322" s="4"/>
      <c r="B322" s="29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29"/>
      <c r="N322" s="29"/>
      <c r="O322" s="29"/>
      <c r="P322" s="32"/>
      <c r="Q322" s="40"/>
      <c r="R322" s="4"/>
      <c r="S322" s="4"/>
      <c r="T322" s="4"/>
      <c r="U322" s="4"/>
      <c r="V322" s="4"/>
      <c r="W322" s="4"/>
      <c r="X322" s="4"/>
    </row>
    <row x14ac:dyDescent="0.25" r="323" customHeight="1" ht="12.75">
      <c r="A323" s="4"/>
      <c r="B323" s="29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29"/>
      <c r="N323" s="29"/>
      <c r="O323" s="29"/>
      <c r="P323" s="32"/>
      <c r="Q323" s="40"/>
      <c r="R323" s="4"/>
      <c r="S323" s="4"/>
      <c r="T323" s="4"/>
      <c r="U323" s="4"/>
      <c r="V323" s="4"/>
      <c r="W323" s="4"/>
      <c r="X323" s="4"/>
    </row>
    <row x14ac:dyDescent="0.25" r="324" customHeight="1" ht="12.75">
      <c r="A324" s="4"/>
      <c r="B324" s="29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29"/>
      <c r="N324" s="29"/>
      <c r="O324" s="29"/>
      <c r="P324" s="32"/>
      <c r="Q324" s="40"/>
      <c r="R324" s="4"/>
      <c r="S324" s="4"/>
      <c r="T324" s="4"/>
      <c r="U324" s="4"/>
      <c r="V324" s="4"/>
      <c r="W324" s="4"/>
      <c r="X324" s="4"/>
    </row>
    <row x14ac:dyDescent="0.25" r="325" customHeight="1" ht="12.75">
      <c r="A325" s="4"/>
      <c r="B325" s="29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29"/>
      <c r="N325" s="29"/>
      <c r="O325" s="29"/>
      <c r="P325" s="32"/>
      <c r="Q325" s="40"/>
      <c r="R325" s="4"/>
      <c r="S325" s="4"/>
      <c r="T325" s="4"/>
      <c r="U325" s="4"/>
      <c r="V325" s="4"/>
      <c r="W325" s="4"/>
      <c r="X325" s="4"/>
    </row>
    <row x14ac:dyDescent="0.25" r="326" customHeight="1" ht="12.75">
      <c r="A326" s="4"/>
      <c r="B326" s="29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29"/>
      <c r="N326" s="29"/>
      <c r="O326" s="29"/>
      <c r="P326" s="32"/>
      <c r="Q326" s="40"/>
      <c r="R326" s="4"/>
      <c r="S326" s="4"/>
      <c r="T326" s="4"/>
      <c r="U326" s="4"/>
      <c r="V326" s="4"/>
      <c r="W326" s="4"/>
      <c r="X326" s="4"/>
    </row>
    <row x14ac:dyDescent="0.25" r="327" customHeight="1" ht="12.75">
      <c r="A327" s="4"/>
      <c r="B327" s="29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29"/>
      <c r="N327" s="29"/>
      <c r="O327" s="29"/>
      <c r="P327" s="32"/>
      <c r="Q327" s="40"/>
      <c r="R327" s="4"/>
      <c r="S327" s="4"/>
      <c r="T327" s="4"/>
      <c r="U327" s="4"/>
      <c r="V327" s="4"/>
      <c r="W327" s="4"/>
      <c r="X327" s="4"/>
    </row>
    <row x14ac:dyDescent="0.25" r="328" customHeight="1" ht="12.75">
      <c r="A328" s="4"/>
      <c r="B328" s="29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29"/>
      <c r="N328" s="29"/>
      <c r="O328" s="29"/>
      <c r="P328" s="32"/>
      <c r="Q328" s="40"/>
      <c r="R328" s="4"/>
      <c r="S328" s="4"/>
      <c r="T328" s="4"/>
      <c r="U328" s="4"/>
      <c r="V328" s="4"/>
      <c r="W328" s="4"/>
      <c r="X328" s="4"/>
    </row>
    <row x14ac:dyDescent="0.25" r="329" customHeight="1" ht="12.75">
      <c r="A329" s="4"/>
      <c r="B329" s="29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29"/>
      <c r="N329" s="29"/>
      <c r="O329" s="29"/>
      <c r="P329" s="32"/>
      <c r="Q329" s="40"/>
      <c r="R329" s="4"/>
      <c r="S329" s="4"/>
      <c r="T329" s="4"/>
      <c r="U329" s="4"/>
      <c r="V329" s="4"/>
      <c r="W329" s="4"/>
      <c r="X329" s="4"/>
    </row>
    <row x14ac:dyDescent="0.25" r="330" customHeight="1" ht="12.75">
      <c r="A330" s="4"/>
      <c r="B330" s="29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29"/>
      <c r="N330" s="29"/>
      <c r="O330" s="29"/>
      <c r="P330" s="32"/>
      <c r="Q330" s="40"/>
      <c r="R330" s="4"/>
      <c r="S330" s="4"/>
      <c r="T330" s="4"/>
      <c r="U330" s="4"/>
      <c r="V330" s="4"/>
      <c r="W330" s="4"/>
      <c r="X330" s="4"/>
    </row>
    <row x14ac:dyDescent="0.25" r="331" customHeight="1" ht="12.75">
      <c r="A331" s="4"/>
      <c r="B331" s="29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29"/>
      <c r="N331" s="29"/>
      <c r="O331" s="29"/>
      <c r="P331" s="32"/>
      <c r="Q331" s="40"/>
      <c r="R331" s="4"/>
      <c r="S331" s="4"/>
      <c r="T331" s="4"/>
      <c r="U331" s="4"/>
      <c r="V331" s="4"/>
      <c r="W331" s="4"/>
      <c r="X331" s="4"/>
    </row>
    <row x14ac:dyDescent="0.25" r="332" customHeight="1" ht="12.75">
      <c r="A332" s="4"/>
      <c r="B332" s="29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29"/>
      <c r="N332" s="29"/>
      <c r="O332" s="29"/>
      <c r="P332" s="32"/>
      <c r="Q332" s="40"/>
      <c r="R332" s="4"/>
      <c r="S332" s="4"/>
      <c r="T332" s="4"/>
      <c r="U332" s="4"/>
      <c r="V332" s="4"/>
      <c r="W332" s="4"/>
      <c r="X332" s="4"/>
    </row>
    <row x14ac:dyDescent="0.25" r="333" customHeight="1" ht="12.75">
      <c r="A333" s="4"/>
      <c r="B333" s="29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29"/>
      <c r="N333" s="29"/>
      <c r="O333" s="29"/>
      <c r="P333" s="32"/>
      <c r="Q333" s="40"/>
      <c r="R333" s="4"/>
      <c r="S333" s="4"/>
      <c r="T333" s="4"/>
      <c r="U333" s="4"/>
      <c r="V333" s="4"/>
      <c r="W333" s="4"/>
      <c r="X333" s="4"/>
    </row>
    <row x14ac:dyDescent="0.25" r="334" customHeight="1" ht="12.75">
      <c r="A334" s="4"/>
      <c r="B334" s="29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29"/>
      <c r="N334" s="29"/>
      <c r="O334" s="29"/>
      <c r="P334" s="32"/>
      <c r="Q334" s="40"/>
      <c r="R334" s="4"/>
      <c r="S334" s="4"/>
      <c r="T334" s="4"/>
      <c r="U334" s="4"/>
      <c r="V334" s="4"/>
      <c r="W334" s="4"/>
      <c r="X334" s="4"/>
    </row>
    <row x14ac:dyDescent="0.25" r="335" customHeight="1" ht="12.75">
      <c r="A335" s="4"/>
      <c r="B335" s="29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29"/>
      <c r="N335" s="29"/>
      <c r="O335" s="29"/>
      <c r="P335" s="32"/>
      <c r="Q335" s="40"/>
      <c r="R335" s="4"/>
      <c r="S335" s="4"/>
      <c r="T335" s="4"/>
      <c r="U335" s="4"/>
      <c r="V335" s="4"/>
      <c r="W335" s="4"/>
      <c r="X335" s="4"/>
    </row>
    <row x14ac:dyDescent="0.25" r="336" customHeight="1" ht="12.75">
      <c r="A336" s="4"/>
      <c r="B336" s="29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29"/>
      <c r="N336" s="29"/>
      <c r="O336" s="29"/>
      <c r="P336" s="32"/>
      <c r="Q336" s="40"/>
      <c r="R336" s="4"/>
      <c r="S336" s="4"/>
      <c r="T336" s="4"/>
      <c r="U336" s="4"/>
      <c r="V336" s="4"/>
      <c r="W336" s="4"/>
      <c r="X336" s="4"/>
    </row>
    <row x14ac:dyDescent="0.25" r="337" customHeight="1" ht="12.75">
      <c r="A337" s="4"/>
      <c r="B337" s="29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29"/>
      <c r="N337" s="29"/>
      <c r="O337" s="29"/>
      <c r="P337" s="32"/>
      <c r="Q337" s="40"/>
      <c r="R337" s="4"/>
      <c r="S337" s="4"/>
      <c r="T337" s="4"/>
      <c r="U337" s="4"/>
      <c r="V337" s="4"/>
      <c r="W337" s="4"/>
      <c r="X337" s="4"/>
    </row>
    <row x14ac:dyDescent="0.25" r="338" customHeight="1" ht="12.75">
      <c r="A338" s="4"/>
      <c r="B338" s="29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29"/>
      <c r="N338" s="29"/>
      <c r="O338" s="29"/>
      <c r="P338" s="32"/>
      <c r="Q338" s="40"/>
      <c r="R338" s="4"/>
      <c r="S338" s="4"/>
      <c r="T338" s="4"/>
      <c r="U338" s="4"/>
      <c r="V338" s="4"/>
      <c r="W338" s="4"/>
      <c r="X338" s="4"/>
    </row>
    <row x14ac:dyDescent="0.25" r="339" customHeight="1" ht="12.75">
      <c r="A339" s="4"/>
      <c r="B339" s="29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29"/>
      <c r="N339" s="29"/>
      <c r="O339" s="29"/>
      <c r="P339" s="32"/>
      <c r="Q339" s="40"/>
      <c r="R339" s="4"/>
      <c r="S339" s="4"/>
      <c r="T339" s="4"/>
      <c r="U339" s="4"/>
      <c r="V339" s="4"/>
      <c r="W339" s="4"/>
      <c r="X339" s="4"/>
    </row>
    <row x14ac:dyDescent="0.25" r="340" customHeight="1" ht="12.75">
      <c r="A340" s="4"/>
      <c r="B340" s="29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29"/>
      <c r="N340" s="29"/>
      <c r="O340" s="29"/>
      <c r="P340" s="32"/>
      <c r="Q340" s="40"/>
      <c r="R340" s="4"/>
      <c r="S340" s="4"/>
      <c r="T340" s="4"/>
      <c r="U340" s="4"/>
      <c r="V340" s="4"/>
      <c r="W340" s="4"/>
      <c r="X340" s="4"/>
    </row>
    <row x14ac:dyDescent="0.25" r="341" customHeight="1" ht="12.75">
      <c r="A341" s="4"/>
      <c r="B341" s="29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29"/>
      <c r="N341" s="29"/>
      <c r="O341" s="29"/>
      <c r="P341" s="32"/>
      <c r="Q341" s="40"/>
      <c r="R341" s="4"/>
      <c r="S341" s="4"/>
      <c r="T341" s="4"/>
      <c r="U341" s="4"/>
      <c r="V341" s="4"/>
      <c r="W341" s="4"/>
      <c r="X341" s="4"/>
    </row>
    <row x14ac:dyDescent="0.25" r="342" customHeight="1" ht="12.75">
      <c r="A342" s="4"/>
      <c r="B342" s="29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29"/>
      <c r="N342" s="29"/>
      <c r="O342" s="29"/>
      <c r="P342" s="32"/>
      <c r="Q342" s="40"/>
      <c r="R342" s="4"/>
      <c r="S342" s="4"/>
      <c r="T342" s="4"/>
      <c r="U342" s="4"/>
      <c r="V342" s="4"/>
      <c r="W342" s="4"/>
      <c r="X342" s="4"/>
    </row>
    <row x14ac:dyDescent="0.25" r="343" customHeight="1" ht="12.75">
      <c r="A343" s="4"/>
      <c r="B343" s="29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29"/>
      <c r="N343" s="29"/>
      <c r="O343" s="29"/>
      <c r="P343" s="32"/>
      <c r="Q343" s="40"/>
      <c r="R343" s="4"/>
      <c r="S343" s="4"/>
      <c r="T343" s="4"/>
      <c r="U343" s="4"/>
      <c r="V343" s="4"/>
      <c r="W343" s="4"/>
      <c r="X343" s="4"/>
    </row>
    <row x14ac:dyDescent="0.25" r="344" customHeight="1" ht="12.75">
      <c r="A344" s="4"/>
      <c r="B344" s="29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29"/>
      <c r="N344" s="29"/>
      <c r="O344" s="29"/>
      <c r="P344" s="32"/>
      <c r="Q344" s="40"/>
      <c r="R344" s="4"/>
      <c r="S344" s="4"/>
      <c r="T344" s="4"/>
      <c r="U344" s="4"/>
      <c r="V344" s="4"/>
      <c r="W344" s="4"/>
      <c r="X344" s="4"/>
    </row>
    <row x14ac:dyDescent="0.25" r="345" customHeight="1" ht="12.75">
      <c r="A345" s="4"/>
      <c r="B345" s="29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29"/>
      <c r="N345" s="29"/>
      <c r="O345" s="29"/>
      <c r="P345" s="32"/>
      <c r="Q345" s="40"/>
      <c r="R345" s="4"/>
      <c r="S345" s="4"/>
      <c r="T345" s="4"/>
      <c r="U345" s="4"/>
      <c r="V345" s="4"/>
      <c r="W345" s="4"/>
      <c r="X345" s="4"/>
    </row>
    <row x14ac:dyDescent="0.25" r="346" customHeight="1" ht="12.75">
      <c r="A346" s="4"/>
      <c r="B346" s="29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29"/>
      <c r="N346" s="29"/>
      <c r="O346" s="29"/>
      <c r="P346" s="32"/>
      <c r="Q346" s="40"/>
      <c r="R346" s="4"/>
      <c r="S346" s="4"/>
      <c r="T346" s="4"/>
      <c r="U346" s="4"/>
      <c r="V346" s="4"/>
      <c r="W346" s="4"/>
      <c r="X346" s="4"/>
    </row>
    <row x14ac:dyDescent="0.25" r="347" customHeight="1" ht="12.75">
      <c r="A347" s="4"/>
      <c r="B347" s="29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29"/>
      <c r="N347" s="29"/>
      <c r="O347" s="29"/>
      <c r="P347" s="32"/>
      <c r="Q347" s="40"/>
      <c r="R347" s="4"/>
      <c r="S347" s="4"/>
      <c r="T347" s="4"/>
      <c r="U347" s="4"/>
      <c r="V347" s="4"/>
      <c r="W347" s="4"/>
      <c r="X347" s="4"/>
    </row>
    <row x14ac:dyDescent="0.25" r="348" customHeight="1" ht="12.75">
      <c r="A348" s="4"/>
      <c r="B348" s="29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29"/>
      <c r="N348" s="29"/>
      <c r="O348" s="29"/>
      <c r="P348" s="32"/>
      <c r="Q348" s="40"/>
      <c r="R348" s="4"/>
      <c r="S348" s="4"/>
      <c r="T348" s="4"/>
      <c r="U348" s="4"/>
      <c r="V348" s="4"/>
      <c r="W348" s="4"/>
      <c r="X348" s="4"/>
    </row>
    <row x14ac:dyDescent="0.25" r="349" customHeight="1" ht="12.75">
      <c r="A349" s="4"/>
      <c r="B349" s="29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29"/>
      <c r="N349" s="29"/>
      <c r="O349" s="29"/>
      <c r="P349" s="32"/>
      <c r="Q349" s="40"/>
      <c r="R349" s="4"/>
      <c r="S349" s="4"/>
      <c r="T349" s="4"/>
      <c r="U349" s="4"/>
      <c r="V349" s="4"/>
      <c r="W349" s="4"/>
      <c r="X349" s="4"/>
    </row>
    <row x14ac:dyDescent="0.25" r="350" customHeight="1" ht="12.75">
      <c r="A350" s="4"/>
      <c r="B350" s="29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29"/>
      <c r="N350" s="29"/>
      <c r="O350" s="29"/>
      <c r="P350" s="32"/>
      <c r="Q350" s="40"/>
      <c r="R350" s="4"/>
      <c r="S350" s="4"/>
      <c r="T350" s="4"/>
      <c r="U350" s="4"/>
      <c r="V350" s="4"/>
      <c r="W350" s="4"/>
      <c r="X350" s="4"/>
    </row>
    <row x14ac:dyDescent="0.25" r="351" customHeight="1" ht="12.75">
      <c r="A351" s="4"/>
      <c r="B351" s="29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29"/>
      <c r="N351" s="29"/>
      <c r="O351" s="29"/>
      <c r="P351" s="32"/>
      <c r="Q351" s="40"/>
      <c r="R351" s="4"/>
      <c r="S351" s="4"/>
      <c r="T351" s="4"/>
      <c r="U351" s="4"/>
      <c r="V351" s="4"/>
      <c r="W351" s="4"/>
      <c r="X351" s="4"/>
    </row>
    <row x14ac:dyDescent="0.25" r="352" customHeight="1" ht="12.75">
      <c r="A352" s="4"/>
      <c r="B352" s="29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29"/>
      <c r="N352" s="29"/>
      <c r="O352" s="29"/>
      <c r="P352" s="32"/>
      <c r="Q352" s="40"/>
      <c r="R352" s="4"/>
      <c r="S352" s="4"/>
      <c r="T352" s="4"/>
      <c r="U352" s="4"/>
      <c r="V352" s="4"/>
      <c r="W352" s="4"/>
      <c r="X352" s="4"/>
    </row>
    <row x14ac:dyDescent="0.25" r="353" customHeight="1" ht="12.75">
      <c r="A353" s="4"/>
      <c r="B353" s="29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29"/>
      <c r="N353" s="29"/>
      <c r="O353" s="29"/>
      <c r="P353" s="32"/>
      <c r="Q353" s="40"/>
      <c r="R353" s="4"/>
      <c r="S353" s="4"/>
      <c r="T353" s="4"/>
      <c r="U353" s="4"/>
      <c r="V353" s="4"/>
      <c r="W353" s="4"/>
      <c r="X353" s="4"/>
    </row>
    <row x14ac:dyDescent="0.25" r="354" customHeight="1" ht="12.75">
      <c r="A354" s="4"/>
      <c r="B354" s="29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29"/>
      <c r="N354" s="29"/>
      <c r="O354" s="29"/>
      <c r="P354" s="32"/>
      <c r="Q354" s="40"/>
      <c r="R354" s="4"/>
      <c r="S354" s="4"/>
      <c r="T354" s="4"/>
      <c r="U354" s="4"/>
      <c r="V354" s="4"/>
      <c r="W354" s="4"/>
      <c r="X354" s="4"/>
    </row>
    <row x14ac:dyDescent="0.25" r="355" customHeight="1" ht="12.75">
      <c r="A355" s="4"/>
      <c r="B355" s="29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29"/>
      <c r="N355" s="29"/>
      <c r="O355" s="29"/>
      <c r="P355" s="32"/>
      <c r="Q355" s="40"/>
      <c r="R355" s="4"/>
      <c r="S355" s="4"/>
      <c r="T355" s="4"/>
      <c r="U355" s="4"/>
      <c r="V355" s="4"/>
      <c r="W355" s="4"/>
      <c r="X355" s="4"/>
    </row>
    <row x14ac:dyDescent="0.25" r="356" customHeight="1" ht="12.75">
      <c r="A356" s="4"/>
      <c r="B356" s="29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29"/>
      <c r="N356" s="29"/>
      <c r="O356" s="29"/>
      <c r="P356" s="32"/>
      <c r="Q356" s="40"/>
      <c r="R356" s="4"/>
      <c r="S356" s="4"/>
      <c r="T356" s="4"/>
      <c r="U356" s="4"/>
      <c r="V356" s="4"/>
      <c r="W356" s="4"/>
      <c r="X356" s="4"/>
    </row>
    <row x14ac:dyDescent="0.25" r="357" customHeight="1" ht="12.75">
      <c r="A357" s="4"/>
      <c r="B357" s="29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29"/>
      <c r="N357" s="29"/>
      <c r="O357" s="29"/>
      <c r="P357" s="32"/>
      <c r="Q357" s="40"/>
      <c r="R357" s="4"/>
      <c r="S357" s="4"/>
      <c r="T357" s="4"/>
      <c r="U357" s="4"/>
      <c r="V357" s="4"/>
      <c r="W357" s="4"/>
      <c r="X357" s="4"/>
    </row>
    <row x14ac:dyDescent="0.25" r="358" customHeight="1" ht="12.75">
      <c r="A358" s="4"/>
      <c r="B358" s="29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29"/>
      <c r="N358" s="29"/>
      <c r="O358" s="29"/>
      <c r="P358" s="32"/>
      <c r="Q358" s="40"/>
      <c r="R358" s="4"/>
      <c r="S358" s="4"/>
      <c r="T358" s="4"/>
      <c r="U358" s="4"/>
      <c r="V358" s="4"/>
      <c r="W358" s="4"/>
      <c r="X358" s="4"/>
    </row>
    <row x14ac:dyDescent="0.25" r="359" customHeight="1" ht="12.75">
      <c r="A359" s="4"/>
      <c r="B359" s="29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29"/>
      <c r="N359" s="29"/>
      <c r="O359" s="29"/>
      <c r="P359" s="32"/>
      <c r="Q359" s="40"/>
      <c r="R359" s="4"/>
      <c r="S359" s="4"/>
      <c r="T359" s="4"/>
      <c r="U359" s="4"/>
      <c r="V359" s="4"/>
      <c r="W359" s="4"/>
      <c r="X359" s="4"/>
    </row>
    <row x14ac:dyDescent="0.25" r="360" customHeight="1" ht="12.75">
      <c r="A360" s="4"/>
      <c r="B360" s="29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29"/>
      <c r="N360" s="29"/>
      <c r="O360" s="29"/>
      <c r="P360" s="32"/>
      <c r="Q360" s="40"/>
      <c r="R360" s="4"/>
      <c r="S360" s="4"/>
      <c r="T360" s="4"/>
      <c r="U360" s="4"/>
      <c r="V360" s="4"/>
      <c r="W360" s="4"/>
      <c r="X360" s="4"/>
    </row>
    <row x14ac:dyDescent="0.25" r="361" customHeight="1" ht="12.75">
      <c r="A361" s="4"/>
      <c r="B361" s="29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29"/>
      <c r="N361" s="29"/>
      <c r="O361" s="29"/>
      <c r="P361" s="32"/>
      <c r="Q361" s="40"/>
      <c r="R361" s="4"/>
      <c r="S361" s="4"/>
      <c r="T361" s="4"/>
      <c r="U361" s="4"/>
      <c r="V361" s="4"/>
      <c r="W361" s="4"/>
      <c r="X361" s="4"/>
    </row>
    <row x14ac:dyDescent="0.25" r="362" customHeight="1" ht="12.75">
      <c r="A362" s="4"/>
      <c r="B362" s="29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29"/>
      <c r="N362" s="29"/>
      <c r="O362" s="29"/>
      <c r="P362" s="32"/>
      <c r="Q362" s="40"/>
      <c r="R362" s="4"/>
      <c r="S362" s="4"/>
      <c r="T362" s="4"/>
      <c r="U362" s="4"/>
      <c r="V362" s="4"/>
      <c r="W362" s="4"/>
      <c r="X362" s="4"/>
    </row>
    <row x14ac:dyDescent="0.25" r="363" customHeight="1" ht="12.75">
      <c r="A363" s="4"/>
      <c r="B363" s="29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29"/>
      <c r="N363" s="29"/>
      <c r="O363" s="29"/>
      <c r="P363" s="32"/>
      <c r="Q363" s="40"/>
      <c r="R363" s="4"/>
      <c r="S363" s="4"/>
      <c r="T363" s="4"/>
      <c r="U363" s="4"/>
      <c r="V363" s="4"/>
      <c r="W363" s="4"/>
      <c r="X363" s="4"/>
    </row>
    <row x14ac:dyDescent="0.25" r="364" customHeight="1" ht="12.75">
      <c r="A364" s="4"/>
      <c r="B364" s="29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29"/>
      <c r="N364" s="29"/>
      <c r="O364" s="29"/>
      <c r="P364" s="32"/>
      <c r="Q364" s="40"/>
      <c r="R364" s="4"/>
      <c r="S364" s="4"/>
      <c r="T364" s="4"/>
      <c r="U364" s="4"/>
      <c r="V364" s="4"/>
      <c r="W364" s="4"/>
      <c r="X364" s="4"/>
    </row>
    <row x14ac:dyDescent="0.25" r="365" customHeight="1" ht="12.75">
      <c r="A365" s="4"/>
      <c r="B365" s="29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29"/>
      <c r="N365" s="29"/>
      <c r="O365" s="29"/>
      <c r="P365" s="32"/>
      <c r="Q365" s="40"/>
      <c r="R365" s="4"/>
      <c r="S365" s="4"/>
      <c r="T365" s="4"/>
      <c r="U365" s="4"/>
      <c r="V365" s="4"/>
      <c r="W365" s="4"/>
      <c r="X365" s="4"/>
    </row>
    <row x14ac:dyDescent="0.25" r="366" customHeight="1" ht="12.75">
      <c r="A366" s="4"/>
      <c r="B366" s="29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29"/>
      <c r="N366" s="29"/>
      <c r="O366" s="29"/>
      <c r="P366" s="32"/>
      <c r="Q366" s="40"/>
      <c r="R366" s="4"/>
      <c r="S366" s="4"/>
      <c r="T366" s="4"/>
      <c r="U366" s="4"/>
      <c r="V366" s="4"/>
      <c r="W366" s="4"/>
      <c r="X366" s="4"/>
    </row>
    <row x14ac:dyDescent="0.25" r="367" customHeight="1" ht="12.75">
      <c r="A367" s="4"/>
      <c r="B367" s="29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29"/>
      <c r="N367" s="29"/>
      <c r="O367" s="29"/>
      <c r="P367" s="32"/>
      <c r="Q367" s="40"/>
      <c r="R367" s="4"/>
      <c r="S367" s="4"/>
      <c r="T367" s="4"/>
      <c r="U367" s="4"/>
      <c r="V367" s="4"/>
      <c r="W367" s="4"/>
      <c r="X367" s="4"/>
    </row>
    <row x14ac:dyDescent="0.25" r="368" customHeight="1" ht="12.75">
      <c r="A368" s="4"/>
      <c r="B368" s="29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29"/>
      <c r="N368" s="29"/>
      <c r="O368" s="29"/>
      <c r="P368" s="32"/>
      <c r="Q368" s="40"/>
      <c r="R368" s="4"/>
      <c r="S368" s="4"/>
      <c r="T368" s="4"/>
      <c r="U368" s="4"/>
      <c r="V368" s="4"/>
      <c r="W368" s="4"/>
      <c r="X368" s="4"/>
    </row>
    <row x14ac:dyDescent="0.25" r="369" customHeight="1" ht="12.75">
      <c r="A369" s="4"/>
      <c r="B369" s="29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29"/>
      <c r="N369" s="29"/>
      <c r="O369" s="29"/>
      <c r="P369" s="32"/>
      <c r="Q369" s="40"/>
      <c r="R369" s="4"/>
      <c r="S369" s="4"/>
      <c r="T369" s="4"/>
      <c r="U369" s="4"/>
      <c r="V369" s="4"/>
      <c r="W369" s="4"/>
      <c r="X369" s="4"/>
    </row>
    <row x14ac:dyDescent="0.25" r="370" customHeight="1" ht="12.75">
      <c r="A370" s="4"/>
      <c r="B370" s="29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29"/>
      <c r="N370" s="29"/>
      <c r="O370" s="29"/>
      <c r="P370" s="32"/>
      <c r="Q370" s="40"/>
      <c r="R370" s="4"/>
      <c r="S370" s="4"/>
      <c r="T370" s="4"/>
      <c r="U370" s="4"/>
      <c r="V370" s="4"/>
      <c r="W370" s="4"/>
      <c r="X370" s="4"/>
    </row>
    <row x14ac:dyDescent="0.25" r="371" customHeight="1" ht="12.75">
      <c r="A371" s="4"/>
      <c r="B371" s="29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29"/>
      <c r="N371" s="29"/>
      <c r="O371" s="29"/>
      <c r="P371" s="32"/>
      <c r="Q371" s="40"/>
      <c r="R371" s="4"/>
      <c r="S371" s="4"/>
      <c r="T371" s="4"/>
      <c r="U371" s="4"/>
      <c r="V371" s="4"/>
      <c r="W371" s="4"/>
      <c r="X371" s="4"/>
    </row>
    <row x14ac:dyDescent="0.25" r="372" customHeight="1" ht="12.75">
      <c r="A372" s="4"/>
      <c r="B372" s="29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29"/>
      <c r="N372" s="29"/>
      <c r="O372" s="29"/>
      <c r="P372" s="32"/>
      <c r="Q372" s="40"/>
      <c r="R372" s="4"/>
      <c r="S372" s="4"/>
      <c r="T372" s="4"/>
      <c r="U372" s="4"/>
      <c r="V372" s="4"/>
      <c r="W372" s="4"/>
      <c r="X372" s="4"/>
    </row>
    <row x14ac:dyDescent="0.25" r="373" customHeight="1" ht="12.75">
      <c r="A373" s="4"/>
      <c r="B373" s="29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29"/>
      <c r="N373" s="29"/>
      <c r="O373" s="29"/>
      <c r="P373" s="32"/>
      <c r="Q373" s="40"/>
      <c r="R373" s="4"/>
      <c r="S373" s="4"/>
      <c r="T373" s="4"/>
      <c r="U373" s="4"/>
      <c r="V373" s="4"/>
      <c r="W373" s="4"/>
      <c r="X373" s="4"/>
    </row>
    <row x14ac:dyDescent="0.25" r="374" customHeight="1" ht="12.75">
      <c r="A374" s="4"/>
      <c r="B374" s="29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29"/>
      <c r="N374" s="29"/>
      <c r="O374" s="29"/>
      <c r="P374" s="32"/>
      <c r="Q374" s="40"/>
      <c r="R374" s="4"/>
      <c r="S374" s="4"/>
      <c r="T374" s="4"/>
      <c r="U374" s="4"/>
      <c r="V374" s="4"/>
      <c r="W374" s="4"/>
      <c r="X374" s="4"/>
    </row>
    <row x14ac:dyDescent="0.25" r="375" customHeight="1" ht="12.75">
      <c r="A375" s="4"/>
      <c r="B375" s="29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29"/>
      <c r="N375" s="29"/>
      <c r="O375" s="29"/>
      <c r="P375" s="32"/>
      <c r="Q375" s="40"/>
      <c r="R375" s="4"/>
      <c r="S375" s="4"/>
      <c r="T375" s="4"/>
      <c r="U375" s="4"/>
      <c r="V375" s="4"/>
      <c r="W375" s="4"/>
      <c r="X375" s="4"/>
    </row>
    <row x14ac:dyDescent="0.25" r="376" customHeight="1" ht="12.75">
      <c r="A376" s="4"/>
      <c r="B376" s="29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29"/>
      <c r="N376" s="29"/>
      <c r="O376" s="29"/>
      <c r="P376" s="32"/>
      <c r="Q376" s="40"/>
      <c r="R376" s="4"/>
      <c r="S376" s="4"/>
      <c r="T376" s="4"/>
      <c r="U376" s="4"/>
      <c r="V376" s="4"/>
      <c r="W376" s="4"/>
      <c r="X376" s="4"/>
    </row>
    <row x14ac:dyDescent="0.25" r="377" customHeight="1" ht="12.75">
      <c r="A377" s="4"/>
      <c r="B377" s="29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29"/>
      <c r="N377" s="29"/>
      <c r="O377" s="29"/>
      <c r="P377" s="32"/>
      <c r="Q377" s="40"/>
      <c r="R377" s="4"/>
      <c r="S377" s="4"/>
      <c r="T377" s="4"/>
      <c r="U377" s="4"/>
      <c r="V377" s="4"/>
      <c r="W377" s="4"/>
      <c r="X377" s="4"/>
    </row>
    <row x14ac:dyDescent="0.25" r="378" customHeight="1" ht="12.75">
      <c r="A378" s="4"/>
      <c r="B378" s="29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29"/>
      <c r="N378" s="29"/>
      <c r="O378" s="29"/>
      <c r="P378" s="32"/>
      <c r="Q378" s="40"/>
      <c r="R378" s="4"/>
      <c r="S378" s="4"/>
      <c r="T378" s="4"/>
      <c r="U378" s="4"/>
      <c r="V378" s="4"/>
      <c r="W378" s="4"/>
      <c r="X378" s="4"/>
    </row>
    <row x14ac:dyDescent="0.25" r="379" customHeight="1" ht="12.75">
      <c r="A379" s="4"/>
      <c r="B379" s="29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29"/>
      <c r="N379" s="29"/>
      <c r="O379" s="29"/>
      <c r="P379" s="32"/>
      <c r="Q379" s="40"/>
      <c r="R379" s="4"/>
      <c r="S379" s="4"/>
      <c r="T379" s="4"/>
      <c r="U379" s="4"/>
      <c r="V379" s="4"/>
      <c r="W379" s="4"/>
      <c r="X379" s="4"/>
    </row>
    <row x14ac:dyDescent="0.25" r="380" customHeight="1" ht="12.75">
      <c r="A380" s="4"/>
      <c r="B380" s="29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29"/>
      <c r="N380" s="29"/>
      <c r="O380" s="29"/>
      <c r="P380" s="32"/>
      <c r="Q380" s="40"/>
      <c r="R380" s="4"/>
      <c r="S380" s="4"/>
      <c r="T380" s="4"/>
      <c r="U380" s="4"/>
      <c r="V380" s="4"/>
      <c r="W380" s="4"/>
      <c r="X380" s="4"/>
    </row>
    <row x14ac:dyDescent="0.25" r="381" customHeight="1" ht="12.75">
      <c r="A381" s="4"/>
      <c r="B381" s="29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29"/>
      <c r="N381" s="29"/>
      <c r="O381" s="29"/>
      <c r="P381" s="32"/>
      <c r="Q381" s="40"/>
      <c r="R381" s="4"/>
      <c r="S381" s="4"/>
      <c r="T381" s="4"/>
      <c r="U381" s="4"/>
      <c r="V381" s="4"/>
      <c r="W381" s="4"/>
      <c r="X381" s="4"/>
    </row>
    <row x14ac:dyDescent="0.25" r="382" customHeight="1" ht="12.75">
      <c r="A382" s="4"/>
      <c r="B382" s="29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29"/>
      <c r="N382" s="29"/>
      <c r="O382" s="29"/>
      <c r="P382" s="32"/>
      <c r="Q382" s="40"/>
      <c r="R382" s="4"/>
      <c r="S382" s="4"/>
      <c r="T382" s="4"/>
      <c r="U382" s="4"/>
      <c r="V382" s="4"/>
      <c r="W382" s="4"/>
      <c r="X382" s="4"/>
    </row>
    <row x14ac:dyDescent="0.25" r="383" customHeight="1" ht="12.75">
      <c r="A383" s="4"/>
      <c r="B383" s="29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29"/>
      <c r="N383" s="29"/>
      <c r="O383" s="29"/>
      <c r="P383" s="32"/>
      <c r="Q383" s="40"/>
      <c r="R383" s="4"/>
      <c r="S383" s="4"/>
      <c r="T383" s="4"/>
      <c r="U383" s="4"/>
      <c r="V383" s="4"/>
      <c r="W383" s="4"/>
      <c r="X383" s="4"/>
    </row>
    <row x14ac:dyDescent="0.25" r="384" customHeight="1" ht="12.75">
      <c r="A384" s="4"/>
      <c r="B384" s="29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29"/>
      <c r="N384" s="29"/>
      <c r="O384" s="29"/>
      <c r="P384" s="32"/>
      <c r="Q384" s="40"/>
      <c r="R384" s="4"/>
      <c r="S384" s="4"/>
      <c r="T384" s="4"/>
      <c r="U384" s="4"/>
      <c r="V384" s="4"/>
      <c r="W384" s="4"/>
      <c r="X384" s="4"/>
    </row>
    <row x14ac:dyDescent="0.25" r="385" customHeight="1" ht="12.75">
      <c r="A385" s="4"/>
      <c r="B385" s="29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29"/>
      <c r="N385" s="29"/>
      <c r="O385" s="29"/>
      <c r="P385" s="32"/>
      <c r="Q385" s="40"/>
      <c r="R385" s="4"/>
      <c r="S385" s="4"/>
      <c r="T385" s="4"/>
      <c r="U385" s="4"/>
      <c r="V385" s="4"/>
      <c r="W385" s="4"/>
      <c r="X385" s="4"/>
    </row>
    <row x14ac:dyDescent="0.25" r="386" customHeight="1" ht="12.75">
      <c r="A386" s="4"/>
      <c r="B386" s="29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29"/>
      <c r="N386" s="29"/>
      <c r="O386" s="29"/>
      <c r="P386" s="32"/>
      <c r="Q386" s="40"/>
      <c r="R386" s="4"/>
      <c r="S386" s="4"/>
      <c r="T386" s="4"/>
      <c r="U386" s="4"/>
      <c r="V386" s="4"/>
      <c r="W386" s="4"/>
      <c r="X386" s="4"/>
    </row>
    <row x14ac:dyDescent="0.25" r="387" customHeight="1" ht="12.75">
      <c r="A387" s="4"/>
      <c r="B387" s="29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29"/>
      <c r="N387" s="29"/>
      <c r="O387" s="29"/>
      <c r="P387" s="32"/>
      <c r="Q387" s="40"/>
      <c r="R387" s="4"/>
      <c r="S387" s="4"/>
      <c r="T387" s="4"/>
      <c r="U387" s="4"/>
      <c r="V387" s="4"/>
      <c r="W387" s="4"/>
      <c r="X387" s="4"/>
    </row>
    <row x14ac:dyDescent="0.25" r="388" customHeight="1" ht="12.75">
      <c r="A388" s="4"/>
      <c r="B388" s="29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29"/>
      <c r="N388" s="29"/>
      <c r="O388" s="29"/>
      <c r="P388" s="32"/>
      <c r="Q388" s="40"/>
      <c r="R388" s="4"/>
      <c r="S388" s="4"/>
      <c r="T388" s="4"/>
      <c r="U388" s="4"/>
      <c r="V388" s="4"/>
      <c r="W388" s="4"/>
      <c r="X388" s="4"/>
    </row>
    <row x14ac:dyDescent="0.25" r="389" customHeight="1" ht="12.75">
      <c r="A389" s="4"/>
      <c r="B389" s="29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29"/>
      <c r="N389" s="29"/>
      <c r="O389" s="29"/>
      <c r="P389" s="32"/>
      <c r="Q389" s="40"/>
      <c r="R389" s="4"/>
      <c r="S389" s="4"/>
      <c r="T389" s="4"/>
      <c r="U389" s="4"/>
      <c r="V389" s="4"/>
      <c r="W389" s="4"/>
      <c r="X389" s="4"/>
    </row>
    <row x14ac:dyDescent="0.25" r="390" customHeight="1" ht="12.75">
      <c r="A390" s="4"/>
      <c r="B390" s="29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29"/>
      <c r="N390" s="29"/>
      <c r="O390" s="29"/>
      <c r="P390" s="32"/>
      <c r="Q390" s="40"/>
      <c r="R390" s="4"/>
      <c r="S390" s="4"/>
      <c r="T390" s="4"/>
      <c r="U390" s="4"/>
      <c r="V390" s="4"/>
      <c r="W390" s="4"/>
      <c r="X390" s="4"/>
    </row>
    <row x14ac:dyDescent="0.25" r="391" customHeight="1" ht="12.75">
      <c r="A391" s="4"/>
      <c r="B391" s="29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29"/>
      <c r="N391" s="29"/>
      <c r="O391" s="29"/>
      <c r="P391" s="32"/>
      <c r="Q391" s="40"/>
      <c r="R391" s="4"/>
      <c r="S391" s="4"/>
      <c r="T391" s="4"/>
      <c r="U391" s="4"/>
      <c r="V391" s="4"/>
      <c r="W391" s="4"/>
      <c r="X391" s="4"/>
    </row>
    <row x14ac:dyDescent="0.25" r="392" customHeight="1" ht="12.75">
      <c r="A392" s="4"/>
      <c r="B392" s="29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29"/>
      <c r="N392" s="29"/>
      <c r="O392" s="29"/>
      <c r="P392" s="32"/>
      <c r="Q392" s="40"/>
      <c r="R392" s="4"/>
      <c r="S392" s="4"/>
      <c r="T392" s="4"/>
      <c r="U392" s="4"/>
      <c r="V392" s="4"/>
      <c r="W392" s="4"/>
      <c r="X392" s="4"/>
    </row>
    <row x14ac:dyDescent="0.25" r="393" customHeight="1" ht="12.75">
      <c r="A393" s="4"/>
      <c r="B393" s="29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29"/>
      <c r="N393" s="29"/>
      <c r="O393" s="29"/>
      <c r="P393" s="32"/>
      <c r="Q393" s="40"/>
      <c r="R393" s="4"/>
      <c r="S393" s="4"/>
      <c r="T393" s="4"/>
      <c r="U393" s="4"/>
      <c r="V393" s="4"/>
      <c r="W393" s="4"/>
      <c r="X393" s="4"/>
    </row>
    <row x14ac:dyDescent="0.25" r="394" customHeight="1" ht="12.75">
      <c r="A394" s="4"/>
      <c r="B394" s="29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29"/>
      <c r="N394" s="29"/>
      <c r="O394" s="29"/>
      <c r="P394" s="32"/>
      <c r="Q394" s="40"/>
      <c r="R394" s="4"/>
      <c r="S394" s="4"/>
      <c r="T394" s="4"/>
      <c r="U394" s="4"/>
      <c r="V394" s="4"/>
      <c r="W394" s="4"/>
      <c r="X394" s="4"/>
    </row>
    <row x14ac:dyDescent="0.25" r="395" customHeight="1" ht="12.75">
      <c r="A395" s="4"/>
      <c r="B395" s="29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29"/>
      <c r="N395" s="29"/>
      <c r="O395" s="29"/>
      <c r="P395" s="32"/>
      <c r="Q395" s="40"/>
      <c r="R395" s="4"/>
      <c r="S395" s="4"/>
      <c r="T395" s="4"/>
      <c r="U395" s="4"/>
      <c r="V395" s="4"/>
      <c r="W395" s="4"/>
      <c r="X395" s="4"/>
    </row>
    <row x14ac:dyDescent="0.25" r="396" customHeight="1" ht="12.75">
      <c r="A396" s="4"/>
      <c r="B396" s="29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29"/>
      <c r="N396" s="29"/>
      <c r="O396" s="29"/>
      <c r="P396" s="32"/>
      <c r="Q396" s="40"/>
      <c r="R396" s="4"/>
      <c r="S396" s="4"/>
      <c r="T396" s="4"/>
      <c r="U396" s="4"/>
      <c r="V396" s="4"/>
      <c r="W396" s="4"/>
      <c r="X396" s="4"/>
    </row>
    <row x14ac:dyDescent="0.25" r="397" customHeight="1" ht="12.75">
      <c r="A397" s="4"/>
      <c r="B397" s="29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29"/>
      <c r="N397" s="29"/>
      <c r="O397" s="29"/>
      <c r="P397" s="32"/>
      <c r="Q397" s="40"/>
      <c r="R397" s="4"/>
      <c r="S397" s="4"/>
      <c r="T397" s="4"/>
      <c r="U397" s="4"/>
      <c r="V397" s="4"/>
      <c r="W397" s="4"/>
      <c r="X397" s="4"/>
    </row>
    <row x14ac:dyDescent="0.25" r="398" customHeight="1" ht="12.75">
      <c r="A398" s="4"/>
      <c r="B398" s="29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29"/>
      <c r="N398" s="29"/>
      <c r="O398" s="29"/>
      <c r="P398" s="32"/>
      <c r="Q398" s="40"/>
      <c r="R398" s="4"/>
      <c r="S398" s="4"/>
      <c r="T398" s="4"/>
      <c r="U398" s="4"/>
      <c r="V398" s="4"/>
      <c r="W398" s="4"/>
      <c r="X398" s="4"/>
    </row>
    <row x14ac:dyDescent="0.25" r="399" customHeight="1" ht="12.75">
      <c r="A399" s="4"/>
      <c r="B399" s="29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29"/>
      <c r="N399" s="29"/>
      <c r="O399" s="29"/>
      <c r="P399" s="32"/>
      <c r="Q399" s="40"/>
      <c r="R399" s="4"/>
      <c r="S399" s="4"/>
      <c r="T399" s="4"/>
      <c r="U399" s="4"/>
      <c r="V399" s="4"/>
      <c r="W399" s="4"/>
      <c r="X399" s="4"/>
    </row>
    <row x14ac:dyDescent="0.25" r="400" customHeight="1" ht="12.75">
      <c r="A400" s="4"/>
      <c r="B400" s="29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29"/>
      <c r="N400" s="29"/>
      <c r="O400" s="29"/>
      <c r="P400" s="32"/>
      <c r="Q400" s="40"/>
      <c r="R400" s="4"/>
      <c r="S400" s="4"/>
      <c r="T400" s="4"/>
      <c r="U400" s="4"/>
      <c r="V400" s="4"/>
      <c r="W400" s="4"/>
      <c r="X400" s="4"/>
    </row>
    <row x14ac:dyDescent="0.25" r="401" customHeight="1" ht="12.75">
      <c r="A401" s="4"/>
      <c r="B401" s="29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29"/>
      <c r="N401" s="29"/>
      <c r="O401" s="29"/>
      <c r="P401" s="32"/>
      <c r="Q401" s="40"/>
      <c r="R401" s="4"/>
      <c r="S401" s="4"/>
      <c r="T401" s="4"/>
      <c r="U401" s="4"/>
      <c r="V401" s="4"/>
      <c r="W401" s="4"/>
      <c r="X401" s="4"/>
    </row>
    <row x14ac:dyDescent="0.25" r="402" customHeight="1" ht="12.75">
      <c r="A402" s="4"/>
      <c r="B402" s="29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29"/>
      <c r="N402" s="29"/>
      <c r="O402" s="29"/>
      <c r="P402" s="32"/>
      <c r="Q402" s="40"/>
      <c r="R402" s="4"/>
      <c r="S402" s="4"/>
      <c r="T402" s="4"/>
      <c r="U402" s="4"/>
      <c r="V402" s="4"/>
      <c r="W402" s="4"/>
      <c r="X402" s="4"/>
    </row>
    <row x14ac:dyDescent="0.25" r="403" customHeight="1" ht="12.75">
      <c r="A403" s="4"/>
      <c r="B403" s="29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29"/>
      <c r="N403" s="29"/>
      <c r="O403" s="29"/>
      <c r="P403" s="32"/>
      <c r="Q403" s="40"/>
      <c r="R403" s="4"/>
      <c r="S403" s="4"/>
      <c r="T403" s="4"/>
      <c r="U403" s="4"/>
      <c r="V403" s="4"/>
      <c r="W403" s="4"/>
      <c r="X403" s="4"/>
    </row>
    <row x14ac:dyDescent="0.25" r="404" customHeight="1" ht="12.75">
      <c r="A404" s="4"/>
      <c r="B404" s="29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29"/>
      <c r="N404" s="29"/>
      <c r="O404" s="29"/>
      <c r="P404" s="32"/>
      <c r="Q404" s="40"/>
      <c r="R404" s="4"/>
      <c r="S404" s="4"/>
      <c r="T404" s="4"/>
      <c r="U404" s="4"/>
      <c r="V404" s="4"/>
      <c r="W404" s="4"/>
      <c r="X404" s="4"/>
    </row>
    <row x14ac:dyDescent="0.25" r="405" customHeight="1" ht="12.75">
      <c r="A405" s="4"/>
      <c r="B405" s="29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29"/>
      <c r="N405" s="29"/>
      <c r="O405" s="29"/>
      <c r="P405" s="32"/>
      <c r="Q405" s="40"/>
      <c r="R405" s="4"/>
      <c r="S405" s="4"/>
      <c r="T405" s="4"/>
      <c r="U405" s="4"/>
      <c r="V405" s="4"/>
      <c r="W405" s="4"/>
      <c r="X405" s="4"/>
    </row>
    <row x14ac:dyDescent="0.25" r="406" customHeight="1" ht="12.75">
      <c r="A406" s="4"/>
      <c r="B406" s="29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29"/>
      <c r="N406" s="29"/>
      <c r="O406" s="29"/>
      <c r="P406" s="32"/>
      <c r="Q406" s="40"/>
      <c r="R406" s="4"/>
      <c r="S406" s="4"/>
      <c r="T406" s="4"/>
      <c r="U406" s="4"/>
      <c r="V406" s="4"/>
      <c r="W406" s="4"/>
      <c r="X406" s="4"/>
    </row>
    <row x14ac:dyDescent="0.25" r="407" customHeight="1" ht="12.75">
      <c r="A407" s="4"/>
      <c r="B407" s="29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29"/>
      <c r="N407" s="29"/>
      <c r="O407" s="29"/>
      <c r="P407" s="32"/>
      <c r="Q407" s="40"/>
      <c r="R407" s="4"/>
      <c r="S407" s="4"/>
      <c r="T407" s="4"/>
      <c r="U407" s="4"/>
      <c r="V407" s="4"/>
      <c r="W407" s="4"/>
      <c r="X407" s="4"/>
    </row>
    <row x14ac:dyDescent="0.25" r="408" customHeight="1" ht="12.75">
      <c r="A408" s="4"/>
      <c r="B408" s="29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29"/>
      <c r="N408" s="29"/>
      <c r="O408" s="29"/>
      <c r="P408" s="32"/>
      <c r="Q408" s="40"/>
      <c r="R408" s="4"/>
      <c r="S408" s="4"/>
      <c r="T408" s="4"/>
      <c r="U408" s="4"/>
      <c r="V408" s="4"/>
      <c r="W408" s="4"/>
      <c r="X408" s="4"/>
    </row>
    <row x14ac:dyDescent="0.25" r="409" customHeight="1" ht="12.75">
      <c r="A409" s="4"/>
      <c r="B409" s="29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29"/>
      <c r="N409" s="29"/>
      <c r="O409" s="29"/>
      <c r="P409" s="32"/>
      <c r="Q409" s="40"/>
      <c r="R409" s="4"/>
      <c r="S409" s="4"/>
      <c r="T409" s="4"/>
      <c r="U409" s="4"/>
      <c r="V409" s="4"/>
      <c r="W409" s="4"/>
      <c r="X409" s="4"/>
    </row>
    <row x14ac:dyDescent="0.25" r="410" customHeight="1" ht="12.75">
      <c r="A410" s="4"/>
      <c r="B410" s="29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29"/>
      <c r="N410" s="29"/>
      <c r="O410" s="29"/>
      <c r="P410" s="32"/>
      <c r="Q410" s="40"/>
      <c r="R410" s="4"/>
      <c r="S410" s="4"/>
      <c r="T410" s="4"/>
      <c r="U410" s="4"/>
      <c r="V410" s="4"/>
      <c r="W410" s="4"/>
      <c r="X410" s="4"/>
    </row>
    <row x14ac:dyDescent="0.25" r="411" customHeight="1" ht="12.75">
      <c r="A411" s="4"/>
      <c r="B411" s="29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29"/>
      <c r="N411" s="29"/>
      <c r="O411" s="29"/>
      <c r="P411" s="32"/>
      <c r="Q411" s="40"/>
      <c r="R411" s="4"/>
      <c r="S411" s="4"/>
      <c r="T411" s="4"/>
      <c r="U411" s="4"/>
      <c r="V411" s="4"/>
      <c r="W411" s="4"/>
      <c r="X411" s="4"/>
    </row>
    <row x14ac:dyDescent="0.25" r="412" customHeight="1" ht="12.75">
      <c r="A412" s="4"/>
      <c r="B412" s="29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29"/>
      <c r="N412" s="29"/>
      <c r="O412" s="29"/>
      <c r="P412" s="32"/>
      <c r="Q412" s="40"/>
      <c r="R412" s="4"/>
      <c r="S412" s="4"/>
      <c r="T412" s="4"/>
      <c r="U412" s="4"/>
      <c r="V412" s="4"/>
      <c r="W412" s="4"/>
      <c r="X412" s="4"/>
    </row>
    <row x14ac:dyDescent="0.25" r="413" customHeight="1" ht="12.75">
      <c r="A413" s="4"/>
      <c r="B413" s="29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29"/>
      <c r="N413" s="29"/>
      <c r="O413" s="29"/>
      <c r="P413" s="32"/>
      <c r="Q413" s="40"/>
      <c r="R413" s="4"/>
      <c r="S413" s="4"/>
      <c r="T413" s="4"/>
      <c r="U413" s="4"/>
      <c r="V413" s="4"/>
      <c r="W413" s="4"/>
      <c r="X413" s="4"/>
    </row>
    <row x14ac:dyDescent="0.25" r="414" customHeight="1" ht="12.75">
      <c r="A414" s="4"/>
      <c r="B414" s="29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29"/>
      <c r="N414" s="29"/>
      <c r="O414" s="29"/>
      <c r="P414" s="32"/>
      <c r="Q414" s="40"/>
      <c r="R414" s="4"/>
      <c r="S414" s="4"/>
      <c r="T414" s="4"/>
      <c r="U414" s="4"/>
      <c r="V414" s="4"/>
      <c r="W414" s="4"/>
      <c r="X414" s="4"/>
    </row>
    <row x14ac:dyDescent="0.25" r="415" customHeight="1" ht="12.75">
      <c r="A415" s="4"/>
      <c r="B415" s="29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29"/>
      <c r="N415" s="29"/>
      <c r="O415" s="29"/>
      <c r="P415" s="32"/>
      <c r="Q415" s="40"/>
      <c r="R415" s="4"/>
      <c r="S415" s="4"/>
      <c r="T415" s="4"/>
      <c r="U415" s="4"/>
      <c r="V415" s="4"/>
      <c r="W415" s="4"/>
      <c r="X415" s="4"/>
    </row>
    <row x14ac:dyDescent="0.25" r="416" customHeight="1" ht="12.75">
      <c r="A416" s="4"/>
      <c r="B416" s="29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29"/>
      <c r="N416" s="29"/>
      <c r="O416" s="29"/>
      <c r="P416" s="32"/>
      <c r="Q416" s="40"/>
      <c r="R416" s="4"/>
      <c r="S416" s="4"/>
      <c r="T416" s="4"/>
      <c r="U416" s="4"/>
      <c r="V416" s="4"/>
      <c r="W416" s="4"/>
      <c r="X416" s="4"/>
    </row>
    <row x14ac:dyDescent="0.25" r="417" customHeight="1" ht="12.75">
      <c r="A417" s="4"/>
      <c r="B417" s="29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29"/>
      <c r="N417" s="29"/>
      <c r="O417" s="29"/>
      <c r="P417" s="32"/>
      <c r="Q417" s="40"/>
      <c r="R417" s="4"/>
      <c r="S417" s="4"/>
      <c r="T417" s="4"/>
      <c r="U417" s="4"/>
      <c r="V417" s="4"/>
      <c r="W417" s="4"/>
      <c r="X417" s="4"/>
    </row>
    <row x14ac:dyDescent="0.25" r="418" customHeight="1" ht="12.75">
      <c r="A418" s="4"/>
      <c r="B418" s="29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29"/>
      <c r="N418" s="29"/>
      <c r="O418" s="29"/>
      <c r="P418" s="32"/>
      <c r="Q418" s="40"/>
      <c r="R418" s="4"/>
      <c r="S418" s="4"/>
      <c r="T418" s="4"/>
      <c r="U418" s="4"/>
      <c r="V418" s="4"/>
      <c r="W418" s="4"/>
      <c r="X418" s="4"/>
    </row>
    <row x14ac:dyDescent="0.25" r="419" customHeight="1" ht="12.75">
      <c r="A419" s="4"/>
      <c r="B419" s="29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29"/>
      <c r="N419" s="29"/>
      <c r="O419" s="29"/>
      <c r="P419" s="32"/>
      <c r="Q419" s="40"/>
      <c r="R419" s="4"/>
      <c r="S419" s="4"/>
      <c r="T419" s="4"/>
      <c r="U419" s="4"/>
      <c r="V419" s="4"/>
      <c r="W419" s="4"/>
      <c r="X419" s="4"/>
    </row>
    <row x14ac:dyDescent="0.25" r="420" customHeight="1" ht="12.75">
      <c r="A420" s="4"/>
      <c r="B420" s="29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29"/>
      <c r="N420" s="29"/>
      <c r="O420" s="29"/>
      <c r="P420" s="32"/>
      <c r="Q420" s="40"/>
      <c r="R420" s="4"/>
      <c r="S420" s="4"/>
      <c r="T420" s="4"/>
      <c r="U420" s="4"/>
      <c r="V420" s="4"/>
      <c r="W420" s="4"/>
      <c r="X420" s="4"/>
    </row>
    <row x14ac:dyDescent="0.25" r="421" customHeight="1" ht="12.75">
      <c r="A421" s="4"/>
      <c r="B421" s="29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29"/>
      <c r="N421" s="29"/>
      <c r="O421" s="29"/>
      <c r="P421" s="32"/>
      <c r="Q421" s="40"/>
      <c r="R421" s="4"/>
      <c r="S421" s="4"/>
      <c r="T421" s="4"/>
      <c r="U421" s="4"/>
      <c r="V421" s="4"/>
      <c r="W421" s="4"/>
      <c r="X421" s="4"/>
    </row>
    <row x14ac:dyDescent="0.25" r="422" customHeight="1" ht="12.75">
      <c r="A422" s="4"/>
      <c r="B422" s="29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29"/>
      <c r="N422" s="29"/>
      <c r="O422" s="29"/>
      <c r="P422" s="32"/>
      <c r="Q422" s="40"/>
      <c r="R422" s="4"/>
      <c r="S422" s="4"/>
      <c r="T422" s="4"/>
      <c r="U422" s="4"/>
      <c r="V422" s="4"/>
      <c r="W422" s="4"/>
      <c r="X422" s="4"/>
    </row>
    <row x14ac:dyDescent="0.25" r="423" customHeight="1" ht="12.75">
      <c r="A423" s="4"/>
      <c r="B423" s="29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29"/>
      <c r="N423" s="29"/>
      <c r="O423" s="29"/>
      <c r="P423" s="32"/>
      <c r="Q423" s="40"/>
      <c r="R423" s="4"/>
      <c r="S423" s="4"/>
      <c r="T423" s="4"/>
      <c r="U423" s="4"/>
      <c r="V423" s="4"/>
      <c r="W423" s="4"/>
      <c r="X423" s="4"/>
    </row>
    <row x14ac:dyDescent="0.25" r="424" customHeight="1" ht="12.75">
      <c r="A424" s="4"/>
      <c r="B424" s="29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29"/>
      <c r="N424" s="29"/>
      <c r="O424" s="29"/>
      <c r="P424" s="32"/>
      <c r="Q424" s="40"/>
      <c r="R424" s="4"/>
      <c r="S424" s="4"/>
      <c r="T424" s="4"/>
      <c r="U424" s="4"/>
      <c r="V424" s="4"/>
      <c r="W424" s="4"/>
      <c r="X424" s="4"/>
    </row>
    <row x14ac:dyDescent="0.25" r="425" customHeight="1" ht="12.75">
      <c r="A425" s="4"/>
      <c r="B425" s="29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29"/>
      <c r="N425" s="29"/>
      <c r="O425" s="29"/>
      <c r="P425" s="32"/>
      <c r="Q425" s="40"/>
      <c r="R425" s="4"/>
      <c r="S425" s="4"/>
      <c r="T425" s="4"/>
      <c r="U425" s="4"/>
      <c r="V425" s="4"/>
      <c r="W425" s="4"/>
      <c r="X425" s="4"/>
    </row>
    <row x14ac:dyDescent="0.25" r="426" customHeight="1" ht="12.75">
      <c r="A426" s="4"/>
      <c r="B426" s="29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29"/>
      <c r="N426" s="29"/>
      <c r="O426" s="29"/>
      <c r="P426" s="32"/>
      <c r="Q426" s="40"/>
      <c r="R426" s="4"/>
      <c r="S426" s="4"/>
      <c r="T426" s="4"/>
      <c r="U426" s="4"/>
      <c r="V426" s="4"/>
      <c r="W426" s="4"/>
      <c r="X426" s="4"/>
    </row>
    <row x14ac:dyDescent="0.25" r="427" customHeight="1" ht="12.75">
      <c r="A427" s="4"/>
      <c r="B427" s="29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29"/>
      <c r="N427" s="29"/>
      <c r="O427" s="29"/>
      <c r="P427" s="32"/>
      <c r="Q427" s="40"/>
      <c r="R427" s="4"/>
      <c r="S427" s="4"/>
      <c r="T427" s="4"/>
      <c r="U427" s="4"/>
      <c r="V427" s="4"/>
      <c r="W427" s="4"/>
      <c r="X427" s="4"/>
    </row>
    <row x14ac:dyDescent="0.25" r="428" customHeight="1" ht="12.75">
      <c r="A428" s="4"/>
      <c r="B428" s="29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29"/>
      <c r="N428" s="29"/>
      <c r="O428" s="29"/>
      <c r="P428" s="32"/>
      <c r="Q428" s="40"/>
      <c r="R428" s="4"/>
      <c r="S428" s="4"/>
      <c r="T428" s="4"/>
      <c r="U428" s="4"/>
      <c r="V428" s="4"/>
      <c r="W428" s="4"/>
      <c r="X428" s="4"/>
    </row>
    <row x14ac:dyDescent="0.25" r="429" customHeight="1" ht="12.75">
      <c r="A429" s="4"/>
      <c r="B429" s="29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29"/>
      <c r="N429" s="29"/>
      <c r="O429" s="29"/>
      <c r="P429" s="32"/>
      <c r="Q429" s="40"/>
      <c r="R429" s="4"/>
      <c r="S429" s="4"/>
      <c r="T429" s="4"/>
      <c r="U429" s="4"/>
      <c r="V429" s="4"/>
      <c r="W429" s="4"/>
      <c r="X429" s="4"/>
    </row>
    <row x14ac:dyDescent="0.25" r="430" customHeight="1" ht="12.75">
      <c r="A430" s="4"/>
      <c r="B430" s="29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29"/>
      <c r="N430" s="29"/>
      <c r="O430" s="29"/>
      <c r="P430" s="32"/>
      <c r="Q430" s="40"/>
      <c r="R430" s="4"/>
      <c r="S430" s="4"/>
      <c r="T430" s="4"/>
      <c r="U430" s="4"/>
      <c r="V430" s="4"/>
      <c r="W430" s="4"/>
      <c r="X430" s="4"/>
    </row>
    <row x14ac:dyDescent="0.25" r="431" customHeight="1" ht="12.75">
      <c r="A431" s="4"/>
      <c r="B431" s="29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29"/>
      <c r="N431" s="29"/>
      <c r="O431" s="29"/>
      <c r="P431" s="32"/>
      <c r="Q431" s="40"/>
      <c r="R431" s="4"/>
      <c r="S431" s="4"/>
      <c r="T431" s="4"/>
      <c r="U431" s="4"/>
      <c r="V431" s="4"/>
      <c r="W431" s="4"/>
      <c r="X431" s="4"/>
    </row>
    <row x14ac:dyDescent="0.25" r="432" customHeight="1" ht="12.75">
      <c r="A432" s="4"/>
      <c r="B432" s="29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29"/>
      <c r="N432" s="29"/>
      <c r="O432" s="29"/>
      <c r="P432" s="32"/>
      <c r="Q432" s="40"/>
      <c r="R432" s="4"/>
      <c r="S432" s="4"/>
      <c r="T432" s="4"/>
      <c r="U432" s="4"/>
      <c r="V432" s="4"/>
      <c r="W432" s="4"/>
      <c r="X432" s="4"/>
    </row>
    <row x14ac:dyDescent="0.25" r="433" customHeight="1" ht="12.75">
      <c r="A433" s="4"/>
      <c r="B433" s="29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29"/>
      <c r="N433" s="29"/>
      <c r="O433" s="29"/>
      <c r="P433" s="32"/>
      <c r="Q433" s="40"/>
      <c r="R433" s="4"/>
      <c r="S433" s="4"/>
      <c r="T433" s="4"/>
      <c r="U433" s="4"/>
      <c r="V433" s="4"/>
      <c r="W433" s="4"/>
      <c r="X433" s="4"/>
    </row>
    <row x14ac:dyDescent="0.25" r="434" customHeight="1" ht="12.75">
      <c r="A434" s="4"/>
      <c r="B434" s="29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29"/>
      <c r="N434" s="29"/>
      <c r="O434" s="29"/>
      <c r="P434" s="32"/>
      <c r="Q434" s="40"/>
      <c r="R434" s="4"/>
      <c r="S434" s="4"/>
      <c r="T434" s="4"/>
      <c r="U434" s="4"/>
      <c r="V434" s="4"/>
      <c r="W434" s="4"/>
      <c r="X434" s="4"/>
    </row>
    <row x14ac:dyDescent="0.25" r="435" customHeight="1" ht="12.75">
      <c r="A435" s="4"/>
      <c r="B435" s="29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29"/>
      <c r="N435" s="29"/>
      <c r="O435" s="29"/>
      <c r="P435" s="32"/>
      <c r="Q435" s="40"/>
      <c r="R435" s="4"/>
      <c r="S435" s="4"/>
      <c r="T435" s="4"/>
      <c r="U435" s="4"/>
      <c r="V435" s="4"/>
      <c r="W435" s="4"/>
      <c r="X435" s="4"/>
    </row>
    <row x14ac:dyDescent="0.25" r="436" customHeight="1" ht="12.75">
      <c r="A436" s="4"/>
      <c r="B436" s="29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29"/>
      <c r="N436" s="29"/>
      <c r="O436" s="29"/>
      <c r="P436" s="32"/>
      <c r="Q436" s="40"/>
      <c r="R436" s="4"/>
      <c r="S436" s="4"/>
      <c r="T436" s="4"/>
      <c r="U436" s="4"/>
      <c r="V436" s="4"/>
      <c r="W436" s="4"/>
      <c r="X436" s="4"/>
    </row>
    <row x14ac:dyDescent="0.25" r="437" customHeight="1" ht="12.75">
      <c r="A437" s="4"/>
      <c r="B437" s="29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29"/>
      <c r="N437" s="29"/>
      <c r="O437" s="29"/>
      <c r="P437" s="32"/>
      <c r="Q437" s="40"/>
      <c r="R437" s="4"/>
      <c r="S437" s="4"/>
      <c r="T437" s="4"/>
      <c r="U437" s="4"/>
      <c r="V437" s="4"/>
      <c r="W437" s="4"/>
      <c r="X437" s="4"/>
    </row>
    <row x14ac:dyDescent="0.25" r="438" customHeight="1" ht="12.75">
      <c r="A438" s="4"/>
      <c r="B438" s="29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29"/>
      <c r="N438" s="29"/>
      <c r="O438" s="29"/>
      <c r="P438" s="32"/>
      <c r="Q438" s="40"/>
      <c r="R438" s="4"/>
      <c r="S438" s="4"/>
      <c r="T438" s="4"/>
      <c r="U438" s="4"/>
      <c r="V438" s="4"/>
      <c r="W438" s="4"/>
      <c r="X438" s="4"/>
    </row>
    <row x14ac:dyDescent="0.25" r="439" customHeight="1" ht="12.75">
      <c r="A439" s="4"/>
      <c r="B439" s="29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29"/>
      <c r="N439" s="29"/>
      <c r="O439" s="29"/>
      <c r="P439" s="32"/>
      <c r="Q439" s="40"/>
      <c r="R439" s="4"/>
      <c r="S439" s="4"/>
      <c r="T439" s="4"/>
      <c r="U439" s="4"/>
      <c r="V439" s="4"/>
      <c r="W439" s="4"/>
      <c r="X439" s="4"/>
    </row>
    <row x14ac:dyDescent="0.25" r="440" customHeight="1" ht="12.75">
      <c r="A440" s="4"/>
      <c r="B440" s="29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29"/>
      <c r="N440" s="29"/>
      <c r="O440" s="29"/>
      <c r="P440" s="32"/>
      <c r="Q440" s="40"/>
      <c r="R440" s="4"/>
      <c r="S440" s="4"/>
      <c r="T440" s="4"/>
      <c r="U440" s="4"/>
      <c r="V440" s="4"/>
      <c r="W440" s="4"/>
      <c r="X440" s="4"/>
    </row>
    <row x14ac:dyDescent="0.25" r="441" customHeight="1" ht="12.75">
      <c r="A441" s="4"/>
      <c r="B441" s="29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29"/>
      <c r="N441" s="29"/>
      <c r="O441" s="29"/>
      <c r="P441" s="32"/>
      <c r="Q441" s="40"/>
      <c r="R441" s="4"/>
      <c r="S441" s="4"/>
      <c r="T441" s="4"/>
      <c r="U441" s="4"/>
      <c r="V441" s="4"/>
      <c r="W441" s="4"/>
      <c r="X441" s="4"/>
    </row>
    <row x14ac:dyDescent="0.25" r="442" customHeight="1" ht="12.75">
      <c r="A442" s="4"/>
      <c r="B442" s="29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29"/>
      <c r="N442" s="29"/>
      <c r="O442" s="29"/>
      <c r="P442" s="32"/>
      <c r="Q442" s="40"/>
      <c r="R442" s="4"/>
      <c r="S442" s="4"/>
      <c r="T442" s="4"/>
      <c r="U442" s="4"/>
      <c r="V442" s="4"/>
      <c r="W442" s="4"/>
      <c r="X442" s="4"/>
    </row>
    <row x14ac:dyDescent="0.25" r="443" customHeight="1" ht="12.75">
      <c r="A443" s="4"/>
      <c r="B443" s="29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29"/>
      <c r="N443" s="29"/>
      <c r="O443" s="29"/>
      <c r="P443" s="32"/>
      <c r="Q443" s="40"/>
      <c r="R443" s="4"/>
      <c r="S443" s="4"/>
      <c r="T443" s="4"/>
      <c r="U443" s="4"/>
      <c r="V443" s="4"/>
      <c r="W443" s="4"/>
      <c r="X443" s="4"/>
    </row>
    <row x14ac:dyDescent="0.25" r="444" customHeight="1" ht="12.75">
      <c r="A444" s="4"/>
      <c r="B444" s="29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29"/>
      <c r="N444" s="29"/>
      <c r="O444" s="29"/>
      <c r="P444" s="32"/>
      <c r="Q444" s="40"/>
      <c r="R444" s="4"/>
      <c r="S444" s="4"/>
      <c r="T444" s="4"/>
      <c r="U444" s="4"/>
      <c r="V444" s="4"/>
      <c r="W444" s="4"/>
      <c r="X444" s="4"/>
    </row>
    <row x14ac:dyDescent="0.25" r="445" customHeight="1" ht="12.75">
      <c r="A445" s="4"/>
      <c r="B445" s="29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29"/>
      <c r="N445" s="29"/>
      <c r="O445" s="29"/>
      <c r="P445" s="32"/>
      <c r="Q445" s="40"/>
      <c r="R445" s="4"/>
      <c r="S445" s="4"/>
      <c r="T445" s="4"/>
      <c r="U445" s="4"/>
      <c r="V445" s="4"/>
      <c r="W445" s="4"/>
      <c r="X445" s="4"/>
    </row>
    <row x14ac:dyDescent="0.25" r="446" customHeight="1" ht="12.75">
      <c r="A446" s="4"/>
      <c r="B446" s="29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29"/>
      <c r="N446" s="29"/>
      <c r="O446" s="29"/>
      <c r="P446" s="32"/>
      <c r="Q446" s="40"/>
      <c r="R446" s="4"/>
      <c r="S446" s="4"/>
      <c r="T446" s="4"/>
      <c r="U446" s="4"/>
      <c r="V446" s="4"/>
      <c r="W446" s="4"/>
      <c r="X446" s="4"/>
    </row>
    <row x14ac:dyDescent="0.25" r="447" customHeight="1" ht="12.75">
      <c r="A447" s="4"/>
      <c r="B447" s="29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29"/>
      <c r="N447" s="29"/>
      <c r="O447" s="29"/>
      <c r="P447" s="32"/>
      <c r="Q447" s="40"/>
      <c r="R447" s="4"/>
      <c r="S447" s="4"/>
      <c r="T447" s="4"/>
      <c r="U447" s="4"/>
      <c r="V447" s="4"/>
      <c r="W447" s="4"/>
      <c r="X447" s="4"/>
    </row>
    <row x14ac:dyDescent="0.25" r="448" customHeight="1" ht="12.75">
      <c r="A448" s="4"/>
      <c r="B448" s="29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29"/>
      <c r="N448" s="29"/>
      <c r="O448" s="29"/>
      <c r="P448" s="32"/>
      <c r="Q448" s="40"/>
      <c r="R448" s="4"/>
      <c r="S448" s="4"/>
      <c r="T448" s="4"/>
      <c r="U448" s="4"/>
      <c r="V448" s="4"/>
      <c r="W448" s="4"/>
      <c r="X448" s="4"/>
    </row>
    <row x14ac:dyDescent="0.25" r="449" customHeight="1" ht="12.75">
      <c r="A449" s="4"/>
      <c r="B449" s="29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29"/>
      <c r="N449" s="29"/>
      <c r="O449" s="29"/>
      <c r="P449" s="32"/>
      <c r="Q449" s="40"/>
      <c r="R449" s="4"/>
      <c r="S449" s="4"/>
      <c r="T449" s="4"/>
      <c r="U449" s="4"/>
      <c r="V449" s="4"/>
      <c r="W449" s="4"/>
      <c r="X449" s="4"/>
    </row>
    <row x14ac:dyDescent="0.25" r="450" customHeight="1" ht="12.75">
      <c r="A450" s="4"/>
      <c r="B450" s="29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29"/>
      <c r="N450" s="29"/>
      <c r="O450" s="29"/>
      <c r="P450" s="32"/>
      <c r="Q450" s="40"/>
      <c r="R450" s="4"/>
      <c r="S450" s="4"/>
      <c r="T450" s="4"/>
      <c r="U450" s="4"/>
      <c r="V450" s="4"/>
      <c r="W450" s="4"/>
      <c r="X450" s="4"/>
    </row>
    <row x14ac:dyDescent="0.25" r="451" customHeight="1" ht="12.75">
      <c r="A451" s="4"/>
      <c r="B451" s="29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29"/>
      <c r="N451" s="29"/>
      <c r="O451" s="29"/>
      <c r="P451" s="32"/>
      <c r="Q451" s="40"/>
      <c r="R451" s="4"/>
      <c r="S451" s="4"/>
      <c r="T451" s="4"/>
      <c r="U451" s="4"/>
      <c r="V451" s="4"/>
      <c r="W451" s="4"/>
      <c r="X451" s="4"/>
    </row>
    <row x14ac:dyDescent="0.25" r="452" customHeight="1" ht="12.75">
      <c r="A452" s="4"/>
      <c r="B452" s="29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29"/>
      <c r="N452" s="29"/>
      <c r="O452" s="29"/>
      <c r="P452" s="32"/>
      <c r="Q452" s="40"/>
      <c r="R452" s="4"/>
      <c r="S452" s="4"/>
      <c r="T452" s="4"/>
      <c r="U452" s="4"/>
      <c r="V452" s="4"/>
      <c r="W452" s="4"/>
      <c r="X452" s="4"/>
    </row>
    <row x14ac:dyDescent="0.25" r="453" customHeight="1" ht="12.75">
      <c r="A453" s="4"/>
      <c r="B453" s="29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29"/>
      <c r="N453" s="29"/>
      <c r="O453" s="29"/>
      <c r="P453" s="32"/>
      <c r="Q453" s="40"/>
      <c r="R453" s="4"/>
      <c r="S453" s="4"/>
      <c r="T453" s="4"/>
      <c r="U453" s="4"/>
      <c r="V453" s="4"/>
      <c r="W453" s="4"/>
      <c r="X453" s="4"/>
    </row>
    <row x14ac:dyDescent="0.25" r="454" customHeight="1" ht="12.75">
      <c r="A454" s="4"/>
      <c r="B454" s="29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29"/>
      <c r="N454" s="29"/>
      <c r="O454" s="29"/>
      <c r="P454" s="32"/>
      <c r="Q454" s="40"/>
      <c r="R454" s="4"/>
      <c r="S454" s="4"/>
      <c r="T454" s="4"/>
      <c r="U454" s="4"/>
      <c r="V454" s="4"/>
      <c r="W454" s="4"/>
      <c r="X454" s="4"/>
    </row>
    <row x14ac:dyDescent="0.25" r="455" customHeight="1" ht="12.75">
      <c r="A455" s="4"/>
      <c r="B455" s="29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29"/>
      <c r="N455" s="29"/>
      <c r="O455" s="29"/>
      <c r="P455" s="32"/>
      <c r="Q455" s="40"/>
      <c r="R455" s="4"/>
      <c r="S455" s="4"/>
      <c r="T455" s="4"/>
      <c r="U455" s="4"/>
      <c r="V455" s="4"/>
      <c r="W455" s="4"/>
      <c r="X455" s="4"/>
    </row>
    <row x14ac:dyDescent="0.25" r="456" customHeight="1" ht="12.75">
      <c r="A456" s="4"/>
      <c r="B456" s="29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29"/>
      <c r="N456" s="29"/>
      <c r="O456" s="29"/>
      <c r="P456" s="32"/>
      <c r="Q456" s="40"/>
      <c r="R456" s="4"/>
      <c r="S456" s="4"/>
      <c r="T456" s="4"/>
      <c r="U456" s="4"/>
      <c r="V456" s="4"/>
      <c r="W456" s="4"/>
      <c r="X456" s="4"/>
    </row>
    <row x14ac:dyDescent="0.25" r="457" customHeight="1" ht="12.75">
      <c r="A457" s="4"/>
      <c r="B457" s="29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29"/>
      <c r="N457" s="29"/>
      <c r="O457" s="29"/>
      <c r="P457" s="32"/>
      <c r="Q457" s="40"/>
      <c r="R457" s="4"/>
      <c r="S457" s="4"/>
      <c r="T457" s="4"/>
      <c r="U457" s="4"/>
      <c r="V457" s="4"/>
      <c r="W457" s="4"/>
      <c r="X457" s="4"/>
    </row>
    <row x14ac:dyDescent="0.25" r="458" customHeight="1" ht="12.75">
      <c r="A458" s="4"/>
      <c r="B458" s="29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29"/>
      <c r="N458" s="29"/>
      <c r="O458" s="29"/>
      <c r="P458" s="32"/>
      <c r="Q458" s="40"/>
      <c r="R458" s="4"/>
      <c r="S458" s="4"/>
      <c r="T458" s="4"/>
      <c r="U458" s="4"/>
      <c r="V458" s="4"/>
      <c r="W458" s="4"/>
      <c r="X458" s="4"/>
    </row>
    <row x14ac:dyDescent="0.25" r="459" customHeight="1" ht="12.75">
      <c r="A459" s="4"/>
      <c r="B459" s="29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29"/>
      <c r="N459" s="29"/>
      <c r="O459" s="29"/>
      <c r="P459" s="32"/>
      <c r="Q459" s="40"/>
      <c r="R459" s="4"/>
      <c r="S459" s="4"/>
      <c r="T459" s="4"/>
      <c r="U459" s="4"/>
      <c r="V459" s="4"/>
      <c r="W459" s="4"/>
      <c r="X459" s="4"/>
    </row>
    <row x14ac:dyDescent="0.25" r="460" customHeight="1" ht="12.75">
      <c r="A460" s="4"/>
      <c r="B460" s="29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29"/>
      <c r="N460" s="29"/>
      <c r="O460" s="29"/>
      <c r="P460" s="32"/>
      <c r="Q460" s="40"/>
      <c r="R460" s="4"/>
      <c r="S460" s="4"/>
      <c r="T460" s="4"/>
      <c r="U460" s="4"/>
      <c r="V460" s="4"/>
      <c r="W460" s="4"/>
      <c r="X460" s="4"/>
    </row>
    <row x14ac:dyDescent="0.25" r="461" customHeight="1" ht="12.75">
      <c r="A461" s="4"/>
      <c r="B461" s="29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29"/>
      <c r="N461" s="29"/>
      <c r="O461" s="29"/>
      <c r="P461" s="32"/>
      <c r="Q461" s="40"/>
      <c r="R461" s="4"/>
      <c r="S461" s="4"/>
      <c r="T461" s="4"/>
      <c r="U461" s="4"/>
      <c r="V461" s="4"/>
      <c r="W461" s="4"/>
      <c r="X461" s="4"/>
    </row>
    <row x14ac:dyDescent="0.25" r="462" customHeight="1" ht="12.75">
      <c r="A462" s="4"/>
      <c r="B462" s="29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29"/>
      <c r="N462" s="29"/>
      <c r="O462" s="29"/>
      <c r="P462" s="32"/>
      <c r="Q462" s="40"/>
      <c r="R462" s="4"/>
      <c r="S462" s="4"/>
      <c r="T462" s="4"/>
      <c r="U462" s="4"/>
      <c r="V462" s="4"/>
      <c r="W462" s="4"/>
      <c r="X462" s="4"/>
    </row>
    <row x14ac:dyDescent="0.25" r="463" customHeight="1" ht="12.75">
      <c r="A463" s="4"/>
      <c r="B463" s="29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29"/>
      <c r="N463" s="29"/>
      <c r="O463" s="29"/>
      <c r="P463" s="32"/>
      <c r="Q463" s="40"/>
      <c r="R463" s="4"/>
      <c r="S463" s="4"/>
      <c r="T463" s="4"/>
      <c r="U463" s="4"/>
      <c r="V463" s="4"/>
      <c r="W463" s="4"/>
      <c r="X463" s="4"/>
    </row>
    <row x14ac:dyDescent="0.25" r="464" customHeight="1" ht="12.75">
      <c r="A464" s="4"/>
      <c r="B464" s="29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29"/>
      <c r="N464" s="29"/>
      <c r="O464" s="29"/>
      <c r="P464" s="32"/>
      <c r="Q464" s="40"/>
      <c r="R464" s="4"/>
      <c r="S464" s="4"/>
      <c r="T464" s="4"/>
      <c r="U464" s="4"/>
      <c r="V464" s="4"/>
      <c r="W464" s="4"/>
      <c r="X464" s="4"/>
    </row>
    <row x14ac:dyDescent="0.25" r="465" customHeight="1" ht="12.75">
      <c r="A465" s="4"/>
      <c r="B465" s="29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29"/>
      <c r="N465" s="29"/>
      <c r="O465" s="29"/>
      <c r="P465" s="32"/>
      <c r="Q465" s="40"/>
      <c r="R465" s="4"/>
      <c r="S465" s="4"/>
      <c r="T465" s="4"/>
      <c r="U465" s="4"/>
      <c r="V465" s="4"/>
      <c r="W465" s="4"/>
      <c r="X465" s="4"/>
    </row>
    <row x14ac:dyDescent="0.25" r="466" customHeight="1" ht="12.75">
      <c r="A466" s="4"/>
      <c r="B466" s="29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29"/>
      <c r="N466" s="29"/>
      <c r="O466" s="29"/>
      <c r="P466" s="32"/>
      <c r="Q466" s="40"/>
      <c r="R466" s="4"/>
      <c r="S466" s="4"/>
      <c r="T466" s="4"/>
      <c r="U466" s="4"/>
      <c r="V466" s="4"/>
      <c r="W466" s="4"/>
      <c r="X466" s="4"/>
    </row>
    <row x14ac:dyDescent="0.25" r="467" customHeight="1" ht="12.75">
      <c r="A467" s="4"/>
      <c r="B467" s="29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29"/>
      <c r="N467" s="29"/>
      <c r="O467" s="29"/>
      <c r="P467" s="32"/>
      <c r="Q467" s="40"/>
      <c r="R467" s="4"/>
      <c r="S467" s="4"/>
      <c r="T467" s="4"/>
      <c r="U467" s="4"/>
      <c r="V467" s="4"/>
      <c r="W467" s="4"/>
      <c r="X467" s="4"/>
    </row>
    <row x14ac:dyDescent="0.25" r="468" customHeight="1" ht="12.75">
      <c r="A468" s="4"/>
      <c r="B468" s="29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29"/>
      <c r="N468" s="29"/>
      <c r="O468" s="29"/>
      <c r="P468" s="32"/>
      <c r="Q468" s="40"/>
      <c r="R468" s="4"/>
      <c r="S468" s="4"/>
      <c r="T468" s="4"/>
      <c r="U468" s="4"/>
      <c r="V468" s="4"/>
      <c r="W468" s="4"/>
      <c r="X468" s="4"/>
    </row>
    <row x14ac:dyDescent="0.25" r="469" customHeight="1" ht="12.75">
      <c r="A469" s="4"/>
      <c r="B469" s="29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29"/>
      <c r="N469" s="29"/>
      <c r="O469" s="29"/>
      <c r="P469" s="32"/>
      <c r="Q469" s="40"/>
      <c r="R469" s="4"/>
      <c r="S469" s="4"/>
      <c r="T469" s="4"/>
      <c r="U469" s="4"/>
      <c r="V469" s="4"/>
      <c r="W469" s="4"/>
      <c r="X469" s="4"/>
    </row>
    <row x14ac:dyDescent="0.25" r="470" customHeight="1" ht="12.75">
      <c r="A470" s="4"/>
      <c r="B470" s="29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29"/>
      <c r="N470" s="29"/>
      <c r="O470" s="29"/>
      <c r="P470" s="32"/>
      <c r="Q470" s="40"/>
      <c r="R470" s="4"/>
      <c r="S470" s="4"/>
      <c r="T470" s="4"/>
      <c r="U470" s="4"/>
      <c r="V470" s="4"/>
      <c r="W470" s="4"/>
      <c r="X470" s="4"/>
    </row>
    <row x14ac:dyDescent="0.25" r="471" customHeight="1" ht="12.75">
      <c r="A471" s="4"/>
      <c r="B471" s="29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29"/>
      <c r="N471" s="29"/>
      <c r="O471" s="29"/>
      <c r="P471" s="32"/>
      <c r="Q471" s="40"/>
      <c r="R471" s="4"/>
      <c r="S471" s="4"/>
      <c r="T471" s="4"/>
      <c r="U471" s="4"/>
      <c r="V471" s="4"/>
      <c r="W471" s="4"/>
      <c r="X471" s="4"/>
    </row>
    <row x14ac:dyDescent="0.25" r="472" customHeight="1" ht="12.75">
      <c r="A472" s="4"/>
      <c r="B472" s="29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29"/>
      <c r="N472" s="29"/>
      <c r="O472" s="29"/>
      <c r="P472" s="32"/>
      <c r="Q472" s="40"/>
      <c r="R472" s="4"/>
      <c r="S472" s="4"/>
      <c r="T472" s="4"/>
      <c r="U472" s="4"/>
      <c r="V472" s="4"/>
      <c r="W472" s="4"/>
      <c r="X472" s="4"/>
    </row>
    <row x14ac:dyDescent="0.25" r="473" customHeight="1" ht="12.75">
      <c r="A473" s="4"/>
      <c r="B473" s="29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29"/>
      <c r="N473" s="29"/>
      <c r="O473" s="29"/>
      <c r="P473" s="32"/>
      <c r="Q473" s="40"/>
      <c r="R473" s="4"/>
      <c r="S473" s="4"/>
      <c r="T473" s="4"/>
      <c r="U473" s="4"/>
      <c r="V473" s="4"/>
      <c r="W473" s="4"/>
      <c r="X473" s="4"/>
    </row>
    <row x14ac:dyDescent="0.25" r="474" customHeight="1" ht="12.75">
      <c r="A474" s="4"/>
      <c r="B474" s="29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29"/>
      <c r="N474" s="29"/>
      <c r="O474" s="29"/>
      <c r="P474" s="32"/>
      <c r="Q474" s="40"/>
      <c r="R474" s="4"/>
      <c r="S474" s="4"/>
      <c r="T474" s="4"/>
      <c r="U474" s="4"/>
      <c r="V474" s="4"/>
      <c r="W474" s="4"/>
      <c r="X474" s="4"/>
    </row>
    <row x14ac:dyDescent="0.25" r="475" customHeight="1" ht="12.75">
      <c r="A475" s="4"/>
      <c r="B475" s="29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29"/>
      <c r="N475" s="29"/>
      <c r="O475" s="29"/>
      <c r="P475" s="32"/>
      <c r="Q475" s="40"/>
      <c r="R475" s="4"/>
      <c r="S475" s="4"/>
      <c r="T475" s="4"/>
      <c r="U475" s="4"/>
      <c r="V475" s="4"/>
      <c r="W475" s="4"/>
      <c r="X475" s="4"/>
    </row>
    <row x14ac:dyDescent="0.25" r="476" customHeight="1" ht="12.75">
      <c r="A476" s="4"/>
      <c r="B476" s="29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29"/>
      <c r="N476" s="29"/>
      <c r="O476" s="29"/>
      <c r="P476" s="32"/>
      <c r="Q476" s="40"/>
      <c r="R476" s="4"/>
      <c r="S476" s="4"/>
      <c r="T476" s="4"/>
      <c r="U476" s="4"/>
      <c r="V476" s="4"/>
      <c r="W476" s="4"/>
      <c r="X476" s="4"/>
    </row>
    <row x14ac:dyDescent="0.25" r="477" customHeight="1" ht="12.75">
      <c r="A477" s="4"/>
      <c r="B477" s="29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29"/>
      <c r="N477" s="29"/>
      <c r="O477" s="29"/>
      <c r="P477" s="32"/>
      <c r="Q477" s="40"/>
      <c r="R477" s="4"/>
      <c r="S477" s="4"/>
      <c r="T477" s="4"/>
      <c r="U477" s="4"/>
      <c r="V477" s="4"/>
      <c r="W477" s="4"/>
      <c r="X477" s="4"/>
    </row>
    <row x14ac:dyDescent="0.25" r="478" customHeight="1" ht="12.75">
      <c r="A478" s="4"/>
      <c r="B478" s="29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29"/>
      <c r="N478" s="29"/>
      <c r="O478" s="29"/>
      <c r="P478" s="32"/>
      <c r="Q478" s="40"/>
      <c r="R478" s="4"/>
      <c r="S478" s="4"/>
      <c r="T478" s="4"/>
      <c r="U478" s="4"/>
      <c r="V478" s="4"/>
      <c r="W478" s="4"/>
      <c r="X478" s="4"/>
    </row>
    <row x14ac:dyDescent="0.25" r="479" customHeight="1" ht="12.75">
      <c r="A479" s="4"/>
      <c r="B479" s="29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29"/>
      <c r="N479" s="29"/>
      <c r="O479" s="29"/>
      <c r="P479" s="32"/>
      <c r="Q479" s="40"/>
      <c r="R479" s="4"/>
      <c r="S479" s="4"/>
      <c r="T479" s="4"/>
      <c r="U479" s="4"/>
      <c r="V479" s="4"/>
      <c r="W479" s="4"/>
      <c r="X479" s="4"/>
    </row>
    <row x14ac:dyDescent="0.25" r="480" customHeight="1" ht="12.75">
      <c r="A480" s="4"/>
      <c r="B480" s="29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29"/>
      <c r="N480" s="29"/>
      <c r="O480" s="29"/>
      <c r="P480" s="32"/>
      <c r="Q480" s="40"/>
      <c r="R480" s="4"/>
      <c r="S480" s="4"/>
      <c r="T480" s="4"/>
      <c r="U480" s="4"/>
      <c r="V480" s="4"/>
      <c r="W480" s="4"/>
      <c r="X480" s="4"/>
    </row>
    <row x14ac:dyDescent="0.25" r="481" customHeight="1" ht="12.75">
      <c r="A481" s="4"/>
      <c r="B481" s="29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29"/>
      <c r="N481" s="29"/>
      <c r="O481" s="29"/>
      <c r="P481" s="32"/>
      <c r="Q481" s="40"/>
      <c r="R481" s="4"/>
      <c r="S481" s="4"/>
      <c r="T481" s="4"/>
      <c r="U481" s="4"/>
      <c r="V481" s="4"/>
      <c r="W481" s="4"/>
      <c r="X481" s="4"/>
    </row>
    <row x14ac:dyDescent="0.25" r="482" customHeight="1" ht="12.75">
      <c r="A482" s="4"/>
      <c r="B482" s="29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29"/>
      <c r="N482" s="29"/>
      <c r="O482" s="29"/>
      <c r="P482" s="32"/>
      <c r="Q482" s="40"/>
      <c r="R482" s="4"/>
      <c r="S482" s="4"/>
      <c r="T482" s="4"/>
      <c r="U482" s="4"/>
      <c r="V482" s="4"/>
      <c r="W482" s="4"/>
      <c r="X482" s="4"/>
    </row>
    <row x14ac:dyDescent="0.25" r="483" customHeight="1" ht="12.75">
      <c r="A483" s="4"/>
      <c r="B483" s="29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29"/>
      <c r="N483" s="29"/>
      <c r="O483" s="29"/>
      <c r="P483" s="32"/>
      <c r="Q483" s="40"/>
      <c r="R483" s="4"/>
      <c r="S483" s="4"/>
      <c r="T483" s="4"/>
      <c r="U483" s="4"/>
      <c r="V483" s="4"/>
      <c r="W483" s="4"/>
      <c r="X483" s="4"/>
    </row>
    <row x14ac:dyDescent="0.25" r="484" customHeight="1" ht="12.75">
      <c r="A484" s="4"/>
      <c r="B484" s="29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29"/>
      <c r="N484" s="29"/>
      <c r="O484" s="29"/>
      <c r="P484" s="32"/>
      <c r="Q484" s="40"/>
      <c r="R484" s="4"/>
      <c r="S484" s="4"/>
      <c r="T484" s="4"/>
      <c r="U484" s="4"/>
      <c r="V484" s="4"/>
      <c r="W484" s="4"/>
      <c r="X484" s="4"/>
    </row>
    <row x14ac:dyDescent="0.25" r="485" customHeight="1" ht="12.75">
      <c r="A485" s="4"/>
      <c r="B485" s="29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29"/>
      <c r="N485" s="29"/>
      <c r="O485" s="29"/>
      <c r="P485" s="32"/>
      <c r="Q485" s="40"/>
      <c r="R485" s="4"/>
      <c r="S485" s="4"/>
      <c r="T485" s="4"/>
      <c r="U485" s="4"/>
      <c r="V485" s="4"/>
      <c r="W485" s="4"/>
      <c r="X485" s="4"/>
    </row>
    <row x14ac:dyDescent="0.25" r="486" customHeight="1" ht="12.75">
      <c r="A486" s="4"/>
      <c r="B486" s="29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29"/>
      <c r="N486" s="29"/>
      <c r="O486" s="29"/>
      <c r="P486" s="32"/>
      <c r="Q486" s="40"/>
      <c r="R486" s="4"/>
      <c r="S486" s="4"/>
      <c r="T486" s="4"/>
      <c r="U486" s="4"/>
      <c r="V486" s="4"/>
      <c r="W486" s="4"/>
      <c r="X486" s="4"/>
    </row>
    <row x14ac:dyDescent="0.25" r="487" customHeight="1" ht="12.75">
      <c r="A487" s="4"/>
      <c r="B487" s="29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29"/>
      <c r="N487" s="29"/>
      <c r="O487" s="29"/>
      <c r="P487" s="32"/>
      <c r="Q487" s="40"/>
      <c r="R487" s="4"/>
      <c r="S487" s="4"/>
      <c r="T487" s="4"/>
      <c r="U487" s="4"/>
      <c r="V487" s="4"/>
      <c r="W487" s="4"/>
      <c r="X487" s="4"/>
    </row>
    <row x14ac:dyDescent="0.25" r="488" customHeight="1" ht="12.75">
      <c r="A488" s="4"/>
      <c r="B488" s="29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29"/>
      <c r="N488" s="29"/>
      <c r="O488" s="29"/>
      <c r="P488" s="32"/>
      <c r="Q488" s="40"/>
      <c r="R488" s="4"/>
      <c r="S488" s="4"/>
      <c r="T488" s="4"/>
      <c r="U488" s="4"/>
      <c r="V488" s="4"/>
      <c r="W488" s="4"/>
      <c r="X488" s="4"/>
    </row>
    <row x14ac:dyDescent="0.25" r="489" customHeight="1" ht="12.75">
      <c r="A489" s="4"/>
      <c r="B489" s="29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29"/>
      <c r="N489" s="29"/>
      <c r="O489" s="29"/>
      <c r="P489" s="32"/>
      <c r="Q489" s="40"/>
      <c r="R489" s="4"/>
      <c r="S489" s="4"/>
      <c r="T489" s="4"/>
      <c r="U489" s="4"/>
      <c r="V489" s="4"/>
      <c r="W489" s="4"/>
      <c r="X489" s="4"/>
    </row>
    <row x14ac:dyDescent="0.25" r="490" customHeight="1" ht="12.75">
      <c r="A490" s="4"/>
      <c r="B490" s="29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29"/>
      <c r="N490" s="29"/>
      <c r="O490" s="29"/>
      <c r="P490" s="32"/>
      <c r="Q490" s="40"/>
      <c r="R490" s="4"/>
      <c r="S490" s="4"/>
      <c r="T490" s="4"/>
      <c r="U490" s="4"/>
      <c r="V490" s="4"/>
      <c r="W490" s="4"/>
      <c r="X490" s="4"/>
    </row>
    <row x14ac:dyDescent="0.25" r="491" customHeight="1" ht="12.75">
      <c r="A491" s="4"/>
      <c r="B491" s="29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29"/>
      <c r="N491" s="29"/>
      <c r="O491" s="29"/>
      <c r="P491" s="32"/>
      <c r="Q491" s="40"/>
      <c r="R491" s="4"/>
      <c r="S491" s="4"/>
      <c r="T491" s="4"/>
      <c r="U491" s="4"/>
      <c r="V491" s="4"/>
      <c r="W491" s="4"/>
      <c r="X491" s="4"/>
    </row>
    <row x14ac:dyDescent="0.25" r="492" customHeight="1" ht="12.75">
      <c r="A492" s="4"/>
      <c r="B492" s="29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29"/>
      <c r="N492" s="29"/>
      <c r="O492" s="29"/>
      <c r="P492" s="32"/>
      <c r="Q492" s="40"/>
      <c r="R492" s="4"/>
      <c r="S492" s="4"/>
      <c r="T492" s="4"/>
      <c r="U492" s="4"/>
      <c r="V492" s="4"/>
      <c r="W492" s="4"/>
      <c r="X492" s="4"/>
    </row>
    <row x14ac:dyDescent="0.25" r="493" customHeight="1" ht="12.75">
      <c r="A493" s="4"/>
      <c r="B493" s="29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29"/>
      <c r="N493" s="29"/>
      <c r="O493" s="29"/>
      <c r="P493" s="32"/>
      <c r="Q493" s="40"/>
      <c r="R493" s="4"/>
      <c r="S493" s="4"/>
      <c r="T493" s="4"/>
      <c r="U493" s="4"/>
      <c r="V493" s="4"/>
      <c r="W493" s="4"/>
      <c r="X493" s="4"/>
    </row>
    <row x14ac:dyDescent="0.25" r="494" customHeight="1" ht="12.75">
      <c r="A494" s="4"/>
      <c r="B494" s="29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29"/>
      <c r="N494" s="29"/>
      <c r="O494" s="29"/>
      <c r="P494" s="32"/>
      <c r="Q494" s="40"/>
      <c r="R494" s="4"/>
      <c r="S494" s="4"/>
      <c r="T494" s="4"/>
      <c r="U494" s="4"/>
      <c r="V494" s="4"/>
      <c r="W494" s="4"/>
      <c r="X494" s="4"/>
    </row>
    <row x14ac:dyDescent="0.25" r="495" customHeight="1" ht="12.75">
      <c r="A495" s="4"/>
      <c r="B495" s="29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29"/>
      <c r="N495" s="29"/>
      <c r="O495" s="29"/>
      <c r="P495" s="32"/>
      <c r="Q495" s="40"/>
      <c r="R495" s="4"/>
      <c r="S495" s="4"/>
      <c r="T495" s="4"/>
      <c r="U495" s="4"/>
      <c r="V495" s="4"/>
      <c r="W495" s="4"/>
      <c r="X495" s="4"/>
    </row>
    <row x14ac:dyDescent="0.25" r="496" customHeight="1" ht="12.75">
      <c r="A496" s="4"/>
      <c r="B496" s="29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29"/>
      <c r="N496" s="29"/>
      <c r="O496" s="29"/>
      <c r="P496" s="32"/>
      <c r="Q496" s="40"/>
      <c r="R496" s="4"/>
      <c r="S496" s="4"/>
      <c r="T496" s="4"/>
      <c r="U496" s="4"/>
      <c r="V496" s="4"/>
      <c r="W496" s="4"/>
      <c r="X496" s="4"/>
    </row>
    <row x14ac:dyDescent="0.25" r="497" customHeight="1" ht="12.75">
      <c r="A497" s="4"/>
      <c r="B497" s="29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29"/>
      <c r="N497" s="29"/>
      <c r="O497" s="29"/>
      <c r="P497" s="32"/>
      <c r="Q497" s="40"/>
      <c r="R497" s="4"/>
      <c r="S497" s="4"/>
      <c r="T497" s="4"/>
      <c r="U497" s="4"/>
      <c r="V497" s="4"/>
      <c r="W497" s="4"/>
      <c r="X497" s="4"/>
    </row>
    <row x14ac:dyDescent="0.25" r="498" customHeight="1" ht="12.75">
      <c r="A498" s="4"/>
      <c r="B498" s="29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29"/>
      <c r="N498" s="29"/>
      <c r="O498" s="29"/>
      <c r="P498" s="32"/>
      <c r="Q498" s="40"/>
      <c r="R498" s="4"/>
      <c r="S498" s="4"/>
      <c r="T498" s="4"/>
      <c r="U498" s="4"/>
      <c r="V498" s="4"/>
      <c r="W498" s="4"/>
      <c r="X498" s="4"/>
    </row>
    <row x14ac:dyDescent="0.25" r="499" customHeight="1" ht="12.75">
      <c r="A499" s="4"/>
      <c r="B499" s="29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29"/>
      <c r="N499" s="29"/>
      <c r="O499" s="29"/>
      <c r="P499" s="32"/>
      <c r="Q499" s="40"/>
      <c r="R499" s="4"/>
      <c r="S499" s="4"/>
      <c r="T499" s="4"/>
      <c r="U499" s="4"/>
      <c r="V499" s="4"/>
      <c r="W499" s="4"/>
      <c r="X499" s="4"/>
    </row>
    <row x14ac:dyDescent="0.25" r="500" customHeight="1" ht="12.75">
      <c r="A500" s="4"/>
      <c r="B500" s="29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29"/>
      <c r="N500" s="29"/>
      <c r="O500" s="29"/>
      <c r="P500" s="32"/>
      <c r="Q500" s="40"/>
      <c r="R500" s="4"/>
      <c r="S500" s="4"/>
      <c r="T500" s="4"/>
      <c r="U500" s="4"/>
      <c r="V500" s="4"/>
      <c r="W500" s="4"/>
      <c r="X500" s="4"/>
    </row>
    <row x14ac:dyDescent="0.25" r="501" customHeight="1" ht="12.75">
      <c r="A501" s="4"/>
      <c r="B501" s="29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29"/>
      <c r="N501" s="29"/>
      <c r="O501" s="29"/>
      <c r="P501" s="32"/>
      <c r="Q501" s="40"/>
      <c r="R501" s="4"/>
      <c r="S501" s="4"/>
      <c r="T501" s="4"/>
      <c r="U501" s="4"/>
      <c r="V501" s="4"/>
      <c r="W501" s="4"/>
      <c r="X501" s="4"/>
    </row>
    <row x14ac:dyDescent="0.25" r="502" customHeight="1" ht="12.75">
      <c r="A502" s="4"/>
      <c r="B502" s="29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29"/>
      <c r="N502" s="29"/>
      <c r="O502" s="29"/>
      <c r="P502" s="32"/>
      <c r="Q502" s="40"/>
      <c r="R502" s="4"/>
      <c r="S502" s="4"/>
      <c r="T502" s="4"/>
      <c r="U502" s="4"/>
      <c r="V502" s="4"/>
      <c r="W502" s="4"/>
      <c r="X502" s="4"/>
    </row>
    <row x14ac:dyDescent="0.25" r="503" customHeight="1" ht="12.75">
      <c r="A503" s="4"/>
      <c r="B503" s="29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29"/>
      <c r="N503" s="29"/>
      <c r="O503" s="29"/>
      <c r="P503" s="32"/>
      <c r="Q503" s="40"/>
      <c r="R503" s="4"/>
      <c r="S503" s="4"/>
      <c r="T503" s="4"/>
      <c r="U503" s="4"/>
      <c r="V503" s="4"/>
      <c r="W503" s="4"/>
      <c r="X503" s="4"/>
    </row>
    <row x14ac:dyDescent="0.25" r="504" customHeight="1" ht="12.75">
      <c r="A504" s="4"/>
      <c r="B504" s="29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29"/>
      <c r="N504" s="29"/>
      <c r="O504" s="29"/>
      <c r="P504" s="32"/>
      <c r="Q504" s="40"/>
      <c r="R504" s="4"/>
      <c r="S504" s="4"/>
      <c r="T504" s="4"/>
      <c r="U504" s="4"/>
      <c r="V504" s="4"/>
      <c r="W504" s="4"/>
      <c r="X504" s="4"/>
    </row>
    <row x14ac:dyDescent="0.25" r="505" customHeight="1" ht="12.75">
      <c r="A505" s="4"/>
      <c r="B505" s="29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29"/>
      <c r="N505" s="29"/>
      <c r="O505" s="29"/>
      <c r="P505" s="32"/>
      <c r="Q505" s="40"/>
      <c r="R505" s="4"/>
      <c r="S505" s="4"/>
      <c r="T505" s="4"/>
      <c r="U505" s="4"/>
      <c r="V505" s="4"/>
      <c r="W505" s="4"/>
      <c r="X505" s="4"/>
    </row>
    <row x14ac:dyDescent="0.25" r="506" customHeight="1" ht="12.75">
      <c r="A506" s="4"/>
      <c r="B506" s="29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29"/>
      <c r="N506" s="29"/>
      <c r="O506" s="29"/>
      <c r="P506" s="32"/>
      <c r="Q506" s="40"/>
      <c r="R506" s="4"/>
      <c r="S506" s="4"/>
      <c r="T506" s="4"/>
      <c r="U506" s="4"/>
      <c r="V506" s="4"/>
      <c r="W506" s="4"/>
      <c r="X506" s="4"/>
    </row>
    <row x14ac:dyDescent="0.25" r="507" customHeight="1" ht="12.75">
      <c r="A507" s="4"/>
      <c r="B507" s="29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29"/>
      <c r="N507" s="29"/>
      <c r="O507" s="29"/>
      <c r="P507" s="32"/>
      <c r="Q507" s="40"/>
      <c r="R507" s="4"/>
      <c r="S507" s="4"/>
      <c r="T507" s="4"/>
      <c r="U507" s="4"/>
      <c r="V507" s="4"/>
      <c r="W507" s="4"/>
      <c r="X507" s="4"/>
    </row>
    <row x14ac:dyDescent="0.25" r="508" customHeight="1" ht="12.75">
      <c r="A508" s="4"/>
      <c r="B508" s="29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29"/>
      <c r="N508" s="29"/>
      <c r="O508" s="29"/>
      <c r="P508" s="32"/>
      <c r="Q508" s="40"/>
      <c r="R508" s="4"/>
      <c r="S508" s="4"/>
      <c r="T508" s="4"/>
      <c r="U508" s="4"/>
      <c r="V508" s="4"/>
      <c r="W508" s="4"/>
      <c r="X508" s="4"/>
    </row>
    <row x14ac:dyDescent="0.25" r="509" customHeight="1" ht="12.75">
      <c r="A509" s="4"/>
      <c r="B509" s="29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29"/>
      <c r="N509" s="29"/>
      <c r="O509" s="29"/>
      <c r="P509" s="32"/>
      <c r="Q509" s="40"/>
      <c r="R509" s="4"/>
      <c r="S509" s="4"/>
      <c r="T509" s="4"/>
      <c r="U509" s="4"/>
      <c r="V509" s="4"/>
      <c r="W509" s="4"/>
      <c r="X509" s="4"/>
    </row>
    <row x14ac:dyDescent="0.25" r="510" customHeight="1" ht="12.75">
      <c r="A510" s="4"/>
      <c r="B510" s="29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29"/>
      <c r="N510" s="29"/>
      <c r="O510" s="29"/>
      <c r="P510" s="32"/>
      <c r="Q510" s="40"/>
      <c r="R510" s="4"/>
      <c r="S510" s="4"/>
      <c r="T510" s="4"/>
      <c r="U510" s="4"/>
      <c r="V510" s="4"/>
      <c r="W510" s="4"/>
      <c r="X510" s="4"/>
    </row>
    <row x14ac:dyDescent="0.25" r="511" customHeight="1" ht="12.75">
      <c r="A511" s="4"/>
      <c r="B511" s="29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29"/>
      <c r="N511" s="29"/>
      <c r="O511" s="29"/>
      <c r="P511" s="32"/>
      <c r="Q511" s="40"/>
      <c r="R511" s="4"/>
      <c r="S511" s="4"/>
      <c r="T511" s="4"/>
      <c r="U511" s="4"/>
      <c r="V511" s="4"/>
      <c r="W511" s="4"/>
      <c r="X511" s="4"/>
    </row>
    <row x14ac:dyDescent="0.25" r="512" customHeight="1" ht="12.75">
      <c r="A512" s="4"/>
      <c r="B512" s="29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29"/>
      <c r="N512" s="29"/>
      <c r="O512" s="29"/>
      <c r="P512" s="32"/>
      <c r="Q512" s="40"/>
      <c r="R512" s="4"/>
      <c r="S512" s="4"/>
      <c r="T512" s="4"/>
      <c r="U512" s="4"/>
      <c r="V512" s="4"/>
      <c r="W512" s="4"/>
      <c r="X512" s="4"/>
    </row>
    <row x14ac:dyDescent="0.25" r="513" customHeight="1" ht="12.75">
      <c r="A513" s="4"/>
      <c r="B513" s="29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29"/>
      <c r="N513" s="29"/>
      <c r="O513" s="29"/>
      <c r="P513" s="32"/>
      <c r="Q513" s="40"/>
      <c r="R513" s="4"/>
      <c r="S513" s="4"/>
      <c r="T513" s="4"/>
      <c r="U513" s="4"/>
      <c r="V513" s="4"/>
      <c r="W513" s="4"/>
      <c r="X513" s="4"/>
    </row>
    <row x14ac:dyDescent="0.25" r="514" customHeight="1" ht="12.75">
      <c r="A514" s="4"/>
      <c r="B514" s="29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29"/>
      <c r="N514" s="29"/>
      <c r="O514" s="29"/>
      <c r="P514" s="32"/>
      <c r="Q514" s="40"/>
      <c r="R514" s="4"/>
      <c r="S514" s="4"/>
      <c r="T514" s="4"/>
      <c r="U514" s="4"/>
      <c r="V514" s="4"/>
      <c r="W514" s="4"/>
      <c r="X514" s="4"/>
    </row>
    <row x14ac:dyDescent="0.25" r="515" customHeight="1" ht="12.75">
      <c r="A515" s="4"/>
      <c r="B515" s="29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29"/>
      <c r="N515" s="29"/>
      <c r="O515" s="29"/>
      <c r="P515" s="32"/>
      <c r="Q515" s="40"/>
      <c r="R515" s="4"/>
      <c r="S515" s="4"/>
      <c r="T515" s="4"/>
      <c r="U515" s="4"/>
      <c r="V515" s="4"/>
      <c r="W515" s="4"/>
      <c r="X515" s="4"/>
    </row>
    <row x14ac:dyDescent="0.25" r="516" customHeight="1" ht="12.75">
      <c r="A516" s="4"/>
      <c r="B516" s="29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29"/>
      <c r="N516" s="29"/>
      <c r="O516" s="29"/>
      <c r="P516" s="32"/>
      <c r="Q516" s="40"/>
      <c r="R516" s="4"/>
      <c r="S516" s="4"/>
      <c r="T516" s="4"/>
      <c r="U516" s="4"/>
      <c r="V516" s="4"/>
      <c r="W516" s="4"/>
      <c r="X516" s="4"/>
    </row>
    <row x14ac:dyDescent="0.25" r="517" customHeight="1" ht="12.75">
      <c r="A517" s="4"/>
      <c r="B517" s="29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29"/>
      <c r="N517" s="29"/>
      <c r="O517" s="29"/>
      <c r="P517" s="32"/>
      <c r="Q517" s="40"/>
      <c r="R517" s="4"/>
      <c r="S517" s="4"/>
      <c r="T517" s="4"/>
      <c r="U517" s="4"/>
      <c r="V517" s="4"/>
      <c r="W517" s="4"/>
      <c r="X517" s="4"/>
    </row>
    <row x14ac:dyDescent="0.25" r="518" customHeight="1" ht="12.75">
      <c r="A518" s="4"/>
      <c r="B518" s="29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29"/>
      <c r="N518" s="29"/>
      <c r="O518" s="29"/>
      <c r="P518" s="32"/>
      <c r="Q518" s="40"/>
      <c r="R518" s="4"/>
      <c r="S518" s="4"/>
      <c r="T518" s="4"/>
      <c r="U518" s="4"/>
      <c r="V518" s="4"/>
      <c r="W518" s="4"/>
      <c r="X518" s="4"/>
    </row>
    <row x14ac:dyDescent="0.25" r="519" customHeight="1" ht="12.75">
      <c r="A519" s="4"/>
      <c r="B519" s="29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29"/>
      <c r="N519" s="29"/>
      <c r="O519" s="29"/>
      <c r="P519" s="32"/>
      <c r="Q519" s="40"/>
      <c r="R519" s="4"/>
      <c r="S519" s="4"/>
      <c r="T519" s="4"/>
      <c r="U519" s="4"/>
      <c r="V519" s="4"/>
      <c r="W519" s="4"/>
      <c r="X519" s="4"/>
    </row>
    <row x14ac:dyDescent="0.25" r="520" customHeight="1" ht="12.75">
      <c r="A520" s="4"/>
      <c r="B520" s="29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29"/>
      <c r="N520" s="29"/>
      <c r="O520" s="29"/>
      <c r="P520" s="32"/>
      <c r="Q520" s="40"/>
      <c r="R520" s="4"/>
      <c r="S520" s="4"/>
      <c r="T520" s="4"/>
      <c r="U520" s="4"/>
      <c r="V520" s="4"/>
      <c r="W520" s="4"/>
      <c r="X520" s="4"/>
    </row>
    <row x14ac:dyDescent="0.25" r="521" customHeight="1" ht="12.75">
      <c r="A521" s="4"/>
      <c r="B521" s="29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29"/>
      <c r="N521" s="29"/>
      <c r="O521" s="29"/>
      <c r="P521" s="32"/>
      <c r="Q521" s="40"/>
      <c r="R521" s="4"/>
      <c r="S521" s="4"/>
      <c r="T521" s="4"/>
      <c r="U521" s="4"/>
      <c r="V521" s="4"/>
      <c r="W521" s="4"/>
      <c r="X521" s="4"/>
    </row>
    <row x14ac:dyDescent="0.25" r="522" customHeight="1" ht="12.75">
      <c r="A522" s="4"/>
      <c r="B522" s="29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29"/>
      <c r="N522" s="29"/>
      <c r="O522" s="29"/>
      <c r="P522" s="32"/>
      <c r="Q522" s="40"/>
      <c r="R522" s="4"/>
      <c r="S522" s="4"/>
      <c r="T522" s="4"/>
      <c r="U522" s="4"/>
      <c r="V522" s="4"/>
      <c r="W522" s="4"/>
      <c r="X522" s="4"/>
    </row>
    <row x14ac:dyDescent="0.25" r="523" customHeight="1" ht="12.75">
      <c r="A523" s="4"/>
      <c r="B523" s="29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29"/>
      <c r="N523" s="29"/>
      <c r="O523" s="29"/>
      <c r="P523" s="32"/>
      <c r="Q523" s="40"/>
      <c r="R523" s="4"/>
      <c r="S523" s="4"/>
      <c r="T523" s="4"/>
      <c r="U523" s="4"/>
      <c r="V523" s="4"/>
      <c r="W523" s="4"/>
      <c r="X523" s="4"/>
    </row>
    <row x14ac:dyDescent="0.25" r="524" customHeight="1" ht="12.75">
      <c r="A524" s="4"/>
      <c r="B524" s="29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29"/>
      <c r="N524" s="29"/>
      <c r="O524" s="29"/>
      <c r="P524" s="32"/>
      <c r="Q524" s="40"/>
      <c r="R524" s="4"/>
      <c r="S524" s="4"/>
      <c r="T524" s="4"/>
      <c r="U524" s="4"/>
      <c r="V524" s="4"/>
      <c r="W524" s="4"/>
      <c r="X524" s="4"/>
    </row>
    <row x14ac:dyDescent="0.25" r="525" customHeight="1" ht="12.75">
      <c r="A525" s="4"/>
      <c r="B525" s="29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29"/>
      <c r="N525" s="29"/>
      <c r="O525" s="29"/>
      <c r="P525" s="32"/>
      <c r="Q525" s="40"/>
      <c r="R525" s="4"/>
      <c r="S525" s="4"/>
      <c r="T525" s="4"/>
      <c r="U525" s="4"/>
      <c r="V525" s="4"/>
      <c r="W525" s="4"/>
      <c r="X525" s="4"/>
    </row>
    <row x14ac:dyDescent="0.25" r="526" customHeight="1" ht="12.75">
      <c r="A526" s="4"/>
      <c r="B526" s="29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29"/>
      <c r="N526" s="29"/>
      <c r="O526" s="29"/>
      <c r="P526" s="32"/>
      <c r="Q526" s="40"/>
      <c r="R526" s="4"/>
      <c r="S526" s="4"/>
      <c r="T526" s="4"/>
      <c r="U526" s="4"/>
      <c r="V526" s="4"/>
      <c r="W526" s="4"/>
      <c r="X526" s="4"/>
    </row>
    <row x14ac:dyDescent="0.25" r="527" customHeight="1" ht="12.75">
      <c r="A527" s="4"/>
      <c r="B527" s="29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29"/>
      <c r="N527" s="29"/>
      <c r="O527" s="29"/>
      <c r="P527" s="32"/>
      <c r="Q527" s="40"/>
      <c r="R527" s="4"/>
      <c r="S527" s="4"/>
      <c r="T527" s="4"/>
      <c r="U527" s="4"/>
      <c r="V527" s="4"/>
      <c r="W527" s="4"/>
      <c r="X527" s="4"/>
    </row>
    <row x14ac:dyDescent="0.25" r="528" customHeight="1" ht="12.75">
      <c r="A528" s="4"/>
      <c r="B528" s="29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29"/>
      <c r="N528" s="29"/>
      <c r="O528" s="29"/>
      <c r="P528" s="32"/>
      <c r="Q528" s="40"/>
      <c r="R528" s="4"/>
      <c r="S528" s="4"/>
      <c r="T528" s="4"/>
      <c r="U528" s="4"/>
      <c r="V528" s="4"/>
      <c r="W528" s="4"/>
      <c r="X528" s="4"/>
    </row>
    <row x14ac:dyDescent="0.25" r="529" customHeight="1" ht="12.75">
      <c r="A529" s="4"/>
      <c r="B529" s="29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29"/>
      <c r="N529" s="29"/>
      <c r="O529" s="29"/>
      <c r="P529" s="32"/>
      <c r="Q529" s="40"/>
      <c r="R529" s="4"/>
      <c r="S529" s="4"/>
      <c r="T529" s="4"/>
      <c r="U529" s="4"/>
      <c r="V529" s="4"/>
      <c r="W529" s="4"/>
      <c r="X529" s="4"/>
    </row>
    <row x14ac:dyDescent="0.25" r="530" customHeight="1" ht="12.75">
      <c r="A530" s="4"/>
      <c r="B530" s="29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29"/>
      <c r="N530" s="29"/>
      <c r="O530" s="29"/>
      <c r="P530" s="32"/>
      <c r="Q530" s="40"/>
      <c r="R530" s="4"/>
      <c r="S530" s="4"/>
      <c r="T530" s="4"/>
      <c r="U530" s="4"/>
      <c r="V530" s="4"/>
      <c r="W530" s="4"/>
      <c r="X530" s="4"/>
    </row>
    <row x14ac:dyDescent="0.25" r="531" customHeight="1" ht="12.75">
      <c r="A531" s="4"/>
      <c r="B531" s="29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29"/>
      <c r="N531" s="29"/>
      <c r="O531" s="29"/>
      <c r="P531" s="32"/>
      <c r="Q531" s="40"/>
      <c r="R531" s="4"/>
      <c r="S531" s="4"/>
      <c r="T531" s="4"/>
      <c r="U531" s="4"/>
      <c r="V531" s="4"/>
      <c r="W531" s="4"/>
      <c r="X531" s="4"/>
    </row>
    <row x14ac:dyDescent="0.25" r="532" customHeight="1" ht="12.75">
      <c r="A532" s="4"/>
      <c r="B532" s="29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29"/>
      <c r="N532" s="29"/>
      <c r="O532" s="29"/>
      <c r="P532" s="32"/>
      <c r="Q532" s="40"/>
      <c r="R532" s="4"/>
      <c r="S532" s="4"/>
      <c r="T532" s="4"/>
      <c r="U532" s="4"/>
      <c r="V532" s="4"/>
      <c r="W532" s="4"/>
      <c r="X532" s="4"/>
    </row>
    <row x14ac:dyDescent="0.25" r="533" customHeight="1" ht="12.75">
      <c r="A533" s="4"/>
      <c r="B533" s="29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29"/>
      <c r="N533" s="29"/>
      <c r="O533" s="29"/>
      <c r="P533" s="32"/>
      <c r="Q533" s="40"/>
      <c r="R533" s="4"/>
      <c r="S533" s="4"/>
      <c r="T533" s="4"/>
      <c r="U533" s="4"/>
      <c r="V533" s="4"/>
      <c r="W533" s="4"/>
      <c r="X533" s="4"/>
    </row>
    <row x14ac:dyDescent="0.25" r="534" customHeight="1" ht="12.75">
      <c r="A534" s="4"/>
      <c r="B534" s="29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29"/>
      <c r="N534" s="29"/>
      <c r="O534" s="29"/>
      <c r="P534" s="32"/>
      <c r="Q534" s="40"/>
      <c r="R534" s="4"/>
      <c r="S534" s="4"/>
      <c r="T534" s="4"/>
      <c r="U534" s="4"/>
      <c r="V534" s="4"/>
      <c r="W534" s="4"/>
      <c r="X534" s="4"/>
    </row>
    <row x14ac:dyDescent="0.25" r="535" customHeight="1" ht="12.75">
      <c r="A535" s="4"/>
      <c r="B535" s="29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29"/>
      <c r="N535" s="29"/>
      <c r="O535" s="29"/>
      <c r="P535" s="32"/>
      <c r="Q535" s="40"/>
      <c r="R535" s="4"/>
      <c r="S535" s="4"/>
      <c r="T535" s="4"/>
      <c r="U535" s="4"/>
      <c r="V535" s="4"/>
      <c r="W535" s="4"/>
      <c r="X535" s="4"/>
    </row>
    <row x14ac:dyDescent="0.25" r="536" customHeight="1" ht="12.75">
      <c r="A536" s="4"/>
      <c r="B536" s="29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29"/>
      <c r="N536" s="29"/>
      <c r="O536" s="29"/>
      <c r="P536" s="32"/>
      <c r="Q536" s="40"/>
      <c r="R536" s="4"/>
      <c r="S536" s="4"/>
      <c r="T536" s="4"/>
      <c r="U536" s="4"/>
      <c r="V536" s="4"/>
      <c r="W536" s="4"/>
      <c r="X536" s="4"/>
    </row>
    <row x14ac:dyDescent="0.25" r="537" customHeight="1" ht="12.75">
      <c r="A537" s="4"/>
      <c r="B537" s="29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29"/>
      <c r="N537" s="29"/>
      <c r="O537" s="29"/>
      <c r="P537" s="32"/>
      <c r="Q537" s="40"/>
      <c r="R537" s="4"/>
      <c r="S537" s="4"/>
      <c r="T537" s="4"/>
      <c r="U537" s="4"/>
      <c r="V537" s="4"/>
      <c r="W537" s="4"/>
      <c r="X537" s="4"/>
    </row>
    <row x14ac:dyDescent="0.25" r="538" customHeight="1" ht="12.75">
      <c r="A538" s="4"/>
      <c r="B538" s="29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29"/>
      <c r="N538" s="29"/>
      <c r="O538" s="29"/>
      <c r="P538" s="32"/>
      <c r="Q538" s="40"/>
      <c r="R538" s="4"/>
      <c r="S538" s="4"/>
      <c r="T538" s="4"/>
      <c r="U538" s="4"/>
      <c r="V538" s="4"/>
      <c r="W538" s="4"/>
      <c r="X538" s="4"/>
    </row>
    <row x14ac:dyDescent="0.25" r="539" customHeight="1" ht="12.75">
      <c r="A539" s="4"/>
      <c r="B539" s="29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29"/>
      <c r="N539" s="29"/>
      <c r="O539" s="29"/>
      <c r="P539" s="32"/>
      <c r="Q539" s="40"/>
      <c r="R539" s="4"/>
      <c r="S539" s="4"/>
      <c r="T539" s="4"/>
      <c r="U539" s="4"/>
      <c r="V539" s="4"/>
      <c r="W539" s="4"/>
      <c r="X539" s="4"/>
    </row>
    <row x14ac:dyDescent="0.25" r="540" customHeight="1" ht="12.75">
      <c r="A540" s="4"/>
      <c r="B540" s="29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29"/>
      <c r="N540" s="29"/>
      <c r="O540" s="29"/>
      <c r="P540" s="32"/>
      <c r="Q540" s="40"/>
      <c r="R540" s="4"/>
      <c r="S540" s="4"/>
      <c r="T540" s="4"/>
      <c r="U540" s="4"/>
      <c r="V540" s="4"/>
      <c r="W540" s="4"/>
      <c r="X540" s="4"/>
    </row>
    <row x14ac:dyDescent="0.25" r="541" customHeight="1" ht="12.75">
      <c r="A541" s="4"/>
      <c r="B541" s="29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29"/>
      <c r="N541" s="29"/>
      <c r="O541" s="29"/>
      <c r="P541" s="32"/>
      <c r="Q541" s="40"/>
      <c r="R541" s="4"/>
      <c r="S541" s="4"/>
      <c r="T541" s="4"/>
      <c r="U541" s="4"/>
      <c r="V541" s="4"/>
      <c r="W541" s="4"/>
      <c r="X541" s="4"/>
    </row>
    <row x14ac:dyDescent="0.25" r="542" customHeight="1" ht="12.75">
      <c r="A542" s="4"/>
      <c r="B542" s="29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29"/>
      <c r="N542" s="29"/>
      <c r="O542" s="29"/>
      <c r="P542" s="32"/>
      <c r="Q542" s="40"/>
      <c r="R542" s="4"/>
      <c r="S542" s="4"/>
      <c r="T542" s="4"/>
      <c r="U542" s="4"/>
      <c r="V542" s="4"/>
      <c r="W542" s="4"/>
      <c r="X542" s="4"/>
    </row>
    <row x14ac:dyDescent="0.25" r="543" customHeight="1" ht="12.75">
      <c r="A543" s="4"/>
      <c r="B543" s="29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29"/>
      <c r="N543" s="29"/>
      <c r="O543" s="29"/>
      <c r="P543" s="32"/>
      <c r="Q543" s="40"/>
      <c r="R543" s="4"/>
      <c r="S543" s="4"/>
      <c r="T543" s="4"/>
      <c r="U543" s="4"/>
      <c r="V543" s="4"/>
      <c r="W543" s="4"/>
      <c r="X543" s="4"/>
    </row>
    <row x14ac:dyDescent="0.25" r="544" customHeight="1" ht="12.75">
      <c r="A544" s="4"/>
      <c r="B544" s="29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29"/>
      <c r="N544" s="29"/>
      <c r="O544" s="29"/>
      <c r="P544" s="32"/>
      <c r="Q544" s="40"/>
      <c r="R544" s="4"/>
      <c r="S544" s="4"/>
      <c r="T544" s="4"/>
      <c r="U544" s="4"/>
      <c r="V544" s="4"/>
      <c r="W544" s="4"/>
      <c r="X544" s="4"/>
    </row>
    <row x14ac:dyDescent="0.25" r="545" customHeight="1" ht="12.75">
      <c r="A545" s="4"/>
      <c r="B545" s="29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29"/>
      <c r="N545" s="29"/>
      <c r="O545" s="29"/>
      <c r="P545" s="32"/>
      <c r="Q545" s="40"/>
      <c r="R545" s="4"/>
      <c r="S545" s="4"/>
      <c r="T545" s="4"/>
      <c r="U545" s="4"/>
      <c r="V545" s="4"/>
      <c r="W545" s="4"/>
      <c r="X545" s="4"/>
    </row>
    <row x14ac:dyDescent="0.25" r="546" customHeight="1" ht="12.75">
      <c r="A546" s="4"/>
      <c r="B546" s="29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29"/>
      <c r="N546" s="29"/>
      <c r="O546" s="29"/>
      <c r="P546" s="32"/>
      <c r="Q546" s="40"/>
      <c r="R546" s="4"/>
      <c r="S546" s="4"/>
      <c r="T546" s="4"/>
      <c r="U546" s="4"/>
      <c r="V546" s="4"/>
      <c r="W546" s="4"/>
      <c r="X546" s="4"/>
    </row>
    <row x14ac:dyDescent="0.25" r="547" customHeight="1" ht="12.75">
      <c r="A547" s="4"/>
      <c r="B547" s="29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29"/>
      <c r="N547" s="29"/>
      <c r="O547" s="29"/>
      <c r="P547" s="32"/>
      <c r="Q547" s="40"/>
      <c r="R547" s="4"/>
      <c r="S547" s="4"/>
      <c r="T547" s="4"/>
      <c r="U547" s="4"/>
      <c r="V547" s="4"/>
      <c r="W547" s="4"/>
      <c r="X547" s="4"/>
    </row>
    <row x14ac:dyDescent="0.25" r="548" customHeight="1" ht="12.75">
      <c r="A548" s="4"/>
      <c r="B548" s="29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29"/>
      <c r="N548" s="29"/>
      <c r="O548" s="29"/>
      <c r="P548" s="32"/>
      <c r="Q548" s="40"/>
      <c r="R548" s="4"/>
      <c r="S548" s="4"/>
      <c r="T548" s="4"/>
      <c r="U548" s="4"/>
      <c r="V548" s="4"/>
      <c r="W548" s="4"/>
      <c r="X548" s="4"/>
    </row>
    <row x14ac:dyDescent="0.25" r="549" customHeight="1" ht="12.75">
      <c r="A549" s="4"/>
      <c r="B549" s="29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29"/>
      <c r="N549" s="29"/>
      <c r="O549" s="29"/>
      <c r="P549" s="32"/>
      <c r="Q549" s="40"/>
      <c r="R549" s="4"/>
      <c r="S549" s="4"/>
      <c r="T549" s="4"/>
      <c r="U549" s="4"/>
      <c r="V549" s="4"/>
      <c r="W549" s="4"/>
      <c r="X549" s="4"/>
    </row>
    <row x14ac:dyDescent="0.25" r="550" customHeight="1" ht="12.75">
      <c r="A550" s="4"/>
      <c r="B550" s="29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29"/>
      <c r="N550" s="29"/>
      <c r="O550" s="29"/>
      <c r="P550" s="32"/>
      <c r="Q550" s="40"/>
      <c r="R550" s="4"/>
      <c r="S550" s="4"/>
      <c r="T550" s="4"/>
      <c r="U550" s="4"/>
      <c r="V550" s="4"/>
      <c r="W550" s="4"/>
      <c r="X550" s="4"/>
    </row>
    <row x14ac:dyDescent="0.25" r="551" customHeight="1" ht="12.75">
      <c r="A551" s="4"/>
      <c r="B551" s="29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29"/>
      <c r="N551" s="29"/>
      <c r="O551" s="29"/>
      <c r="P551" s="32"/>
      <c r="Q551" s="40"/>
      <c r="R551" s="4"/>
      <c r="S551" s="4"/>
      <c r="T551" s="4"/>
      <c r="U551" s="4"/>
      <c r="V551" s="4"/>
      <c r="W551" s="4"/>
      <c r="X551" s="4"/>
    </row>
    <row x14ac:dyDescent="0.25" r="552" customHeight="1" ht="12.75">
      <c r="A552" s="4"/>
      <c r="B552" s="29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29"/>
      <c r="N552" s="29"/>
      <c r="O552" s="29"/>
      <c r="P552" s="32"/>
      <c r="Q552" s="40"/>
      <c r="R552" s="4"/>
      <c r="S552" s="4"/>
      <c r="T552" s="4"/>
      <c r="U552" s="4"/>
      <c r="V552" s="4"/>
      <c r="W552" s="4"/>
      <c r="X552" s="4"/>
    </row>
    <row x14ac:dyDescent="0.25" r="553" customHeight="1" ht="12.75">
      <c r="A553" s="4"/>
      <c r="B553" s="29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29"/>
      <c r="N553" s="29"/>
      <c r="O553" s="29"/>
      <c r="P553" s="32"/>
      <c r="Q553" s="40"/>
      <c r="R553" s="4"/>
      <c r="S553" s="4"/>
      <c r="T553" s="4"/>
      <c r="U553" s="4"/>
      <c r="V553" s="4"/>
      <c r="W553" s="4"/>
      <c r="X553" s="4"/>
    </row>
    <row x14ac:dyDescent="0.25" r="554" customHeight="1" ht="12.75">
      <c r="A554" s="4"/>
      <c r="B554" s="29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29"/>
      <c r="N554" s="29"/>
      <c r="O554" s="29"/>
      <c r="P554" s="32"/>
      <c r="Q554" s="40"/>
      <c r="R554" s="4"/>
      <c r="S554" s="4"/>
      <c r="T554" s="4"/>
      <c r="U554" s="4"/>
      <c r="V554" s="4"/>
      <c r="W554" s="4"/>
      <c r="X554" s="4"/>
    </row>
    <row x14ac:dyDescent="0.25" r="555" customHeight="1" ht="12.75">
      <c r="A555" s="4"/>
      <c r="B555" s="29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29"/>
      <c r="N555" s="29"/>
      <c r="O555" s="29"/>
      <c r="P555" s="32"/>
      <c r="Q555" s="40"/>
      <c r="R555" s="4"/>
      <c r="S555" s="4"/>
      <c r="T555" s="4"/>
      <c r="U555" s="4"/>
      <c r="V555" s="4"/>
      <c r="W555" s="4"/>
      <c r="X555" s="4"/>
    </row>
    <row x14ac:dyDescent="0.25" r="556" customHeight="1" ht="12.75">
      <c r="A556" s="4"/>
      <c r="B556" s="29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29"/>
      <c r="N556" s="29"/>
      <c r="O556" s="29"/>
      <c r="P556" s="32"/>
      <c r="Q556" s="40"/>
      <c r="R556" s="4"/>
      <c r="S556" s="4"/>
      <c r="T556" s="4"/>
      <c r="U556" s="4"/>
      <c r="V556" s="4"/>
      <c r="W556" s="4"/>
      <c r="X556" s="4"/>
    </row>
    <row x14ac:dyDescent="0.25" r="557" customHeight="1" ht="12.75">
      <c r="A557" s="4"/>
      <c r="B557" s="29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29"/>
      <c r="N557" s="29"/>
      <c r="O557" s="29"/>
      <c r="P557" s="32"/>
      <c r="Q557" s="40"/>
      <c r="R557" s="4"/>
      <c r="S557" s="4"/>
      <c r="T557" s="4"/>
      <c r="U557" s="4"/>
      <c r="V557" s="4"/>
      <c r="W557" s="4"/>
      <c r="X557" s="4"/>
    </row>
    <row x14ac:dyDescent="0.25" r="558" customHeight="1" ht="12.75">
      <c r="A558" s="4"/>
      <c r="B558" s="29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29"/>
      <c r="N558" s="29"/>
      <c r="O558" s="29"/>
      <c r="P558" s="32"/>
      <c r="Q558" s="40"/>
      <c r="R558" s="4"/>
      <c r="S558" s="4"/>
      <c r="T558" s="4"/>
      <c r="U558" s="4"/>
      <c r="V558" s="4"/>
      <c r="W558" s="4"/>
      <c r="X558" s="4"/>
    </row>
    <row x14ac:dyDescent="0.25" r="559" customHeight="1" ht="12.75">
      <c r="A559" s="4"/>
      <c r="B559" s="29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29"/>
      <c r="N559" s="29"/>
      <c r="O559" s="29"/>
      <c r="P559" s="32"/>
      <c r="Q559" s="40"/>
      <c r="R559" s="4"/>
      <c r="S559" s="4"/>
      <c r="T559" s="4"/>
      <c r="U559" s="4"/>
      <c r="V559" s="4"/>
      <c r="W559" s="4"/>
      <c r="X559" s="4"/>
    </row>
    <row x14ac:dyDescent="0.25" r="560" customHeight="1" ht="12.75">
      <c r="A560" s="4"/>
      <c r="B560" s="29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29"/>
      <c r="N560" s="29"/>
      <c r="O560" s="29"/>
      <c r="P560" s="32"/>
      <c r="Q560" s="40"/>
      <c r="R560" s="4"/>
      <c r="S560" s="4"/>
      <c r="T560" s="4"/>
      <c r="U560" s="4"/>
      <c r="V560" s="4"/>
      <c r="W560" s="4"/>
      <c r="X560" s="4"/>
    </row>
    <row x14ac:dyDescent="0.25" r="561" customHeight="1" ht="12.75">
      <c r="A561" s="4"/>
      <c r="B561" s="29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29"/>
      <c r="N561" s="29"/>
      <c r="O561" s="29"/>
      <c r="P561" s="32"/>
      <c r="Q561" s="40"/>
      <c r="R561" s="4"/>
      <c r="S561" s="4"/>
      <c r="T561" s="4"/>
      <c r="U561" s="4"/>
      <c r="V561" s="4"/>
      <c r="W561" s="4"/>
      <c r="X561" s="4"/>
    </row>
    <row x14ac:dyDescent="0.25" r="562" customHeight="1" ht="12.75">
      <c r="A562" s="4"/>
      <c r="B562" s="29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29"/>
      <c r="N562" s="29"/>
      <c r="O562" s="29"/>
      <c r="P562" s="32"/>
      <c r="Q562" s="40"/>
      <c r="R562" s="4"/>
      <c r="S562" s="4"/>
      <c r="T562" s="4"/>
      <c r="U562" s="4"/>
      <c r="V562" s="4"/>
      <c r="W562" s="4"/>
      <c r="X562" s="4"/>
    </row>
    <row x14ac:dyDescent="0.25" r="563" customHeight="1" ht="12.75">
      <c r="A563" s="4"/>
      <c r="B563" s="29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29"/>
      <c r="N563" s="29"/>
      <c r="O563" s="29"/>
      <c r="P563" s="32"/>
      <c r="Q563" s="40"/>
      <c r="R563" s="4"/>
      <c r="S563" s="4"/>
      <c r="T563" s="4"/>
      <c r="U563" s="4"/>
      <c r="V563" s="4"/>
      <c r="W563" s="4"/>
      <c r="X563" s="4"/>
    </row>
    <row x14ac:dyDescent="0.25" r="564" customHeight="1" ht="12.75">
      <c r="A564" s="4"/>
      <c r="B564" s="29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29"/>
      <c r="N564" s="29"/>
      <c r="O564" s="29"/>
      <c r="P564" s="32"/>
      <c r="Q564" s="40"/>
      <c r="R564" s="4"/>
      <c r="S564" s="4"/>
      <c r="T564" s="4"/>
      <c r="U564" s="4"/>
      <c r="V564" s="4"/>
      <c r="W564" s="4"/>
      <c r="X564" s="4"/>
    </row>
    <row x14ac:dyDescent="0.25" r="565" customHeight="1" ht="12.75">
      <c r="A565" s="4"/>
      <c r="B565" s="29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29"/>
      <c r="N565" s="29"/>
      <c r="O565" s="29"/>
      <c r="P565" s="32"/>
      <c r="Q565" s="40"/>
      <c r="R565" s="4"/>
      <c r="S565" s="4"/>
      <c r="T565" s="4"/>
      <c r="U565" s="4"/>
      <c r="V565" s="4"/>
      <c r="W565" s="4"/>
      <c r="X565" s="4"/>
    </row>
    <row x14ac:dyDescent="0.25" r="566" customHeight="1" ht="12.75">
      <c r="A566" s="4"/>
      <c r="B566" s="29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29"/>
      <c r="N566" s="29"/>
      <c r="O566" s="29"/>
      <c r="P566" s="32"/>
      <c r="Q566" s="40"/>
      <c r="R566" s="4"/>
      <c r="S566" s="4"/>
      <c r="T566" s="4"/>
      <c r="U566" s="4"/>
      <c r="V566" s="4"/>
      <c r="W566" s="4"/>
      <c r="X566" s="4"/>
    </row>
    <row x14ac:dyDescent="0.25" r="567" customHeight="1" ht="12.75">
      <c r="A567" s="4"/>
      <c r="B567" s="29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29"/>
      <c r="N567" s="29"/>
      <c r="O567" s="29"/>
      <c r="P567" s="32"/>
      <c r="Q567" s="40"/>
      <c r="R567" s="4"/>
      <c r="S567" s="4"/>
      <c r="T567" s="4"/>
      <c r="U567" s="4"/>
      <c r="V567" s="4"/>
      <c r="W567" s="4"/>
      <c r="X567" s="4"/>
    </row>
    <row x14ac:dyDescent="0.25" r="568" customHeight="1" ht="12.75">
      <c r="A568" s="4"/>
      <c r="B568" s="29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29"/>
      <c r="N568" s="29"/>
      <c r="O568" s="29"/>
      <c r="P568" s="32"/>
      <c r="Q568" s="40"/>
      <c r="R568" s="4"/>
      <c r="S568" s="4"/>
      <c r="T568" s="4"/>
      <c r="U568" s="4"/>
      <c r="V568" s="4"/>
      <c r="W568" s="4"/>
      <c r="X568" s="4"/>
    </row>
    <row x14ac:dyDescent="0.25" r="569" customHeight="1" ht="12.75">
      <c r="A569" s="4"/>
      <c r="B569" s="29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29"/>
      <c r="N569" s="29"/>
      <c r="O569" s="29"/>
      <c r="P569" s="32"/>
      <c r="Q569" s="40"/>
      <c r="R569" s="4"/>
      <c r="S569" s="4"/>
      <c r="T569" s="4"/>
      <c r="U569" s="4"/>
      <c r="V569" s="4"/>
      <c r="W569" s="4"/>
      <c r="X569" s="4"/>
    </row>
    <row x14ac:dyDescent="0.25" r="570" customHeight="1" ht="12.75">
      <c r="A570" s="4"/>
      <c r="B570" s="29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29"/>
      <c r="N570" s="29"/>
      <c r="O570" s="29"/>
      <c r="P570" s="32"/>
      <c r="Q570" s="40"/>
      <c r="R570" s="4"/>
      <c r="S570" s="4"/>
      <c r="T570" s="4"/>
      <c r="U570" s="4"/>
      <c r="V570" s="4"/>
      <c r="W570" s="4"/>
      <c r="X570" s="4"/>
    </row>
    <row x14ac:dyDescent="0.25" r="571" customHeight="1" ht="12.75">
      <c r="A571" s="4"/>
      <c r="B571" s="29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29"/>
      <c r="N571" s="29"/>
      <c r="O571" s="29"/>
      <c r="P571" s="32"/>
      <c r="Q571" s="40"/>
      <c r="R571" s="4"/>
      <c r="S571" s="4"/>
      <c r="T571" s="4"/>
      <c r="U571" s="4"/>
      <c r="V571" s="4"/>
      <c r="W571" s="4"/>
      <c r="X571" s="4"/>
    </row>
    <row x14ac:dyDescent="0.25" r="572" customHeight="1" ht="12.75">
      <c r="A572" s="4"/>
      <c r="B572" s="29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29"/>
      <c r="N572" s="29"/>
      <c r="O572" s="29"/>
      <c r="P572" s="32"/>
      <c r="Q572" s="40"/>
      <c r="R572" s="4"/>
      <c r="S572" s="4"/>
      <c r="T572" s="4"/>
      <c r="U572" s="4"/>
      <c r="V572" s="4"/>
      <c r="W572" s="4"/>
      <c r="X572" s="4"/>
    </row>
    <row x14ac:dyDescent="0.25" r="573" customHeight="1" ht="12.75">
      <c r="A573" s="4"/>
      <c r="B573" s="29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29"/>
      <c r="N573" s="29"/>
      <c r="O573" s="29"/>
      <c r="P573" s="32"/>
      <c r="Q573" s="40"/>
      <c r="R573" s="4"/>
      <c r="S573" s="4"/>
      <c r="T573" s="4"/>
      <c r="U573" s="4"/>
      <c r="V573" s="4"/>
      <c r="W573" s="4"/>
      <c r="X573" s="4"/>
    </row>
    <row x14ac:dyDescent="0.25" r="574" customHeight="1" ht="12.75">
      <c r="A574" s="4"/>
      <c r="B574" s="29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29"/>
      <c r="N574" s="29"/>
      <c r="O574" s="29"/>
      <c r="P574" s="32"/>
      <c r="Q574" s="40"/>
      <c r="R574" s="4"/>
      <c r="S574" s="4"/>
      <c r="T574" s="4"/>
      <c r="U574" s="4"/>
      <c r="V574" s="4"/>
      <c r="W574" s="4"/>
      <c r="X574" s="4"/>
    </row>
    <row x14ac:dyDescent="0.25" r="575" customHeight="1" ht="12.75">
      <c r="A575" s="4"/>
      <c r="B575" s="29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29"/>
      <c r="N575" s="29"/>
      <c r="O575" s="29"/>
      <c r="P575" s="32"/>
      <c r="Q575" s="40"/>
      <c r="R575" s="4"/>
      <c r="S575" s="4"/>
      <c r="T575" s="4"/>
      <c r="U575" s="4"/>
      <c r="V575" s="4"/>
      <c r="W575" s="4"/>
      <c r="X575" s="4"/>
    </row>
    <row x14ac:dyDescent="0.25" r="576" customHeight="1" ht="12.75">
      <c r="A576" s="4"/>
      <c r="B576" s="29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29"/>
      <c r="N576" s="29"/>
      <c r="O576" s="29"/>
      <c r="P576" s="32"/>
      <c r="Q576" s="40"/>
      <c r="R576" s="4"/>
      <c r="S576" s="4"/>
      <c r="T576" s="4"/>
      <c r="U576" s="4"/>
      <c r="V576" s="4"/>
      <c r="W576" s="4"/>
      <c r="X576" s="4"/>
    </row>
    <row x14ac:dyDescent="0.25" r="577" customHeight="1" ht="12.75">
      <c r="A577" s="4"/>
      <c r="B577" s="29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29"/>
      <c r="N577" s="29"/>
      <c r="O577" s="29"/>
      <c r="P577" s="32"/>
      <c r="Q577" s="40"/>
      <c r="R577" s="4"/>
      <c r="S577" s="4"/>
      <c r="T577" s="4"/>
      <c r="U577" s="4"/>
      <c r="V577" s="4"/>
      <c r="W577" s="4"/>
      <c r="X577" s="4"/>
    </row>
    <row x14ac:dyDescent="0.25" r="578" customHeight="1" ht="12.75">
      <c r="A578" s="4"/>
      <c r="B578" s="29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29"/>
      <c r="N578" s="29"/>
      <c r="O578" s="29"/>
      <c r="P578" s="32"/>
      <c r="Q578" s="40"/>
      <c r="R578" s="4"/>
      <c r="S578" s="4"/>
      <c r="T578" s="4"/>
      <c r="U578" s="4"/>
      <c r="V578" s="4"/>
      <c r="W578" s="4"/>
      <c r="X578" s="4"/>
    </row>
    <row x14ac:dyDescent="0.25" r="579" customHeight="1" ht="12.75">
      <c r="A579" s="4"/>
      <c r="B579" s="29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29"/>
      <c r="N579" s="29"/>
      <c r="O579" s="29"/>
      <c r="P579" s="32"/>
      <c r="Q579" s="40"/>
      <c r="R579" s="4"/>
      <c r="S579" s="4"/>
      <c r="T579" s="4"/>
      <c r="U579" s="4"/>
      <c r="V579" s="4"/>
      <c r="W579" s="4"/>
      <c r="X579" s="4"/>
    </row>
    <row x14ac:dyDescent="0.25" r="580" customHeight="1" ht="12.75">
      <c r="A580" s="4"/>
      <c r="B580" s="29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29"/>
      <c r="N580" s="29"/>
      <c r="O580" s="29"/>
      <c r="P580" s="32"/>
      <c r="Q580" s="40"/>
      <c r="R580" s="4"/>
      <c r="S580" s="4"/>
      <c r="T580" s="4"/>
      <c r="U580" s="4"/>
      <c r="V580" s="4"/>
      <c r="W580" s="4"/>
      <c r="X580" s="4"/>
    </row>
    <row x14ac:dyDescent="0.25" r="581" customHeight="1" ht="12.75">
      <c r="A581" s="4"/>
      <c r="B581" s="29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29"/>
      <c r="N581" s="29"/>
      <c r="O581" s="29"/>
      <c r="P581" s="32"/>
      <c r="Q581" s="40"/>
      <c r="R581" s="4"/>
      <c r="S581" s="4"/>
      <c r="T581" s="4"/>
      <c r="U581" s="4"/>
      <c r="V581" s="4"/>
      <c r="W581" s="4"/>
      <c r="X581" s="4"/>
    </row>
    <row x14ac:dyDescent="0.25" r="582" customHeight="1" ht="12.75">
      <c r="A582" s="4"/>
      <c r="B582" s="29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29"/>
      <c r="N582" s="29"/>
      <c r="O582" s="29"/>
      <c r="P582" s="32"/>
      <c r="Q582" s="40"/>
      <c r="R582" s="4"/>
      <c r="S582" s="4"/>
      <c r="T582" s="4"/>
      <c r="U582" s="4"/>
      <c r="V582" s="4"/>
      <c r="W582" s="4"/>
      <c r="X582" s="4"/>
    </row>
    <row x14ac:dyDescent="0.25" r="583" customHeight="1" ht="12.75">
      <c r="A583" s="4"/>
      <c r="B583" s="29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29"/>
      <c r="N583" s="29"/>
      <c r="O583" s="29"/>
      <c r="P583" s="32"/>
      <c r="Q583" s="40"/>
      <c r="R583" s="4"/>
      <c r="S583" s="4"/>
      <c r="T583" s="4"/>
      <c r="U583" s="4"/>
      <c r="V583" s="4"/>
      <c r="W583" s="4"/>
      <c r="X583" s="4"/>
    </row>
    <row x14ac:dyDescent="0.25" r="584" customHeight="1" ht="12.75">
      <c r="A584" s="4"/>
      <c r="B584" s="29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29"/>
      <c r="N584" s="29"/>
      <c r="O584" s="29"/>
      <c r="P584" s="32"/>
      <c r="Q584" s="40"/>
      <c r="R584" s="4"/>
      <c r="S584" s="4"/>
      <c r="T584" s="4"/>
      <c r="U584" s="4"/>
      <c r="V584" s="4"/>
      <c r="W584" s="4"/>
      <c r="X584" s="4"/>
    </row>
    <row x14ac:dyDescent="0.25" r="585" customHeight="1" ht="12.75">
      <c r="A585" s="4"/>
      <c r="B585" s="29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29"/>
      <c r="N585" s="29"/>
      <c r="O585" s="29"/>
      <c r="P585" s="32"/>
      <c r="Q585" s="40"/>
      <c r="R585" s="4"/>
      <c r="S585" s="4"/>
      <c r="T585" s="4"/>
      <c r="U585" s="4"/>
      <c r="V585" s="4"/>
      <c r="W585" s="4"/>
      <c r="X585" s="4"/>
    </row>
    <row x14ac:dyDescent="0.25" r="586" customHeight="1" ht="12.75">
      <c r="A586" s="4"/>
      <c r="B586" s="29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29"/>
      <c r="N586" s="29"/>
      <c r="O586" s="29"/>
      <c r="P586" s="32"/>
      <c r="Q586" s="40"/>
      <c r="R586" s="4"/>
      <c r="S586" s="4"/>
      <c r="T586" s="4"/>
      <c r="U586" s="4"/>
      <c r="V586" s="4"/>
      <c r="W586" s="4"/>
      <c r="X586" s="4"/>
    </row>
    <row x14ac:dyDescent="0.25" r="587" customHeight="1" ht="12.75">
      <c r="A587" s="4"/>
      <c r="B587" s="29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29"/>
      <c r="N587" s="29"/>
      <c r="O587" s="29"/>
      <c r="P587" s="32"/>
      <c r="Q587" s="40"/>
      <c r="R587" s="4"/>
      <c r="S587" s="4"/>
      <c r="T587" s="4"/>
      <c r="U587" s="4"/>
      <c r="V587" s="4"/>
      <c r="W587" s="4"/>
      <c r="X587" s="4"/>
    </row>
    <row x14ac:dyDescent="0.25" r="588" customHeight="1" ht="12.75">
      <c r="A588" s="4"/>
      <c r="B588" s="29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29"/>
      <c r="N588" s="29"/>
      <c r="O588" s="29"/>
      <c r="P588" s="32"/>
      <c r="Q588" s="40"/>
      <c r="R588" s="4"/>
      <c r="S588" s="4"/>
      <c r="T588" s="4"/>
      <c r="U588" s="4"/>
      <c r="V588" s="4"/>
      <c r="W588" s="4"/>
      <c r="X588" s="4"/>
    </row>
    <row x14ac:dyDescent="0.25" r="589" customHeight="1" ht="12.75">
      <c r="A589" s="4"/>
      <c r="B589" s="29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29"/>
      <c r="N589" s="29"/>
      <c r="O589" s="29"/>
      <c r="P589" s="32"/>
      <c r="Q589" s="40"/>
      <c r="R589" s="4"/>
      <c r="S589" s="4"/>
      <c r="T589" s="4"/>
      <c r="U589" s="4"/>
      <c r="V589" s="4"/>
      <c r="W589" s="4"/>
      <c r="X589" s="4"/>
    </row>
    <row x14ac:dyDescent="0.25" r="590" customHeight="1" ht="12.75">
      <c r="A590" s="4"/>
      <c r="B590" s="29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29"/>
      <c r="N590" s="29"/>
      <c r="O590" s="29"/>
      <c r="P590" s="32"/>
      <c r="Q590" s="40"/>
      <c r="R590" s="4"/>
      <c r="S590" s="4"/>
      <c r="T590" s="4"/>
      <c r="U590" s="4"/>
      <c r="V590" s="4"/>
      <c r="W590" s="4"/>
      <c r="X590" s="4"/>
    </row>
    <row x14ac:dyDescent="0.25" r="591" customHeight="1" ht="12.75">
      <c r="A591" s="4"/>
      <c r="B591" s="29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29"/>
      <c r="N591" s="29"/>
      <c r="O591" s="29"/>
      <c r="P591" s="32"/>
      <c r="Q591" s="40"/>
      <c r="R591" s="4"/>
      <c r="S591" s="4"/>
      <c r="T591" s="4"/>
      <c r="U591" s="4"/>
      <c r="V591" s="4"/>
      <c r="W591" s="4"/>
      <c r="X591" s="4"/>
    </row>
    <row x14ac:dyDescent="0.25" r="592" customHeight="1" ht="12.75">
      <c r="A592" s="4"/>
      <c r="B592" s="29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29"/>
      <c r="N592" s="29"/>
      <c r="O592" s="29"/>
      <c r="P592" s="32"/>
      <c r="Q592" s="40"/>
      <c r="R592" s="4"/>
      <c r="S592" s="4"/>
      <c r="T592" s="4"/>
      <c r="U592" s="4"/>
      <c r="V592" s="4"/>
      <c r="W592" s="4"/>
      <c r="X592" s="4"/>
    </row>
    <row x14ac:dyDescent="0.25" r="593" customHeight="1" ht="12.75">
      <c r="A593" s="4"/>
      <c r="B593" s="29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29"/>
      <c r="N593" s="29"/>
      <c r="O593" s="29"/>
      <c r="P593" s="32"/>
      <c r="Q593" s="40"/>
      <c r="R593" s="4"/>
      <c r="S593" s="4"/>
      <c r="T593" s="4"/>
      <c r="U593" s="4"/>
      <c r="V593" s="4"/>
      <c r="W593" s="4"/>
      <c r="X593" s="4"/>
    </row>
    <row x14ac:dyDescent="0.25" r="594" customHeight="1" ht="12.75">
      <c r="A594" s="4"/>
      <c r="B594" s="29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29"/>
      <c r="N594" s="29"/>
      <c r="O594" s="29"/>
      <c r="P594" s="32"/>
      <c r="Q594" s="40"/>
      <c r="R594" s="4"/>
      <c r="S594" s="4"/>
      <c r="T594" s="4"/>
      <c r="U594" s="4"/>
      <c r="V594" s="4"/>
      <c r="W594" s="4"/>
      <c r="X594" s="4"/>
    </row>
    <row x14ac:dyDescent="0.25" r="595" customHeight="1" ht="12.75">
      <c r="A595" s="4"/>
      <c r="B595" s="29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29"/>
      <c r="N595" s="29"/>
      <c r="O595" s="29"/>
      <c r="P595" s="32"/>
      <c r="Q595" s="40"/>
      <c r="R595" s="4"/>
      <c r="S595" s="4"/>
      <c r="T595" s="4"/>
      <c r="U595" s="4"/>
      <c r="V595" s="4"/>
      <c r="W595" s="4"/>
      <c r="X595" s="4"/>
    </row>
    <row x14ac:dyDescent="0.25" r="596" customHeight="1" ht="12.75">
      <c r="A596" s="4"/>
      <c r="B596" s="29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29"/>
      <c r="N596" s="29"/>
      <c r="O596" s="29"/>
      <c r="P596" s="32"/>
      <c r="Q596" s="40"/>
      <c r="R596" s="4"/>
      <c r="S596" s="4"/>
      <c r="T596" s="4"/>
      <c r="U596" s="4"/>
      <c r="V596" s="4"/>
      <c r="W596" s="4"/>
      <c r="X596" s="4"/>
    </row>
    <row x14ac:dyDescent="0.25" r="597" customHeight="1" ht="12.75">
      <c r="A597" s="4"/>
      <c r="B597" s="29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29"/>
      <c r="N597" s="29"/>
      <c r="O597" s="29"/>
      <c r="P597" s="32"/>
      <c r="Q597" s="40"/>
      <c r="R597" s="4"/>
      <c r="S597" s="4"/>
      <c r="T597" s="4"/>
      <c r="U597" s="4"/>
      <c r="V597" s="4"/>
      <c r="W597" s="4"/>
      <c r="X597" s="4"/>
    </row>
    <row x14ac:dyDescent="0.25" r="598" customHeight="1" ht="12.75">
      <c r="A598" s="4"/>
      <c r="B598" s="29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29"/>
      <c r="N598" s="29"/>
      <c r="O598" s="29"/>
      <c r="P598" s="32"/>
      <c r="Q598" s="40"/>
      <c r="R598" s="4"/>
      <c r="S598" s="4"/>
      <c r="T598" s="4"/>
      <c r="U598" s="4"/>
      <c r="V598" s="4"/>
      <c r="W598" s="4"/>
      <c r="X598" s="4"/>
    </row>
    <row x14ac:dyDescent="0.25" r="599" customHeight="1" ht="12.75">
      <c r="A599" s="4"/>
      <c r="B599" s="29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29"/>
      <c r="N599" s="29"/>
      <c r="O599" s="29"/>
      <c r="P599" s="32"/>
      <c r="Q599" s="40"/>
      <c r="R599" s="4"/>
      <c r="S599" s="4"/>
      <c r="T599" s="4"/>
      <c r="U599" s="4"/>
      <c r="V599" s="4"/>
      <c r="W599" s="4"/>
      <c r="X599" s="4"/>
    </row>
    <row x14ac:dyDescent="0.25" r="600" customHeight="1" ht="12.75">
      <c r="A600" s="4"/>
      <c r="B600" s="29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29"/>
      <c r="N600" s="29"/>
      <c r="O600" s="29"/>
      <c r="P600" s="32"/>
      <c r="Q600" s="40"/>
      <c r="R600" s="4"/>
      <c r="S600" s="4"/>
      <c r="T600" s="4"/>
      <c r="U600" s="4"/>
      <c r="V600" s="4"/>
      <c r="W600" s="4"/>
      <c r="X600" s="4"/>
    </row>
    <row x14ac:dyDescent="0.25" r="601" customHeight="1" ht="12.75">
      <c r="A601" s="4"/>
      <c r="B601" s="29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29"/>
      <c r="N601" s="29"/>
      <c r="O601" s="29"/>
      <c r="P601" s="32"/>
      <c r="Q601" s="40"/>
      <c r="R601" s="4"/>
      <c r="S601" s="4"/>
      <c r="T601" s="4"/>
      <c r="U601" s="4"/>
      <c r="V601" s="4"/>
      <c r="W601" s="4"/>
      <c r="X601" s="4"/>
    </row>
    <row x14ac:dyDescent="0.25" r="602" customHeight="1" ht="12.75">
      <c r="A602" s="4"/>
      <c r="B602" s="29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29"/>
      <c r="N602" s="29"/>
      <c r="O602" s="29"/>
      <c r="P602" s="32"/>
      <c r="Q602" s="40"/>
      <c r="R602" s="4"/>
      <c r="S602" s="4"/>
      <c r="T602" s="4"/>
      <c r="U602" s="4"/>
      <c r="V602" s="4"/>
      <c r="W602" s="4"/>
      <c r="X602" s="4"/>
    </row>
    <row x14ac:dyDescent="0.25" r="603" customHeight="1" ht="12.75">
      <c r="A603" s="4"/>
      <c r="B603" s="29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29"/>
      <c r="N603" s="29"/>
      <c r="O603" s="29"/>
      <c r="P603" s="32"/>
      <c r="Q603" s="40"/>
      <c r="R603" s="4"/>
      <c r="S603" s="4"/>
      <c r="T603" s="4"/>
      <c r="U603" s="4"/>
      <c r="V603" s="4"/>
      <c r="W603" s="4"/>
      <c r="X603" s="4"/>
    </row>
    <row x14ac:dyDescent="0.25" r="604" customHeight="1" ht="12.75">
      <c r="A604" s="4"/>
      <c r="B604" s="29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29"/>
      <c r="N604" s="29"/>
      <c r="O604" s="29"/>
      <c r="P604" s="32"/>
      <c r="Q604" s="40"/>
      <c r="R604" s="4"/>
      <c r="S604" s="4"/>
      <c r="T604" s="4"/>
      <c r="U604" s="4"/>
      <c r="V604" s="4"/>
      <c r="W604" s="4"/>
      <c r="X604" s="4"/>
    </row>
    <row x14ac:dyDescent="0.25" r="605" customHeight="1" ht="12.75">
      <c r="A605" s="4"/>
      <c r="B605" s="29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29"/>
      <c r="N605" s="29"/>
      <c r="O605" s="29"/>
      <c r="P605" s="32"/>
      <c r="Q605" s="40"/>
      <c r="R605" s="4"/>
      <c r="S605" s="4"/>
      <c r="T605" s="4"/>
      <c r="U605" s="4"/>
      <c r="V605" s="4"/>
      <c r="W605" s="4"/>
      <c r="X605" s="4"/>
    </row>
    <row x14ac:dyDescent="0.25" r="606" customHeight="1" ht="12.75">
      <c r="A606" s="4"/>
      <c r="B606" s="29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29"/>
      <c r="N606" s="29"/>
      <c r="O606" s="29"/>
      <c r="P606" s="32"/>
      <c r="Q606" s="40"/>
      <c r="R606" s="4"/>
      <c r="S606" s="4"/>
      <c r="T606" s="4"/>
      <c r="U606" s="4"/>
      <c r="V606" s="4"/>
      <c r="W606" s="4"/>
      <c r="X606" s="4"/>
    </row>
    <row x14ac:dyDescent="0.25" r="607" customHeight="1" ht="12.75">
      <c r="A607" s="4"/>
      <c r="B607" s="29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29"/>
      <c r="N607" s="29"/>
      <c r="O607" s="29"/>
      <c r="P607" s="32"/>
      <c r="Q607" s="40"/>
      <c r="R607" s="4"/>
      <c r="S607" s="4"/>
      <c r="T607" s="4"/>
      <c r="U607" s="4"/>
      <c r="V607" s="4"/>
      <c r="W607" s="4"/>
      <c r="X607" s="4"/>
    </row>
    <row x14ac:dyDescent="0.25" r="608" customHeight="1" ht="12.75">
      <c r="A608" s="4"/>
      <c r="B608" s="29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29"/>
      <c r="N608" s="29"/>
      <c r="O608" s="29"/>
      <c r="P608" s="32"/>
      <c r="Q608" s="40"/>
      <c r="R608" s="4"/>
      <c r="S608" s="4"/>
      <c r="T608" s="4"/>
      <c r="U608" s="4"/>
      <c r="V608" s="4"/>
      <c r="W608" s="4"/>
      <c r="X608" s="4"/>
    </row>
    <row x14ac:dyDescent="0.25" r="609" customHeight="1" ht="12.75">
      <c r="A609" s="4"/>
      <c r="B609" s="29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29"/>
      <c r="N609" s="29"/>
      <c r="O609" s="29"/>
      <c r="P609" s="32"/>
      <c r="Q609" s="40"/>
      <c r="R609" s="4"/>
      <c r="S609" s="4"/>
      <c r="T609" s="4"/>
      <c r="U609" s="4"/>
      <c r="V609" s="4"/>
      <c r="W609" s="4"/>
      <c r="X609" s="4"/>
    </row>
    <row x14ac:dyDescent="0.25" r="610" customHeight="1" ht="12.75">
      <c r="A610" s="4"/>
      <c r="B610" s="29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29"/>
      <c r="N610" s="29"/>
      <c r="O610" s="29"/>
      <c r="P610" s="32"/>
      <c r="Q610" s="40"/>
      <c r="R610" s="4"/>
      <c r="S610" s="4"/>
      <c r="T610" s="4"/>
      <c r="U610" s="4"/>
      <c r="V610" s="4"/>
      <c r="W610" s="4"/>
      <c r="X610" s="4"/>
    </row>
    <row x14ac:dyDescent="0.25" r="611" customHeight="1" ht="12.75">
      <c r="A611" s="4"/>
      <c r="B611" s="29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29"/>
      <c r="N611" s="29"/>
      <c r="O611" s="29"/>
      <c r="P611" s="32"/>
      <c r="Q611" s="40"/>
      <c r="R611" s="4"/>
      <c r="S611" s="4"/>
      <c r="T611" s="4"/>
      <c r="U611" s="4"/>
      <c r="V611" s="4"/>
      <c r="W611" s="4"/>
      <c r="X611" s="4"/>
    </row>
    <row x14ac:dyDescent="0.25" r="612" customHeight="1" ht="12.75">
      <c r="A612" s="4"/>
      <c r="B612" s="29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29"/>
      <c r="N612" s="29"/>
      <c r="O612" s="29"/>
      <c r="P612" s="32"/>
      <c r="Q612" s="40"/>
      <c r="R612" s="4"/>
      <c r="S612" s="4"/>
      <c r="T612" s="4"/>
      <c r="U612" s="4"/>
      <c r="V612" s="4"/>
      <c r="W612" s="4"/>
      <c r="X612" s="4"/>
    </row>
    <row x14ac:dyDescent="0.25" r="613" customHeight="1" ht="12.75">
      <c r="A613" s="4"/>
      <c r="B613" s="29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29"/>
      <c r="N613" s="29"/>
      <c r="O613" s="29"/>
      <c r="P613" s="32"/>
      <c r="Q613" s="40"/>
      <c r="R613" s="4"/>
      <c r="S613" s="4"/>
      <c r="T613" s="4"/>
      <c r="U613" s="4"/>
      <c r="V613" s="4"/>
      <c r="W613" s="4"/>
      <c r="X613" s="4"/>
    </row>
    <row x14ac:dyDescent="0.25" r="614" customHeight="1" ht="12.75">
      <c r="A614" s="4"/>
      <c r="B614" s="29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29"/>
      <c r="N614" s="29"/>
      <c r="O614" s="29"/>
      <c r="P614" s="32"/>
      <c r="Q614" s="40"/>
      <c r="R614" s="4"/>
      <c r="S614" s="4"/>
      <c r="T614" s="4"/>
      <c r="U614" s="4"/>
      <c r="V614" s="4"/>
      <c r="W614" s="4"/>
      <c r="X614" s="4"/>
    </row>
    <row x14ac:dyDescent="0.25" r="615" customHeight="1" ht="12.75">
      <c r="A615" s="4"/>
      <c r="B615" s="29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29"/>
      <c r="N615" s="29"/>
      <c r="O615" s="29"/>
      <c r="P615" s="32"/>
      <c r="Q615" s="40"/>
      <c r="R615" s="4"/>
      <c r="S615" s="4"/>
      <c r="T615" s="4"/>
      <c r="U615" s="4"/>
      <c r="V615" s="4"/>
      <c r="W615" s="4"/>
      <c r="X615" s="4"/>
    </row>
    <row x14ac:dyDescent="0.25" r="616" customHeight="1" ht="12.75">
      <c r="A616" s="4"/>
      <c r="B616" s="29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29"/>
      <c r="N616" s="29"/>
      <c r="O616" s="29"/>
      <c r="P616" s="32"/>
      <c r="Q616" s="40"/>
      <c r="R616" s="4"/>
      <c r="S616" s="4"/>
      <c r="T616" s="4"/>
      <c r="U616" s="4"/>
      <c r="V616" s="4"/>
      <c r="W616" s="4"/>
      <c r="X616" s="4"/>
    </row>
    <row x14ac:dyDescent="0.25" r="617" customHeight="1" ht="12.75">
      <c r="A617" s="4"/>
      <c r="B617" s="29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29"/>
      <c r="N617" s="29"/>
      <c r="O617" s="29"/>
      <c r="P617" s="32"/>
      <c r="Q617" s="40"/>
      <c r="R617" s="4"/>
      <c r="S617" s="4"/>
      <c r="T617" s="4"/>
      <c r="U617" s="4"/>
      <c r="V617" s="4"/>
      <c r="W617" s="4"/>
      <c r="X617" s="4"/>
    </row>
    <row x14ac:dyDescent="0.25" r="618" customHeight="1" ht="12.75">
      <c r="A618" s="4"/>
      <c r="B618" s="29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29"/>
      <c r="N618" s="29"/>
      <c r="O618" s="29"/>
      <c r="P618" s="32"/>
      <c r="Q618" s="40"/>
      <c r="R618" s="4"/>
      <c r="S618" s="4"/>
      <c r="T618" s="4"/>
      <c r="U618" s="4"/>
      <c r="V618" s="4"/>
      <c r="W618" s="4"/>
      <c r="X618" s="4"/>
    </row>
    <row x14ac:dyDescent="0.25" r="619" customHeight="1" ht="12.75">
      <c r="A619" s="4"/>
      <c r="B619" s="29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29"/>
      <c r="N619" s="29"/>
      <c r="O619" s="29"/>
      <c r="P619" s="32"/>
      <c r="Q619" s="40"/>
      <c r="R619" s="4"/>
      <c r="S619" s="4"/>
      <c r="T619" s="4"/>
      <c r="U619" s="4"/>
      <c r="V619" s="4"/>
      <c r="W619" s="4"/>
      <c r="X619" s="4"/>
    </row>
    <row x14ac:dyDescent="0.25" r="620" customHeight="1" ht="12.75">
      <c r="A620" s="4"/>
      <c r="B620" s="29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29"/>
      <c r="N620" s="29"/>
      <c r="O620" s="29"/>
      <c r="P620" s="32"/>
      <c r="Q620" s="40"/>
      <c r="R620" s="4"/>
      <c r="S620" s="4"/>
      <c r="T620" s="4"/>
      <c r="U620" s="4"/>
      <c r="V620" s="4"/>
      <c r="W620" s="4"/>
      <c r="X620" s="4"/>
    </row>
    <row x14ac:dyDescent="0.25" r="621" customHeight="1" ht="12.75">
      <c r="A621" s="4"/>
      <c r="B621" s="29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29"/>
      <c r="N621" s="29"/>
      <c r="O621" s="29"/>
      <c r="P621" s="32"/>
      <c r="Q621" s="40"/>
      <c r="R621" s="4"/>
      <c r="S621" s="4"/>
      <c r="T621" s="4"/>
      <c r="U621" s="4"/>
      <c r="V621" s="4"/>
      <c r="W621" s="4"/>
      <c r="X621" s="4"/>
    </row>
    <row x14ac:dyDescent="0.25" r="622" customHeight="1" ht="12.75">
      <c r="A622" s="4"/>
      <c r="B622" s="29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29"/>
      <c r="N622" s="29"/>
      <c r="O622" s="29"/>
      <c r="P622" s="32"/>
      <c r="Q622" s="40"/>
      <c r="R622" s="4"/>
      <c r="S622" s="4"/>
      <c r="T622" s="4"/>
      <c r="U622" s="4"/>
      <c r="V622" s="4"/>
      <c r="W622" s="4"/>
      <c r="X622" s="4"/>
    </row>
    <row x14ac:dyDescent="0.25" r="623" customHeight="1" ht="12.75">
      <c r="A623" s="4"/>
      <c r="B623" s="29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29"/>
      <c r="N623" s="29"/>
      <c r="O623" s="29"/>
      <c r="P623" s="32"/>
      <c r="Q623" s="40"/>
      <c r="R623" s="4"/>
      <c r="S623" s="4"/>
      <c r="T623" s="4"/>
      <c r="U623" s="4"/>
      <c r="V623" s="4"/>
      <c r="W623" s="4"/>
      <c r="X623" s="4"/>
    </row>
    <row x14ac:dyDescent="0.25" r="624" customHeight="1" ht="12.75">
      <c r="A624" s="4"/>
      <c r="B624" s="29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29"/>
      <c r="N624" s="29"/>
      <c r="O624" s="29"/>
      <c r="P624" s="32"/>
      <c r="Q624" s="40"/>
      <c r="R624" s="4"/>
      <c r="S624" s="4"/>
      <c r="T624" s="4"/>
      <c r="U624" s="4"/>
      <c r="V624" s="4"/>
      <c r="W624" s="4"/>
      <c r="X624" s="4"/>
    </row>
    <row x14ac:dyDescent="0.25" r="625" customHeight="1" ht="12.75">
      <c r="A625" s="4"/>
      <c r="B625" s="29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29"/>
      <c r="N625" s="29"/>
      <c r="O625" s="29"/>
      <c r="P625" s="32"/>
      <c r="Q625" s="40"/>
      <c r="R625" s="4"/>
      <c r="S625" s="4"/>
      <c r="T625" s="4"/>
      <c r="U625" s="4"/>
      <c r="V625" s="4"/>
      <c r="W625" s="4"/>
      <c r="X625" s="4"/>
    </row>
    <row x14ac:dyDescent="0.25" r="626" customHeight="1" ht="12.75">
      <c r="A626" s="4"/>
      <c r="B626" s="29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29"/>
      <c r="N626" s="29"/>
      <c r="O626" s="29"/>
      <c r="P626" s="32"/>
      <c r="Q626" s="40"/>
      <c r="R626" s="4"/>
      <c r="S626" s="4"/>
      <c r="T626" s="4"/>
      <c r="U626" s="4"/>
      <c r="V626" s="4"/>
      <c r="W626" s="4"/>
      <c r="X626" s="4"/>
    </row>
    <row x14ac:dyDescent="0.25" r="627" customHeight="1" ht="12.75">
      <c r="A627" s="4"/>
      <c r="B627" s="29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29"/>
      <c r="N627" s="29"/>
      <c r="O627" s="29"/>
      <c r="P627" s="32"/>
      <c r="Q627" s="40"/>
      <c r="R627" s="4"/>
      <c r="S627" s="4"/>
      <c r="T627" s="4"/>
      <c r="U627" s="4"/>
      <c r="V627" s="4"/>
      <c r="W627" s="4"/>
      <c r="X627" s="4"/>
    </row>
    <row x14ac:dyDescent="0.25" r="628" customHeight="1" ht="12.75">
      <c r="A628" s="4"/>
      <c r="B628" s="29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29"/>
      <c r="N628" s="29"/>
      <c r="O628" s="29"/>
      <c r="P628" s="32"/>
      <c r="Q628" s="40"/>
      <c r="R628" s="4"/>
      <c r="S628" s="4"/>
      <c r="T628" s="4"/>
      <c r="U628" s="4"/>
      <c r="V628" s="4"/>
      <c r="W628" s="4"/>
      <c r="X628" s="4"/>
    </row>
    <row x14ac:dyDescent="0.25" r="629" customHeight="1" ht="12.75">
      <c r="A629" s="4"/>
      <c r="B629" s="29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29"/>
      <c r="N629" s="29"/>
      <c r="O629" s="29"/>
      <c r="P629" s="32"/>
      <c r="Q629" s="40"/>
      <c r="R629" s="4"/>
      <c r="S629" s="4"/>
      <c r="T629" s="4"/>
      <c r="U629" s="4"/>
      <c r="V629" s="4"/>
      <c r="W629" s="4"/>
      <c r="X629" s="4"/>
    </row>
    <row x14ac:dyDescent="0.25" r="630" customHeight="1" ht="12.75">
      <c r="A630" s="4"/>
      <c r="B630" s="29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29"/>
      <c r="N630" s="29"/>
      <c r="O630" s="29"/>
      <c r="P630" s="32"/>
      <c r="Q630" s="40"/>
      <c r="R630" s="4"/>
      <c r="S630" s="4"/>
      <c r="T630" s="4"/>
      <c r="U630" s="4"/>
      <c r="V630" s="4"/>
      <c r="W630" s="4"/>
      <c r="X630" s="4"/>
    </row>
    <row x14ac:dyDescent="0.25" r="631" customHeight="1" ht="12.75">
      <c r="A631" s="4"/>
      <c r="B631" s="29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29"/>
      <c r="N631" s="29"/>
      <c r="O631" s="29"/>
      <c r="P631" s="32"/>
      <c r="Q631" s="40"/>
      <c r="R631" s="4"/>
      <c r="S631" s="4"/>
      <c r="T631" s="4"/>
      <c r="U631" s="4"/>
      <c r="V631" s="4"/>
      <c r="W631" s="4"/>
      <c r="X631" s="4"/>
    </row>
    <row x14ac:dyDescent="0.25" r="632" customHeight="1" ht="12.75">
      <c r="A632" s="4"/>
      <c r="B632" s="29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29"/>
      <c r="N632" s="29"/>
      <c r="O632" s="29"/>
      <c r="P632" s="32"/>
      <c r="Q632" s="40"/>
      <c r="R632" s="4"/>
      <c r="S632" s="4"/>
      <c r="T632" s="4"/>
      <c r="U632" s="4"/>
      <c r="V632" s="4"/>
      <c r="W632" s="4"/>
      <c r="X632" s="4"/>
    </row>
    <row x14ac:dyDescent="0.25" r="633" customHeight="1" ht="12.75">
      <c r="A633" s="4"/>
      <c r="B633" s="29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29"/>
      <c r="N633" s="29"/>
      <c r="O633" s="29"/>
      <c r="P633" s="32"/>
      <c r="Q633" s="40"/>
      <c r="R633" s="4"/>
      <c r="S633" s="4"/>
      <c r="T633" s="4"/>
      <c r="U633" s="4"/>
      <c r="V633" s="4"/>
      <c r="W633" s="4"/>
      <c r="X633" s="4"/>
    </row>
    <row x14ac:dyDescent="0.25" r="634" customHeight="1" ht="12.75">
      <c r="A634" s="4"/>
      <c r="B634" s="29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29"/>
      <c r="N634" s="29"/>
      <c r="O634" s="29"/>
      <c r="P634" s="32"/>
      <c r="Q634" s="40"/>
      <c r="R634" s="4"/>
      <c r="S634" s="4"/>
      <c r="T634" s="4"/>
      <c r="U634" s="4"/>
      <c r="V634" s="4"/>
      <c r="W634" s="4"/>
      <c r="X634" s="4"/>
    </row>
    <row x14ac:dyDescent="0.25" r="635" customHeight="1" ht="12.75">
      <c r="A635" s="4"/>
      <c r="B635" s="29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29"/>
      <c r="N635" s="29"/>
      <c r="O635" s="29"/>
      <c r="P635" s="32"/>
      <c r="Q635" s="40"/>
      <c r="R635" s="4"/>
      <c r="S635" s="4"/>
      <c r="T635" s="4"/>
      <c r="U635" s="4"/>
      <c r="V635" s="4"/>
      <c r="W635" s="4"/>
      <c r="X635" s="4"/>
    </row>
    <row x14ac:dyDescent="0.25" r="636" customHeight="1" ht="12.75">
      <c r="A636" s="4"/>
      <c r="B636" s="29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29"/>
      <c r="N636" s="29"/>
      <c r="O636" s="29"/>
      <c r="P636" s="32"/>
      <c r="Q636" s="40"/>
      <c r="R636" s="4"/>
      <c r="S636" s="4"/>
      <c r="T636" s="4"/>
      <c r="U636" s="4"/>
      <c r="V636" s="4"/>
      <c r="W636" s="4"/>
      <c r="X636" s="4"/>
    </row>
    <row x14ac:dyDescent="0.25" r="637" customHeight="1" ht="12.75">
      <c r="A637" s="4"/>
      <c r="B637" s="29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29"/>
      <c r="N637" s="29"/>
      <c r="O637" s="29"/>
      <c r="P637" s="32"/>
      <c r="Q637" s="40"/>
      <c r="R637" s="4"/>
      <c r="S637" s="4"/>
      <c r="T637" s="4"/>
      <c r="U637" s="4"/>
      <c r="V637" s="4"/>
      <c r="W637" s="4"/>
      <c r="X637" s="4"/>
    </row>
    <row x14ac:dyDescent="0.25" r="638" customHeight="1" ht="12.75">
      <c r="A638" s="4"/>
      <c r="B638" s="29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29"/>
      <c r="N638" s="29"/>
      <c r="O638" s="29"/>
      <c r="P638" s="32"/>
      <c r="Q638" s="40"/>
      <c r="R638" s="4"/>
      <c r="S638" s="4"/>
      <c r="T638" s="4"/>
      <c r="U638" s="4"/>
      <c r="V638" s="4"/>
      <c r="W638" s="4"/>
      <c r="X638" s="4"/>
    </row>
    <row x14ac:dyDescent="0.25" r="639" customHeight="1" ht="12.75">
      <c r="A639" s="4"/>
      <c r="B639" s="29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29"/>
      <c r="N639" s="29"/>
      <c r="O639" s="29"/>
      <c r="P639" s="32"/>
      <c r="Q639" s="40"/>
      <c r="R639" s="4"/>
      <c r="S639" s="4"/>
      <c r="T639" s="4"/>
      <c r="U639" s="4"/>
      <c r="V639" s="4"/>
      <c r="W639" s="4"/>
      <c r="X639" s="4"/>
    </row>
    <row x14ac:dyDescent="0.25" r="640" customHeight="1" ht="12.75">
      <c r="A640" s="4"/>
      <c r="B640" s="29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29"/>
      <c r="N640" s="29"/>
      <c r="O640" s="29"/>
      <c r="P640" s="32"/>
      <c r="Q640" s="40"/>
      <c r="R640" s="4"/>
      <c r="S640" s="4"/>
      <c r="T640" s="4"/>
      <c r="U640" s="4"/>
      <c r="V640" s="4"/>
      <c r="W640" s="4"/>
      <c r="X640" s="4"/>
    </row>
    <row x14ac:dyDescent="0.25" r="641" customHeight="1" ht="12.75">
      <c r="A641" s="4"/>
      <c r="B641" s="29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29"/>
      <c r="N641" s="29"/>
      <c r="O641" s="29"/>
      <c r="P641" s="32"/>
      <c r="Q641" s="40"/>
      <c r="R641" s="4"/>
      <c r="S641" s="4"/>
      <c r="T641" s="4"/>
      <c r="U641" s="4"/>
      <c r="V641" s="4"/>
      <c r="W641" s="4"/>
      <c r="X641" s="4"/>
    </row>
    <row x14ac:dyDescent="0.25" r="642" customHeight="1" ht="12.75">
      <c r="A642" s="4"/>
      <c r="B642" s="29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29"/>
      <c r="N642" s="29"/>
      <c r="O642" s="29"/>
      <c r="P642" s="32"/>
      <c r="Q642" s="40"/>
      <c r="R642" s="4"/>
      <c r="S642" s="4"/>
      <c r="T642" s="4"/>
      <c r="U642" s="4"/>
      <c r="V642" s="4"/>
      <c r="W642" s="4"/>
      <c r="X642" s="4"/>
    </row>
    <row x14ac:dyDescent="0.25" r="643" customHeight="1" ht="12.75">
      <c r="A643" s="4"/>
      <c r="B643" s="29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29"/>
      <c r="N643" s="29"/>
      <c r="O643" s="29"/>
      <c r="P643" s="32"/>
      <c r="Q643" s="40"/>
      <c r="R643" s="4"/>
      <c r="S643" s="4"/>
      <c r="T643" s="4"/>
      <c r="U643" s="4"/>
      <c r="V643" s="4"/>
      <c r="W643" s="4"/>
      <c r="X643" s="4"/>
    </row>
    <row x14ac:dyDescent="0.25" r="644" customHeight="1" ht="12.75">
      <c r="A644" s="4"/>
      <c r="B644" s="29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29"/>
      <c r="N644" s="29"/>
      <c r="O644" s="29"/>
      <c r="P644" s="32"/>
      <c r="Q644" s="40"/>
      <c r="R644" s="4"/>
      <c r="S644" s="4"/>
      <c r="T644" s="4"/>
      <c r="U644" s="4"/>
      <c r="V644" s="4"/>
      <c r="W644" s="4"/>
      <c r="X644" s="4"/>
    </row>
    <row x14ac:dyDescent="0.25" r="645" customHeight="1" ht="12.75">
      <c r="A645" s="4"/>
      <c r="B645" s="29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29"/>
      <c r="N645" s="29"/>
      <c r="O645" s="29"/>
      <c r="P645" s="32"/>
      <c r="Q645" s="40"/>
      <c r="R645" s="4"/>
      <c r="S645" s="4"/>
      <c r="T645" s="4"/>
      <c r="U645" s="4"/>
      <c r="V645" s="4"/>
      <c r="W645" s="4"/>
      <c r="X645" s="4"/>
    </row>
    <row x14ac:dyDescent="0.25" r="646" customHeight="1" ht="12.75">
      <c r="A646" s="4"/>
      <c r="B646" s="29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29"/>
      <c r="N646" s="29"/>
      <c r="O646" s="29"/>
      <c r="P646" s="32"/>
      <c r="Q646" s="40"/>
      <c r="R646" s="4"/>
      <c r="S646" s="4"/>
      <c r="T646" s="4"/>
      <c r="U646" s="4"/>
      <c r="V646" s="4"/>
      <c r="W646" s="4"/>
      <c r="X646" s="4"/>
    </row>
    <row x14ac:dyDescent="0.25" r="647" customHeight="1" ht="12.75">
      <c r="A647" s="4"/>
      <c r="B647" s="29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29"/>
      <c r="N647" s="29"/>
      <c r="O647" s="29"/>
      <c r="P647" s="32"/>
      <c r="Q647" s="40"/>
      <c r="R647" s="4"/>
      <c r="S647" s="4"/>
      <c r="T647" s="4"/>
      <c r="U647" s="4"/>
      <c r="V647" s="4"/>
      <c r="W647" s="4"/>
      <c r="X647" s="4"/>
    </row>
    <row x14ac:dyDescent="0.25" r="648" customHeight="1" ht="12.75">
      <c r="A648" s="4"/>
      <c r="B648" s="29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29"/>
      <c r="N648" s="29"/>
      <c r="O648" s="29"/>
      <c r="P648" s="32"/>
      <c r="Q648" s="40"/>
      <c r="R648" s="4"/>
      <c r="S648" s="4"/>
      <c r="T648" s="4"/>
      <c r="U648" s="4"/>
      <c r="V648" s="4"/>
      <c r="W648" s="4"/>
      <c r="X648" s="4"/>
    </row>
    <row x14ac:dyDescent="0.25" r="649" customHeight="1" ht="12.75">
      <c r="A649" s="4"/>
      <c r="B649" s="29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29"/>
      <c r="N649" s="29"/>
      <c r="O649" s="29"/>
      <c r="P649" s="32"/>
      <c r="Q649" s="40"/>
      <c r="R649" s="4"/>
      <c r="S649" s="4"/>
      <c r="T649" s="4"/>
      <c r="U649" s="4"/>
      <c r="V649" s="4"/>
      <c r="W649" s="4"/>
      <c r="X649" s="4"/>
    </row>
    <row x14ac:dyDescent="0.25" r="650" customHeight="1" ht="12.75">
      <c r="A650" s="4"/>
      <c r="B650" s="29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29"/>
      <c r="N650" s="29"/>
      <c r="O650" s="29"/>
      <c r="P650" s="32"/>
      <c r="Q650" s="40"/>
      <c r="R650" s="4"/>
      <c r="S650" s="4"/>
      <c r="T650" s="4"/>
      <c r="U650" s="4"/>
      <c r="V650" s="4"/>
      <c r="W650" s="4"/>
      <c r="X650" s="4"/>
    </row>
    <row x14ac:dyDescent="0.25" r="651" customHeight="1" ht="12.75">
      <c r="A651" s="4"/>
      <c r="B651" s="29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29"/>
      <c r="N651" s="29"/>
      <c r="O651" s="29"/>
      <c r="P651" s="32"/>
      <c r="Q651" s="40"/>
      <c r="R651" s="4"/>
      <c r="S651" s="4"/>
      <c r="T651" s="4"/>
      <c r="U651" s="4"/>
      <c r="V651" s="4"/>
      <c r="W651" s="4"/>
      <c r="X651" s="4"/>
    </row>
    <row x14ac:dyDescent="0.25" r="652" customHeight="1" ht="12.75">
      <c r="A652" s="4"/>
      <c r="B652" s="29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29"/>
      <c r="N652" s="29"/>
      <c r="O652" s="29"/>
      <c r="P652" s="32"/>
      <c r="Q652" s="40"/>
      <c r="R652" s="4"/>
      <c r="S652" s="4"/>
      <c r="T652" s="4"/>
      <c r="U652" s="4"/>
      <c r="V652" s="4"/>
      <c r="W652" s="4"/>
      <c r="X652" s="4"/>
    </row>
    <row x14ac:dyDescent="0.25" r="653" customHeight="1" ht="12.75">
      <c r="A653" s="4"/>
      <c r="B653" s="29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29"/>
      <c r="N653" s="29"/>
      <c r="O653" s="29"/>
      <c r="P653" s="32"/>
      <c r="Q653" s="40"/>
      <c r="R653" s="4"/>
      <c r="S653" s="4"/>
      <c r="T653" s="4"/>
      <c r="U653" s="4"/>
      <c r="V653" s="4"/>
      <c r="W653" s="4"/>
      <c r="X653" s="4"/>
    </row>
    <row x14ac:dyDescent="0.25" r="654" customHeight="1" ht="12.75">
      <c r="A654" s="4"/>
      <c r="B654" s="29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29"/>
      <c r="N654" s="29"/>
      <c r="O654" s="29"/>
      <c r="P654" s="32"/>
      <c r="Q654" s="40"/>
      <c r="R654" s="4"/>
      <c r="S654" s="4"/>
      <c r="T654" s="4"/>
      <c r="U654" s="4"/>
      <c r="V654" s="4"/>
      <c r="W654" s="4"/>
      <c r="X654" s="4"/>
    </row>
    <row x14ac:dyDescent="0.25" r="655" customHeight="1" ht="12.75">
      <c r="A655" s="4"/>
      <c r="B655" s="29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29"/>
      <c r="N655" s="29"/>
      <c r="O655" s="29"/>
      <c r="P655" s="32"/>
      <c r="Q655" s="40"/>
      <c r="R655" s="4"/>
      <c r="S655" s="4"/>
      <c r="T655" s="4"/>
      <c r="U655" s="4"/>
      <c r="V655" s="4"/>
      <c r="W655" s="4"/>
      <c r="X655" s="4"/>
    </row>
    <row x14ac:dyDescent="0.25" r="656" customHeight="1" ht="12.75">
      <c r="A656" s="4"/>
      <c r="B656" s="29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29"/>
      <c r="N656" s="29"/>
      <c r="O656" s="29"/>
      <c r="P656" s="32"/>
      <c r="Q656" s="40"/>
      <c r="R656" s="4"/>
      <c r="S656" s="4"/>
      <c r="T656" s="4"/>
      <c r="U656" s="4"/>
      <c r="V656" s="4"/>
      <c r="W656" s="4"/>
      <c r="X656" s="4"/>
    </row>
    <row x14ac:dyDescent="0.25" r="657" customHeight="1" ht="12.75">
      <c r="A657" s="4"/>
      <c r="B657" s="29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29"/>
      <c r="N657" s="29"/>
      <c r="O657" s="29"/>
      <c r="P657" s="32"/>
      <c r="Q657" s="40"/>
      <c r="R657" s="4"/>
      <c r="S657" s="4"/>
      <c r="T657" s="4"/>
      <c r="U657" s="4"/>
      <c r="V657" s="4"/>
      <c r="W657" s="4"/>
      <c r="X657" s="4"/>
    </row>
    <row x14ac:dyDescent="0.25" r="658" customHeight="1" ht="12.75">
      <c r="A658" s="4"/>
      <c r="B658" s="29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29"/>
      <c r="N658" s="29"/>
      <c r="O658" s="29"/>
      <c r="P658" s="32"/>
      <c r="Q658" s="40"/>
      <c r="R658" s="4"/>
      <c r="S658" s="4"/>
      <c r="T658" s="4"/>
      <c r="U658" s="4"/>
      <c r="V658" s="4"/>
      <c r="W658" s="4"/>
      <c r="X658" s="4"/>
    </row>
    <row x14ac:dyDescent="0.25" r="659" customHeight="1" ht="12.75">
      <c r="A659" s="4"/>
      <c r="B659" s="29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29"/>
      <c r="N659" s="29"/>
      <c r="O659" s="29"/>
      <c r="P659" s="32"/>
      <c r="Q659" s="40"/>
      <c r="R659" s="4"/>
      <c r="S659" s="4"/>
      <c r="T659" s="4"/>
      <c r="U659" s="4"/>
      <c r="V659" s="4"/>
      <c r="W659" s="4"/>
      <c r="X659" s="4"/>
    </row>
    <row x14ac:dyDescent="0.25" r="660" customHeight="1" ht="12.75">
      <c r="A660" s="4"/>
      <c r="B660" s="29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29"/>
      <c r="N660" s="29"/>
      <c r="O660" s="29"/>
      <c r="P660" s="32"/>
      <c r="Q660" s="40"/>
      <c r="R660" s="4"/>
      <c r="S660" s="4"/>
      <c r="T660" s="4"/>
      <c r="U660" s="4"/>
      <c r="V660" s="4"/>
      <c r="W660" s="4"/>
      <c r="X660" s="4"/>
    </row>
    <row x14ac:dyDescent="0.25" r="661" customHeight="1" ht="12.75">
      <c r="A661" s="4"/>
      <c r="B661" s="29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29"/>
      <c r="N661" s="29"/>
      <c r="O661" s="29"/>
      <c r="P661" s="32"/>
      <c r="Q661" s="40"/>
      <c r="R661" s="4"/>
      <c r="S661" s="4"/>
      <c r="T661" s="4"/>
      <c r="U661" s="4"/>
      <c r="V661" s="4"/>
      <c r="W661" s="4"/>
      <c r="X661" s="4"/>
    </row>
    <row x14ac:dyDescent="0.25" r="662" customHeight="1" ht="12.75">
      <c r="A662" s="4"/>
      <c r="B662" s="29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29"/>
      <c r="N662" s="29"/>
      <c r="O662" s="29"/>
      <c r="P662" s="32"/>
      <c r="Q662" s="40"/>
      <c r="R662" s="4"/>
      <c r="S662" s="4"/>
      <c r="T662" s="4"/>
      <c r="U662" s="4"/>
      <c r="V662" s="4"/>
      <c r="W662" s="4"/>
      <c r="X662" s="4"/>
    </row>
    <row x14ac:dyDescent="0.25" r="663" customHeight="1" ht="12.75">
      <c r="A663" s="4"/>
      <c r="B663" s="29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29"/>
      <c r="N663" s="29"/>
      <c r="O663" s="29"/>
      <c r="P663" s="32"/>
      <c r="Q663" s="40"/>
      <c r="R663" s="4"/>
      <c r="S663" s="4"/>
      <c r="T663" s="4"/>
      <c r="U663" s="4"/>
      <c r="V663" s="4"/>
      <c r="W663" s="4"/>
      <c r="X663" s="4"/>
    </row>
    <row x14ac:dyDescent="0.25" r="664" customHeight="1" ht="12.75">
      <c r="A664" s="4"/>
      <c r="B664" s="29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29"/>
      <c r="N664" s="29"/>
      <c r="O664" s="29"/>
      <c r="P664" s="32"/>
      <c r="Q664" s="40"/>
      <c r="R664" s="4"/>
      <c r="S664" s="4"/>
      <c r="T664" s="4"/>
      <c r="U664" s="4"/>
      <c r="V664" s="4"/>
      <c r="W664" s="4"/>
      <c r="X664" s="4"/>
    </row>
    <row x14ac:dyDescent="0.25" r="665" customHeight="1" ht="12.75">
      <c r="A665" s="4"/>
      <c r="B665" s="29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29"/>
      <c r="N665" s="29"/>
      <c r="O665" s="29"/>
      <c r="P665" s="32"/>
      <c r="Q665" s="40"/>
      <c r="R665" s="4"/>
      <c r="S665" s="4"/>
      <c r="T665" s="4"/>
      <c r="U665" s="4"/>
      <c r="V665" s="4"/>
      <c r="W665" s="4"/>
      <c r="X665" s="4"/>
    </row>
    <row x14ac:dyDescent="0.25" r="666" customHeight="1" ht="12.75">
      <c r="A666" s="4"/>
      <c r="B666" s="29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29"/>
      <c r="N666" s="29"/>
      <c r="O666" s="29"/>
      <c r="P666" s="32"/>
      <c r="Q666" s="40"/>
      <c r="R666" s="4"/>
      <c r="S666" s="4"/>
      <c r="T666" s="4"/>
      <c r="U666" s="4"/>
      <c r="V666" s="4"/>
      <c r="W666" s="4"/>
      <c r="X666" s="4"/>
    </row>
    <row x14ac:dyDescent="0.25" r="667" customHeight="1" ht="12.75">
      <c r="A667" s="4"/>
      <c r="B667" s="29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29"/>
      <c r="N667" s="29"/>
      <c r="O667" s="29"/>
      <c r="P667" s="32"/>
      <c r="Q667" s="40"/>
      <c r="R667" s="4"/>
      <c r="S667" s="4"/>
      <c r="T667" s="4"/>
      <c r="U667" s="4"/>
      <c r="V667" s="4"/>
      <c r="W667" s="4"/>
      <c r="X667" s="4"/>
    </row>
    <row x14ac:dyDescent="0.25" r="668" customHeight="1" ht="12.75">
      <c r="A668" s="4"/>
      <c r="B668" s="29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29"/>
      <c r="N668" s="29"/>
      <c r="O668" s="29"/>
      <c r="P668" s="32"/>
      <c r="Q668" s="40"/>
      <c r="R668" s="4"/>
      <c r="S668" s="4"/>
      <c r="T668" s="4"/>
      <c r="U668" s="4"/>
      <c r="V668" s="4"/>
      <c r="W668" s="4"/>
      <c r="X668" s="4"/>
    </row>
    <row x14ac:dyDescent="0.25" r="669" customHeight="1" ht="12.75">
      <c r="A669" s="4"/>
      <c r="B669" s="29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29"/>
      <c r="N669" s="29"/>
      <c r="O669" s="29"/>
      <c r="P669" s="32"/>
      <c r="Q669" s="40"/>
      <c r="R669" s="4"/>
      <c r="S669" s="4"/>
      <c r="T669" s="4"/>
      <c r="U669" s="4"/>
      <c r="V669" s="4"/>
      <c r="W669" s="4"/>
      <c r="X669" s="4"/>
    </row>
    <row x14ac:dyDescent="0.25" r="670" customHeight="1" ht="12.75">
      <c r="A670" s="4"/>
      <c r="B670" s="29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29"/>
      <c r="N670" s="29"/>
      <c r="O670" s="29"/>
      <c r="P670" s="32"/>
      <c r="Q670" s="40"/>
      <c r="R670" s="4"/>
      <c r="S670" s="4"/>
      <c r="T670" s="4"/>
      <c r="U670" s="4"/>
      <c r="V670" s="4"/>
      <c r="W670" s="4"/>
      <c r="X670" s="4"/>
    </row>
    <row x14ac:dyDescent="0.25" r="671" customHeight="1" ht="12.75">
      <c r="A671" s="4"/>
      <c r="B671" s="29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29"/>
      <c r="N671" s="29"/>
      <c r="O671" s="29"/>
      <c r="P671" s="32"/>
      <c r="Q671" s="40"/>
      <c r="R671" s="4"/>
      <c r="S671" s="4"/>
      <c r="T671" s="4"/>
      <c r="U671" s="4"/>
      <c r="V671" s="4"/>
      <c r="W671" s="4"/>
      <c r="X671" s="4"/>
    </row>
    <row x14ac:dyDescent="0.25" r="672" customHeight="1" ht="12.75">
      <c r="A672" s="4"/>
      <c r="B672" s="29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29"/>
      <c r="N672" s="29"/>
      <c r="O672" s="29"/>
      <c r="P672" s="32"/>
      <c r="Q672" s="40"/>
      <c r="R672" s="4"/>
      <c r="S672" s="4"/>
      <c r="T672" s="4"/>
      <c r="U672" s="4"/>
      <c r="V672" s="4"/>
      <c r="W672" s="4"/>
      <c r="X672" s="4"/>
    </row>
    <row x14ac:dyDescent="0.25" r="673" customHeight="1" ht="12.75">
      <c r="A673" s="4"/>
      <c r="B673" s="29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29"/>
      <c r="N673" s="29"/>
      <c r="O673" s="29"/>
      <c r="P673" s="32"/>
      <c r="Q673" s="40"/>
      <c r="R673" s="4"/>
      <c r="S673" s="4"/>
      <c r="T673" s="4"/>
      <c r="U673" s="4"/>
      <c r="V673" s="4"/>
      <c r="W673" s="4"/>
      <c r="X673" s="4"/>
    </row>
    <row x14ac:dyDescent="0.25" r="674" customHeight="1" ht="12.75">
      <c r="A674" s="4"/>
      <c r="B674" s="29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29"/>
      <c r="N674" s="29"/>
      <c r="O674" s="29"/>
      <c r="P674" s="32"/>
      <c r="Q674" s="40"/>
      <c r="R674" s="4"/>
      <c r="S674" s="4"/>
      <c r="T674" s="4"/>
      <c r="U674" s="4"/>
      <c r="V674" s="4"/>
      <c r="W674" s="4"/>
      <c r="X674" s="4"/>
    </row>
    <row x14ac:dyDescent="0.25" r="675" customHeight="1" ht="12.75">
      <c r="A675" s="4"/>
      <c r="B675" s="29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29"/>
      <c r="N675" s="29"/>
      <c r="O675" s="29"/>
      <c r="P675" s="32"/>
      <c r="Q675" s="40"/>
      <c r="R675" s="4"/>
      <c r="S675" s="4"/>
      <c r="T675" s="4"/>
      <c r="U675" s="4"/>
      <c r="V675" s="4"/>
      <c r="W675" s="4"/>
      <c r="X675" s="4"/>
    </row>
    <row x14ac:dyDescent="0.25" r="676" customHeight="1" ht="12.75">
      <c r="A676" s="4"/>
      <c r="B676" s="29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29"/>
      <c r="N676" s="29"/>
      <c r="O676" s="29"/>
      <c r="P676" s="32"/>
      <c r="Q676" s="40"/>
      <c r="R676" s="4"/>
      <c r="S676" s="4"/>
      <c r="T676" s="4"/>
      <c r="U676" s="4"/>
      <c r="V676" s="4"/>
      <c r="W676" s="4"/>
      <c r="X676" s="4"/>
    </row>
    <row x14ac:dyDescent="0.25" r="677" customHeight="1" ht="12.75">
      <c r="A677" s="4"/>
      <c r="B677" s="29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29"/>
      <c r="N677" s="29"/>
      <c r="O677" s="29"/>
      <c r="P677" s="32"/>
      <c r="Q677" s="40"/>
      <c r="R677" s="4"/>
      <c r="S677" s="4"/>
      <c r="T677" s="4"/>
      <c r="U677" s="4"/>
      <c r="V677" s="4"/>
      <c r="W677" s="4"/>
      <c r="X677" s="4"/>
    </row>
    <row x14ac:dyDescent="0.25" r="678" customHeight="1" ht="12.75">
      <c r="A678" s="4"/>
      <c r="B678" s="29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29"/>
      <c r="N678" s="29"/>
      <c r="O678" s="29"/>
      <c r="P678" s="32"/>
      <c r="Q678" s="40"/>
      <c r="R678" s="4"/>
      <c r="S678" s="4"/>
      <c r="T678" s="4"/>
      <c r="U678" s="4"/>
      <c r="V678" s="4"/>
      <c r="W678" s="4"/>
      <c r="X678" s="4"/>
    </row>
    <row x14ac:dyDescent="0.25" r="679" customHeight="1" ht="12.75">
      <c r="A679" s="4"/>
      <c r="B679" s="29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29"/>
      <c r="N679" s="29"/>
      <c r="O679" s="29"/>
      <c r="P679" s="32"/>
      <c r="Q679" s="40"/>
      <c r="R679" s="4"/>
      <c r="S679" s="4"/>
      <c r="T679" s="4"/>
      <c r="U679" s="4"/>
      <c r="V679" s="4"/>
      <c r="W679" s="4"/>
      <c r="X679" s="4"/>
    </row>
    <row x14ac:dyDescent="0.25" r="680" customHeight="1" ht="12.75">
      <c r="A680" s="4"/>
      <c r="B680" s="29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29"/>
      <c r="N680" s="29"/>
      <c r="O680" s="29"/>
      <c r="P680" s="32"/>
      <c r="Q680" s="40"/>
      <c r="R680" s="4"/>
      <c r="S680" s="4"/>
      <c r="T680" s="4"/>
      <c r="U680" s="4"/>
      <c r="V680" s="4"/>
      <c r="W680" s="4"/>
      <c r="X680" s="4"/>
    </row>
    <row x14ac:dyDescent="0.25" r="681" customHeight="1" ht="12.75">
      <c r="A681" s="4"/>
      <c r="B681" s="29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29"/>
      <c r="N681" s="29"/>
      <c r="O681" s="29"/>
      <c r="P681" s="32"/>
      <c r="Q681" s="40"/>
      <c r="R681" s="4"/>
      <c r="S681" s="4"/>
      <c r="T681" s="4"/>
      <c r="U681" s="4"/>
      <c r="V681" s="4"/>
      <c r="W681" s="4"/>
      <c r="X681" s="4"/>
    </row>
    <row x14ac:dyDescent="0.25" r="682" customHeight="1" ht="12.75">
      <c r="A682" s="4"/>
      <c r="B682" s="29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29"/>
      <c r="N682" s="29"/>
      <c r="O682" s="29"/>
      <c r="P682" s="32"/>
      <c r="Q682" s="40"/>
      <c r="R682" s="4"/>
      <c r="S682" s="4"/>
      <c r="T682" s="4"/>
      <c r="U682" s="4"/>
      <c r="V682" s="4"/>
      <c r="W682" s="4"/>
      <c r="X682" s="4"/>
    </row>
    <row x14ac:dyDescent="0.25" r="683" customHeight="1" ht="12.75">
      <c r="A683" s="4"/>
      <c r="B683" s="29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29"/>
      <c r="N683" s="29"/>
      <c r="O683" s="29"/>
      <c r="P683" s="32"/>
      <c r="Q683" s="40"/>
      <c r="R683" s="4"/>
      <c r="S683" s="4"/>
      <c r="T683" s="4"/>
      <c r="U683" s="4"/>
      <c r="V683" s="4"/>
      <c r="W683" s="4"/>
      <c r="X683" s="4"/>
    </row>
    <row x14ac:dyDescent="0.25" r="684" customHeight="1" ht="12.75">
      <c r="A684" s="4"/>
      <c r="B684" s="29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29"/>
      <c r="N684" s="29"/>
      <c r="O684" s="29"/>
      <c r="P684" s="32"/>
      <c r="Q684" s="40"/>
      <c r="R684" s="4"/>
      <c r="S684" s="4"/>
      <c r="T684" s="4"/>
      <c r="U684" s="4"/>
      <c r="V684" s="4"/>
      <c r="W684" s="4"/>
      <c r="X684" s="4"/>
    </row>
    <row x14ac:dyDescent="0.25" r="685" customHeight="1" ht="12.75">
      <c r="A685" s="4"/>
      <c r="B685" s="29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29"/>
      <c r="N685" s="29"/>
      <c r="O685" s="29"/>
      <c r="P685" s="32"/>
      <c r="Q685" s="40"/>
      <c r="R685" s="4"/>
      <c r="S685" s="4"/>
      <c r="T685" s="4"/>
      <c r="U685" s="4"/>
      <c r="V685" s="4"/>
      <c r="W685" s="4"/>
      <c r="X685" s="4"/>
    </row>
    <row x14ac:dyDescent="0.25" r="686" customHeight="1" ht="12.75">
      <c r="A686" s="4"/>
      <c r="B686" s="29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29"/>
      <c r="N686" s="29"/>
      <c r="O686" s="29"/>
      <c r="P686" s="32"/>
      <c r="Q686" s="40"/>
      <c r="R686" s="4"/>
      <c r="S686" s="4"/>
      <c r="T686" s="4"/>
      <c r="U686" s="4"/>
      <c r="V686" s="4"/>
      <c r="W686" s="4"/>
      <c r="X686" s="4"/>
    </row>
    <row x14ac:dyDescent="0.25" r="687" customHeight="1" ht="12.75">
      <c r="A687" s="4"/>
      <c r="B687" s="29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29"/>
      <c r="N687" s="29"/>
      <c r="O687" s="29"/>
      <c r="P687" s="32"/>
      <c r="Q687" s="40"/>
      <c r="R687" s="4"/>
      <c r="S687" s="4"/>
      <c r="T687" s="4"/>
      <c r="U687" s="4"/>
      <c r="V687" s="4"/>
      <c r="W687" s="4"/>
      <c r="X687" s="4"/>
    </row>
    <row x14ac:dyDescent="0.25" r="688" customHeight="1" ht="12.75">
      <c r="A688" s="4"/>
      <c r="B688" s="29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29"/>
      <c r="N688" s="29"/>
      <c r="O688" s="29"/>
      <c r="P688" s="32"/>
      <c r="Q688" s="40"/>
      <c r="R688" s="4"/>
      <c r="S688" s="4"/>
      <c r="T688" s="4"/>
      <c r="U688" s="4"/>
      <c r="V688" s="4"/>
      <c r="W688" s="4"/>
      <c r="X688" s="4"/>
    </row>
    <row x14ac:dyDescent="0.25" r="689" customHeight="1" ht="12.75">
      <c r="A689" s="4"/>
      <c r="B689" s="29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29"/>
      <c r="N689" s="29"/>
      <c r="O689" s="29"/>
      <c r="P689" s="32"/>
      <c r="Q689" s="40"/>
      <c r="R689" s="4"/>
      <c r="S689" s="4"/>
      <c r="T689" s="4"/>
      <c r="U689" s="4"/>
      <c r="V689" s="4"/>
      <c r="W689" s="4"/>
      <c r="X689" s="4"/>
    </row>
    <row x14ac:dyDescent="0.25" r="690" customHeight="1" ht="12.75">
      <c r="A690" s="4"/>
      <c r="B690" s="29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29"/>
      <c r="N690" s="29"/>
      <c r="O690" s="29"/>
      <c r="P690" s="32"/>
      <c r="Q690" s="40"/>
      <c r="R690" s="4"/>
      <c r="S690" s="4"/>
      <c r="T690" s="4"/>
      <c r="U690" s="4"/>
      <c r="V690" s="4"/>
      <c r="W690" s="4"/>
      <c r="X690" s="4"/>
    </row>
    <row x14ac:dyDescent="0.25" r="691" customHeight="1" ht="12.75">
      <c r="A691" s="4"/>
      <c r="B691" s="29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29"/>
      <c r="N691" s="29"/>
      <c r="O691" s="29"/>
      <c r="P691" s="32"/>
      <c r="Q691" s="40"/>
      <c r="R691" s="4"/>
      <c r="S691" s="4"/>
      <c r="T691" s="4"/>
      <c r="U691" s="4"/>
      <c r="V691" s="4"/>
      <c r="W691" s="4"/>
      <c r="X691" s="4"/>
    </row>
    <row x14ac:dyDescent="0.25" r="692" customHeight="1" ht="12.75">
      <c r="A692" s="4"/>
      <c r="B692" s="29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29"/>
      <c r="N692" s="29"/>
      <c r="O692" s="29"/>
      <c r="P692" s="32"/>
      <c r="Q692" s="40"/>
      <c r="R692" s="4"/>
      <c r="S692" s="4"/>
      <c r="T692" s="4"/>
      <c r="U692" s="4"/>
      <c r="V692" s="4"/>
      <c r="W692" s="4"/>
      <c r="X692" s="4"/>
    </row>
    <row x14ac:dyDescent="0.25" r="693" customHeight="1" ht="12.75">
      <c r="A693" s="4"/>
      <c r="B693" s="29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29"/>
      <c r="N693" s="29"/>
      <c r="O693" s="29"/>
      <c r="P693" s="32"/>
      <c r="Q693" s="40"/>
      <c r="R693" s="4"/>
      <c r="S693" s="4"/>
      <c r="T693" s="4"/>
      <c r="U693" s="4"/>
      <c r="V693" s="4"/>
      <c r="W693" s="4"/>
      <c r="X693" s="4"/>
    </row>
    <row x14ac:dyDescent="0.25" r="694" customHeight="1" ht="12.75">
      <c r="A694" s="4"/>
      <c r="B694" s="29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29"/>
      <c r="N694" s="29"/>
      <c r="O694" s="29"/>
      <c r="P694" s="32"/>
      <c r="Q694" s="40"/>
      <c r="R694" s="4"/>
      <c r="S694" s="4"/>
      <c r="T694" s="4"/>
      <c r="U694" s="4"/>
      <c r="V694" s="4"/>
      <c r="W694" s="4"/>
      <c r="X694" s="4"/>
    </row>
    <row x14ac:dyDescent="0.25" r="695" customHeight="1" ht="12.75">
      <c r="A695" s="4"/>
      <c r="B695" s="29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29"/>
      <c r="N695" s="29"/>
      <c r="O695" s="29"/>
      <c r="P695" s="32"/>
      <c r="Q695" s="40"/>
      <c r="R695" s="4"/>
      <c r="S695" s="4"/>
      <c r="T695" s="4"/>
      <c r="U695" s="4"/>
      <c r="V695" s="4"/>
      <c r="W695" s="4"/>
      <c r="X695" s="4"/>
    </row>
    <row x14ac:dyDescent="0.25" r="696" customHeight="1" ht="12.75">
      <c r="A696" s="4"/>
      <c r="B696" s="29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29"/>
      <c r="N696" s="29"/>
      <c r="O696" s="29"/>
      <c r="P696" s="32"/>
      <c r="Q696" s="40"/>
      <c r="R696" s="4"/>
      <c r="S696" s="4"/>
      <c r="T696" s="4"/>
      <c r="U696" s="4"/>
      <c r="V696" s="4"/>
      <c r="W696" s="4"/>
      <c r="X696" s="4"/>
    </row>
    <row x14ac:dyDescent="0.25" r="697" customHeight="1" ht="12.75">
      <c r="A697" s="4"/>
      <c r="B697" s="29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29"/>
      <c r="N697" s="29"/>
      <c r="O697" s="29"/>
      <c r="P697" s="32"/>
      <c r="Q697" s="40"/>
      <c r="R697" s="4"/>
      <c r="S697" s="4"/>
      <c r="T697" s="4"/>
      <c r="U697" s="4"/>
      <c r="V697" s="4"/>
      <c r="W697" s="4"/>
      <c r="X697" s="4"/>
    </row>
    <row x14ac:dyDescent="0.25" r="698" customHeight="1" ht="12.75">
      <c r="A698" s="4"/>
      <c r="B698" s="29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29"/>
      <c r="N698" s="29"/>
      <c r="O698" s="29"/>
      <c r="P698" s="32"/>
      <c r="Q698" s="40"/>
      <c r="R698" s="4"/>
      <c r="S698" s="4"/>
      <c r="T698" s="4"/>
      <c r="U698" s="4"/>
      <c r="V698" s="4"/>
      <c r="W698" s="4"/>
      <c r="X698" s="4"/>
    </row>
    <row x14ac:dyDescent="0.25" r="699" customHeight="1" ht="12.75">
      <c r="A699" s="4"/>
      <c r="B699" s="29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29"/>
      <c r="N699" s="29"/>
      <c r="O699" s="29"/>
      <c r="P699" s="32"/>
      <c r="Q699" s="40"/>
      <c r="R699" s="4"/>
      <c r="S699" s="4"/>
      <c r="T699" s="4"/>
      <c r="U699" s="4"/>
      <c r="V699" s="4"/>
      <c r="W699" s="4"/>
      <c r="X699" s="4"/>
    </row>
    <row x14ac:dyDescent="0.25" r="700" customHeight="1" ht="12.75">
      <c r="A700" s="4"/>
      <c r="B700" s="29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29"/>
      <c r="N700" s="29"/>
      <c r="O700" s="29"/>
      <c r="P700" s="32"/>
      <c r="Q700" s="40"/>
      <c r="R700" s="4"/>
      <c r="S700" s="4"/>
      <c r="T700" s="4"/>
      <c r="U700" s="4"/>
      <c r="V700" s="4"/>
      <c r="W700" s="4"/>
      <c r="X700" s="4"/>
    </row>
    <row x14ac:dyDescent="0.25" r="701" customHeight="1" ht="12.75">
      <c r="A701" s="4"/>
      <c r="B701" s="29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29"/>
      <c r="N701" s="29"/>
      <c r="O701" s="29"/>
      <c r="P701" s="32"/>
      <c r="Q701" s="40"/>
      <c r="R701" s="4"/>
      <c r="S701" s="4"/>
      <c r="T701" s="4"/>
      <c r="U701" s="4"/>
      <c r="V701" s="4"/>
      <c r="W701" s="4"/>
      <c r="X701" s="4"/>
    </row>
    <row x14ac:dyDescent="0.25" r="702" customHeight="1" ht="12.75">
      <c r="A702" s="4"/>
      <c r="B702" s="29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29"/>
      <c r="N702" s="29"/>
      <c r="O702" s="29"/>
      <c r="P702" s="32"/>
      <c r="Q702" s="40"/>
      <c r="R702" s="4"/>
      <c r="S702" s="4"/>
      <c r="T702" s="4"/>
      <c r="U702" s="4"/>
      <c r="V702" s="4"/>
      <c r="W702" s="4"/>
      <c r="X702" s="4"/>
    </row>
    <row x14ac:dyDescent="0.25" r="703" customHeight="1" ht="12.75">
      <c r="A703" s="4"/>
      <c r="B703" s="29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29"/>
      <c r="N703" s="29"/>
      <c r="O703" s="29"/>
      <c r="P703" s="32"/>
      <c r="Q703" s="40"/>
      <c r="R703" s="4"/>
      <c r="S703" s="4"/>
      <c r="T703" s="4"/>
      <c r="U703" s="4"/>
      <c r="V703" s="4"/>
      <c r="W703" s="4"/>
      <c r="X703" s="4"/>
    </row>
    <row x14ac:dyDescent="0.25" r="704" customHeight="1" ht="12.75">
      <c r="A704" s="4"/>
      <c r="B704" s="29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29"/>
      <c r="N704" s="29"/>
      <c r="O704" s="29"/>
      <c r="P704" s="32"/>
      <c r="Q704" s="40"/>
      <c r="R704" s="4"/>
      <c r="S704" s="4"/>
      <c r="T704" s="4"/>
      <c r="U704" s="4"/>
      <c r="V704" s="4"/>
      <c r="W704" s="4"/>
      <c r="X704" s="4"/>
    </row>
    <row x14ac:dyDescent="0.25" r="705" customHeight="1" ht="12.75">
      <c r="A705" s="4"/>
      <c r="B705" s="29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29"/>
      <c r="N705" s="29"/>
      <c r="O705" s="29"/>
      <c r="P705" s="32"/>
      <c r="Q705" s="40"/>
      <c r="R705" s="4"/>
      <c r="S705" s="4"/>
      <c r="T705" s="4"/>
      <c r="U705" s="4"/>
      <c r="V705" s="4"/>
      <c r="W705" s="4"/>
      <c r="X705" s="4"/>
    </row>
    <row x14ac:dyDescent="0.25" r="706" customHeight="1" ht="12.75">
      <c r="A706" s="4"/>
      <c r="B706" s="29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29"/>
      <c r="N706" s="29"/>
      <c r="O706" s="29"/>
      <c r="P706" s="32"/>
      <c r="Q706" s="40"/>
      <c r="R706" s="4"/>
      <c r="S706" s="4"/>
      <c r="T706" s="4"/>
      <c r="U706" s="4"/>
      <c r="V706" s="4"/>
      <c r="W706" s="4"/>
      <c r="X706" s="4"/>
    </row>
    <row x14ac:dyDescent="0.25" r="707" customHeight="1" ht="12.75">
      <c r="A707" s="4"/>
      <c r="B707" s="29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29"/>
      <c r="N707" s="29"/>
      <c r="O707" s="29"/>
      <c r="P707" s="32"/>
      <c r="Q707" s="40"/>
      <c r="R707" s="4"/>
      <c r="S707" s="4"/>
      <c r="T707" s="4"/>
      <c r="U707" s="4"/>
      <c r="V707" s="4"/>
      <c r="W707" s="4"/>
      <c r="X707" s="4"/>
    </row>
    <row x14ac:dyDescent="0.25" r="708" customHeight="1" ht="12.75">
      <c r="A708" s="4"/>
      <c r="B708" s="29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29"/>
      <c r="N708" s="29"/>
      <c r="O708" s="29"/>
      <c r="P708" s="32"/>
      <c r="Q708" s="40"/>
      <c r="R708" s="4"/>
      <c r="S708" s="4"/>
      <c r="T708" s="4"/>
      <c r="U708" s="4"/>
      <c r="V708" s="4"/>
      <c r="W708" s="4"/>
      <c r="X708" s="4"/>
    </row>
    <row x14ac:dyDescent="0.25" r="709" customHeight="1" ht="12.75">
      <c r="A709" s="4"/>
      <c r="B709" s="29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29"/>
      <c r="N709" s="29"/>
      <c r="O709" s="29"/>
      <c r="P709" s="32"/>
      <c r="Q709" s="40"/>
      <c r="R709" s="4"/>
      <c r="S709" s="4"/>
      <c r="T709" s="4"/>
      <c r="U709" s="4"/>
      <c r="V709" s="4"/>
      <c r="W709" s="4"/>
      <c r="X709" s="4"/>
    </row>
    <row x14ac:dyDescent="0.25" r="710" customHeight="1" ht="12.75">
      <c r="A710" s="4"/>
      <c r="B710" s="29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29"/>
      <c r="N710" s="29"/>
      <c r="O710" s="29"/>
      <c r="P710" s="32"/>
      <c r="Q710" s="40"/>
      <c r="R710" s="4"/>
      <c r="S710" s="4"/>
      <c r="T710" s="4"/>
      <c r="U710" s="4"/>
      <c r="V710" s="4"/>
      <c r="W710" s="4"/>
      <c r="X710" s="4"/>
    </row>
    <row x14ac:dyDescent="0.25" r="711" customHeight="1" ht="12.75">
      <c r="A711" s="4"/>
      <c r="B711" s="29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29"/>
      <c r="N711" s="29"/>
      <c r="O711" s="29"/>
      <c r="P711" s="32"/>
      <c r="Q711" s="40"/>
      <c r="R711" s="4"/>
      <c r="S711" s="4"/>
      <c r="T711" s="4"/>
      <c r="U711" s="4"/>
      <c r="V711" s="4"/>
      <c r="W711" s="4"/>
      <c r="X711" s="4"/>
    </row>
    <row x14ac:dyDescent="0.25" r="712" customHeight="1" ht="12.75">
      <c r="A712" s="4"/>
      <c r="B712" s="29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29"/>
      <c r="N712" s="29"/>
      <c r="O712" s="29"/>
      <c r="P712" s="32"/>
      <c r="Q712" s="40"/>
      <c r="R712" s="4"/>
      <c r="S712" s="4"/>
      <c r="T712" s="4"/>
      <c r="U712" s="4"/>
      <c r="V712" s="4"/>
      <c r="W712" s="4"/>
      <c r="X712" s="4"/>
    </row>
    <row x14ac:dyDescent="0.25" r="713" customHeight="1" ht="12.75">
      <c r="A713" s="4"/>
      <c r="B713" s="29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29"/>
      <c r="N713" s="29"/>
      <c r="O713" s="29"/>
      <c r="P713" s="32"/>
      <c r="Q713" s="40"/>
      <c r="R713" s="4"/>
      <c r="S713" s="4"/>
      <c r="T713" s="4"/>
      <c r="U713" s="4"/>
      <c r="V713" s="4"/>
      <c r="W713" s="4"/>
      <c r="X713" s="4"/>
    </row>
    <row x14ac:dyDescent="0.25" r="714" customHeight="1" ht="12.75">
      <c r="A714" s="4"/>
      <c r="B714" s="29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29"/>
      <c r="N714" s="29"/>
      <c r="O714" s="29"/>
      <c r="P714" s="32"/>
      <c r="Q714" s="40"/>
      <c r="R714" s="4"/>
      <c r="S714" s="4"/>
      <c r="T714" s="4"/>
      <c r="U714" s="4"/>
      <c r="V714" s="4"/>
      <c r="W714" s="4"/>
      <c r="X714" s="4"/>
    </row>
    <row x14ac:dyDescent="0.25" r="715" customHeight="1" ht="12.75">
      <c r="A715" s="4"/>
      <c r="B715" s="29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29"/>
      <c r="N715" s="29"/>
      <c r="O715" s="29"/>
      <c r="P715" s="32"/>
      <c r="Q715" s="40"/>
      <c r="R715" s="4"/>
      <c r="S715" s="4"/>
      <c r="T715" s="4"/>
      <c r="U715" s="4"/>
      <c r="V715" s="4"/>
      <c r="W715" s="4"/>
      <c r="X715" s="4"/>
    </row>
    <row x14ac:dyDescent="0.25" r="716" customHeight="1" ht="12.75">
      <c r="A716" s="4"/>
      <c r="B716" s="29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29"/>
      <c r="N716" s="29"/>
      <c r="O716" s="29"/>
      <c r="P716" s="32"/>
      <c r="Q716" s="40"/>
      <c r="R716" s="4"/>
      <c r="S716" s="4"/>
      <c r="T716" s="4"/>
      <c r="U716" s="4"/>
      <c r="V716" s="4"/>
      <c r="W716" s="4"/>
      <c r="X716" s="4"/>
    </row>
    <row x14ac:dyDescent="0.25" r="717" customHeight="1" ht="12.75">
      <c r="A717" s="4"/>
      <c r="B717" s="29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29"/>
      <c r="N717" s="29"/>
      <c r="O717" s="29"/>
      <c r="P717" s="32"/>
      <c r="Q717" s="40"/>
      <c r="R717" s="4"/>
      <c r="S717" s="4"/>
      <c r="T717" s="4"/>
      <c r="U717" s="4"/>
      <c r="V717" s="4"/>
      <c r="W717" s="4"/>
      <c r="X717" s="4"/>
    </row>
    <row x14ac:dyDescent="0.25" r="718" customHeight="1" ht="12.75">
      <c r="A718" s="4"/>
      <c r="B718" s="29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29"/>
      <c r="N718" s="29"/>
      <c r="O718" s="29"/>
      <c r="P718" s="32"/>
      <c r="Q718" s="40"/>
      <c r="R718" s="4"/>
      <c r="S718" s="4"/>
      <c r="T718" s="4"/>
      <c r="U718" s="4"/>
      <c r="V718" s="4"/>
      <c r="W718" s="4"/>
      <c r="X718" s="4"/>
    </row>
    <row x14ac:dyDescent="0.25" r="719" customHeight="1" ht="12.75">
      <c r="A719" s="4"/>
      <c r="B719" s="29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29"/>
      <c r="N719" s="29"/>
      <c r="O719" s="29"/>
      <c r="P719" s="32"/>
      <c r="Q719" s="40"/>
      <c r="R719" s="4"/>
      <c r="S719" s="4"/>
      <c r="T719" s="4"/>
      <c r="U719" s="4"/>
      <c r="V719" s="4"/>
      <c r="W719" s="4"/>
      <c r="X719" s="4"/>
    </row>
    <row x14ac:dyDescent="0.25" r="720" customHeight="1" ht="12.75">
      <c r="A720" s="4"/>
      <c r="B720" s="29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29"/>
      <c r="N720" s="29"/>
      <c r="O720" s="29"/>
      <c r="P720" s="32"/>
      <c r="Q720" s="40"/>
      <c r="R720" s="4"/>
      <c r="S720" s="4"/>
      <c r="T720" s="4"/>
      <c r="U720" s="4"/>
      <c r="V720" s="4"/>
      <c r="W720" s="4"/>
      <c r="X720" s="4"/>
    </row>
    <row x14ac:dyDescent="0.25" r="721" customHeight="1" ht="12.75">
      <c r="A721" s="4"/>
      <c r="B721" s="29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29"/>
      <c r="N721" s="29"/>
      <c r="O721" s="29"/>
      <c r="P721" s="32"/>
      <c r="Q721" s="40"/>
      <c r="R721" s="4"/>
      <c r="S721" s="4"/>
      <c r="T721" s="4"/>
      <c r="U721" s="4"/>
      <c r="V721" s="4"/>
      <c r="W721" s="4"/>
      <c r="X721" s="4"/>
    </row>
    <row x14ac:dyDescent="0.25" r="722" customHeight="1" ht="12.75">
      <c r="A722" s="4"/>
      <c r="B722" s="29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29"/>
      <c r="N722" s="29"/>
      <c r="O722" s="29"/>
      <c r="P722" s="32"/>
      <c r="Q722" s="40"/>
      <c r="R722" s="4"/>
      <c r="S722" s="4"/>
      <c r="T722" s="4"/>
      <c r="U722" s="4"/>
      <c r="V722" s="4"/>
      <c r="W722" s="4"/>
      <c r="X722" s="4"/>
    </row>
    <row x14ac:dyDescent="0.25" r="723" customHeight="1" ht="12.75">
      <c r="A723" s="4"/>
      <c r="B723" s="29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29"/>
      <c r="N723" s="29"/>
      <c r="O723" s="29"/>
      <c r="P723" s="32"/>
      <c r="Q723" s="40"/>
      <c r="R723" s="4"/>
      <c r="S723" s="4"/>
      <c r="T723" s="4"/>
      <c r="U723" s="4"/>
      <c r="V723" s="4"/>
      <c r="W723" s="4"/>
      <c r="X723" s="4"/>
    </row>
    <row x14ac:dyDescent="0.25" r="724" customHeight="1" ht="12.75">
      <c r="A724" s="4"/>
      <c r="B724" s="29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29"/>
      <c r="N724" s="29"/>
      <c r="O724" s="29"/>
      <c r="P724" s="32"/>
      <c r="Q724" s="40"/>
      <c r="R724" s="4"/>
      <c r="S724" s="4"/>
      <c r="T724" s="4"/>
      <c r="U724" s="4"/>
      <c r="V724" s="4"/>
      <c r="W724" s="4"/>
      <c r="X724" s="4"/>
    </row>
    <row x14ac:dyDescent="0.25" r="725" customHeight="1" ht="12.75">
      <c r="A725" s="4"/>
      <c r="B725" s="29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29"/>
      <c r="N725" s="29"/>
      <c r="O725" s="29"/>
      <c r="P725" s="32"/>
      <c r="Q725" s="40"/>
      <c r="R725" s="4"/>
      <c r="S725" s="4"/>
      <c r="T725" s="4"/>
      <c r="U725" s="4"/>
      <c r="V725" s="4"/>
      <c r="W725" s="4"/>
      <c r="X725" s="4"/>
    </row>
    <row x14ac:dyDescent="0.25" r="726" customHeight="1" ht="12.75">
      <c r="A726" s="4"/>
      <c r="B726" s="29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29"/>
      <c r="N726" s="29"/>
      <c r="O726" s="29"/>
      <c r="P726" s="32"/>
      <c r="Q726" s="40"/>
      <c r="R726" s="4"/>
      <c r="S726" s="4"/>
      <c r="T726" s="4"/>
      <c r="U726" s="4"/>
      <c r="V726" s="4"/>
      <c r="W726" s="4"/>
      <c r="X726" s="4"/>
    </row>
    <row x14ac:dyDescent="0.25" r="727" customHeight="1" ht="12.75">
      <c r="A727" s="4"/>
      <c r="B727" s="29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29"/>
      <c r="N727" s="29"/>
      <c r="O727" s="29"/>
      <c r="P727" s="32"/>
      <c r="Q727" s="40"/>
      <c r="R727" s="4"/>
      <c r="S727" s="4"/>
      <c r="T727" s="4"/>
      <c r="U727" s="4"/>
      <c r="V727" s="4"/>
      <c r="W727" s="4"/>
      <c r="X727" s="4"/>
    </row>
    <row x14ac:dyDescent="0.25" r="728" customHeight="1" ht="12.75">
      <c r="A728" s="4"/>
      <c r="B728" s="29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29"/>
      <c r="N728" s="29"/>
      <c r="O728" s="29"/>
      <c r="P728" s="32"/>
      <c r="Q728" s="40"/>
      <c r="R728" s="4"/>
      <c r="S728" s="4"/>
      <c r="T728" s="4"/>
      <c r="U728" s="4"/>
      <c r="V728" s="4"/>
      <c r="W728" s="4"/>
      <c r="X728" s="4"/>
    </row>
    <row x14ac:dyDescent="0.25" r="729" customHeight="1" ht="12.75">
      <c r="A729" s="4"/>
      <c r="B729" s="29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29"/>
      <c r="N729" s="29"/>
      <c r="O729" s="29"/>
      <c r="P729" s="32"/>
      <c r="Q729" s="40"/>
      <c r="R729" s="4"/>
      <c r="S729" s="4"/>
      <c r="T729" s="4"/>
      <c r="U729" s="4"/>
      <c r="V729" s="4"/>
      <c r="W729" s="4"/>
      <c r="X729" s="4"/>
    </row>
    <row x14ac:dyDescent="0.25" r="730" customHeight="1" ht="12.75">
      <c r="A730" s="4"/>
      <c r="B730" s="29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29"/>
      <c r="N730" s="29"/>
      <c r="O730" s="29"/>
      <c r="P730" s="32"/>
      <c r="Q730" s="40"/>
      <c r="R730" s="4"/>
      <c r="S730" s="4"/>
      <c r="T730" s="4"/>
      <c r="U730" s="4"/>
      <c r="V730" s="4"/>
      <c r="W730" s="4"/>
      <c r="X730" s="4"/>
    </row>
    <row x14ac:dyDescent="0.25" r="731" customHeight="1" ht="12.75">
      <c r="A731" s="4"/>
      <c r="B731" s="29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29"/>
      <c r="N731" s="29"/>
      <c r="O731" s="29"/>
      <c r="P731" s="32"/>
      <c r="Q731" s="40"/>
      <c r="R731" s="4"/>
      <c r="S731" s="4"/>
      <c r="T731" s="4"/>
      <c r="U731" s="4"/>
      <c r="V731" s="4"/>
      <c r="W731" s="4"/>
      <c r="X731" s="4"/>
    </row>
    <row x14ac:dyDescent="0.25" r="732" customHeight="1" ht="12.75">
      <c r="A732" s="4"/>
      <c r="B732" s="29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29"/>
      <c r="N732" s="29"/>
      <c r="O732" s="29"/>
      <c r="P732" s="32"/>
      <c r="Q732" s="40"/>
      <c r="R732" s="4"/>
      <c r="S732" s="4"/>
      <c r="T732" s="4"/>
      <c r="U732" s="4"/>
      <c r="V732" s="4"/>
      <c r="W732" s="4"/>
      <c r="X732" s="4"/>
    </row>
    <row x14ac:dyDescent="0.25" r="733" customHeight="1" ht="12.75">
      <c r="A733" s="4"/>
      <c r="B733" s="29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29"/>
      <c r="N733" s="29"/>
      <c r="O733" s="29"/>
      <c r="P733" s="32"/>
      <c r="Q733" s="40"/>
      <c r="R733" s="4"/>
      <c r="S733" s="4"/>
      <c r="T733" s="4"/>
      <c r="U733" s="4"/>
      <c r="V733" s="4"/>
      <c r="W733" s="4"/>
      <c r="X733" s="4"/>
    </row>
    <row x14ac:dyDescent="0.25" r="734" customHeight="1" ht="12.75">
      <c r="A734" s="4"/>
      <c r="B734" s="29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29"/>
      <c r="N734" s="29"/>
      <c r="O734" s="29"/>
      <c r="P734" s="32"/>
      <c r="Q734" s="40"/>
      <c r="R734" s="4"/>
      <c r="S734" s="4"/>
      <c r="T734" s="4"/>
      <c r="U734" s="4"/>
      <c r="V734" s="4"/>
      <c r="W734" s="4"/>
      <c r="X734" s="4"/>
    </row>
    <row x14ac:dyDescent="0.25" r="735" customHeight="1" ht="12.75">
      <c r="A735" s="4"/>
      <c r="B735" s="29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29"/>
      <c r="N735" s="29"/>
      <c r="O735" s="29"/>
      <c r="P735" s="32"/>
      <c r="Q735" s="40"/>
      <c r="R735" s="4"/>
      <c r="S735" s="4"/>
      <c r="T735" s="4"/>
      <c r="U735" s="4"/>
      <c r="V735" s="4"/>
      <c r="W735" s="4"/>
      <c r="X735" s="4"/>
    </row>
    <row x14ac:dyDescent="0.25" r="736" customHeight="1" ht="12.75">
      <c r="A736" s="4"/>
      <c r="B736" s="29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29"/>
      <c r="N736" s="29"/>
      <c r="O736" s="29"/>
      <c r="P736" s="32"/>
      <c r="Q736" s="40"/>
      <c r="R736" s="4"/>
      <c r="S736" s="4"/>
      <c r="T736" s="4"/>
      <c r="U736" s="4"/>
      <c r="V736" s="4"/>
      <c r="W736" s="4"/>
      <c r="X736" s="4"/>
    </row>
    <row x14ac:dyDescent="0.25" r="737" customHeight="1" ht="12.75">
      <c r="A737" s="4"/>
      <c r="B737" s="29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29"/>
      <c r="N737" s="29"/>
      <c r="O737" s="29"/>
      <c r="P737" s="32"/>
      <c r="Q737" s="40"/>
      <c r="R737" s="4"/>
      <c r="S737" s="4"/>
      <c r="T737" s="4"/>
      <c r="U737" s="4"/>
      <c r="V737" s="4"/>
      <c r="W737" s="4"/>
      <c r="X737" s="4"/>
    </row>
    <row x14ac:dyDescent="0.25" r="738" customHeight="1" ht="12.75">
      <c r="A738" s="4"/>
      <c r="B738" s="29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29"/>
      <c r="N738" s="29"/>
      <c r="O738" s="29"/>
      <c r="P738" s="32"/>
      <c r="Q738" s="40"/>
      <c r="R738" s="4"/>
      <c r="S738" s="4"/>
      <c r="T738" s="4"/>
      <c r="U738" s="4"/>
      <c r="V738" s="4"/>
      <c r="W738" s="4"/>
      <c r="X738" s="4"/>
    </row>
    <row x14ac:dyDescent="0.25" r="739" customHeight="1" ht="12.75">
      <c r="A739" s="4"/>
      <c r="B739" s="29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29"/>
      <c r="N739" s="29"/>
      <c r="O739" s="29"/>
      <c r="P739" s="32"/>
      <c r="Q739" s="40"/>
      <c r="R739" s="4"/>
      <c r="S739" s="4"/>
      <c r="T739" s="4"/>
      <c r="U739" s="4"/>
      <c r="V739" s="4"/>
      <c r="W739" s="4"/>
      <c r="X739" s="4"/>
    </row>
    <row x14ac:dyDescent="0.25" r="740" customHeight="1" ht="12.75">
      <c r="A740" s="4"/>
      <c r="B740" s="29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29"/>
      <c r="N740" s="29"/>
      <c r="O740" s="29"/>
      <c r="P740" s="32"/>
      <c r="Q740" s="40"/>
      <c r="R740" s="4"/>
      <c r="S740" s="4"/>
      <c r="T740" s="4"/>
      <c r="U740" s="4"/>
      <c r="V740" s="4"/>
      <c r="W740" s="4"/>
      <c r="X740" s="4"/>
    </row>
    <row x14ac:dyDescent="0.25" r="741" customHeight="1" ht="12.75">
      <c r="A741" s="4"/>
      <c r="B741" s="29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29"/>
      <c r="N741" s="29"/>
      <c r="O741" s="29"/>
      <c r="P741" s="32"/>
      <c r="Q741" s="40"/>
      <c r="R741" s="4"/>
      <c r="S741" s="4"/>
      <c r="T741" s="4"/>
      <c r="U741" s="4"/>
      <c r="V741" s="4"/>
      <c r="W741" s="4"/>
      <c r="X741" s="4"/>
    </row>
    <row x14ac:dyDescent="0.25" r="742" customHeight="1" ht="12.75">
      <c r="A742" s="4"/>
      <c r="B742" s="29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29"/>
      <c r="N742" s="29"/>
      <c r="O742" s="29"/>
      <c r="P742" s="32"/>
      <c r="Q742" s="40"/>
      <c r="R742" s="4"/>
      <c r="S742" s="4"/>
      <c r="T742" s="4"/>
      <c r="U742" s="4"/>
      <c r="V742" s="4"/>
      <c r="W742" s="4"/>
      <c r="X742" s="4"/>
    </row>
    <row x14ac:dyDescent="0.25" r="743" customHeight="1" ht="12.75">
      <c r="A743" s="4"/>
      <c r="B743" s="29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29"/>
      <c r="N743" s="29"/>
      <c r="O743" s="29"/>
      <c r="P743" s="32"/>
      <c r="Q743" s="40"/>
      <c r="R743" s="4"/>
      <c r="S743" s="4"/>
      <c r="T743" s="4"/>
      <c r="U743" s="4"/>
      <c r="V743" s="4"/>
      <c r="W743" s="4"/>
      <c r="X743" s="4"/>
    </row>
    <row x14ac:dyDescent="0.25" r="744" customHeight="1" ht="12.75">
      <c r="A744" s="4"/>
      <c r="B744" s="29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29"/>
      <c r="N744" s="29"/>
      <c r="O744" s="29"/>
      <c r="P744" s="32"/>
      <c r="Q744" s="40"/>
      <c r="R744" s="4"/>
      <c r="S744" s="4"/>
      <c r="T744" s="4"/>
      <c r="U744" s="4"/>
      <c r="V744" s="4"/>
      <c r="W744" s="4"/>
      <c r="X744" s="4"/>
    </row>
    <row x14ac:dyDescent="0.25" r="745" customHeight="1" ht="12.75">
      <c r="A745" s="4"/>
      <c r="B745" s="29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29"/>
      <c r="N745" s="29"/>
      <c r="O745" s="29"/>
      <c r="P745" s="32"/>
      <c r="Q745" s="40"/>
      <c r="R745" s="4"/>
      <c r="S745" s="4"/>
      <c r="T745" s="4"/>
      <c r="U745" s="4"/>
      <c r="V745" s="4"/>
      <c r="W745" s="4"/>
      <c r="X745" s="4"/>
    </row>
    <row x14ac:dyDescent="0.25" r="746" customHeight="1" ht="12.75">
      <c r="A746" s="4"/>
      <c r="B746" s="29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29"/>
      <c r="N746" s="29"/>
      <c r="O746" s="29"/>
      <c r="P746" s="32"/>
      <c r="Q746" s="40"/>
      <c r="R746" s="4"/>
      <c r="S746" s="4"/>
      <c r="T746" s="4"/>
      <c r="U746" s="4"/>
      <c r="V746" s="4"/>
      <c r="W746" s="4"/>
      <c r="X746" s="4"/>
    </row>
    <row x14ac:dyDescent="0.25" r="747" customHeight="1" ht="12.75">
      <c r="A747" s="4"/>
      <c r="B747" s="29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29"/>
      <c r="N747" s="29"/>
      <c r="O747" s="29"/>
      <c r="P747" s="32"/>
      <c r="Q747" s="40"/>
      <c r="R747" s="4"/>
      <c r="S747" s="4"/>
      <c r="T747" s="4"/>
      <c r="U747" s="4"/>
      <c r="V747" s="4"/>
      <c r="W747" s="4"/>
      <c r="X747" s="4"/>
    </row>
    <row x14ac:dyDescent="0.25" r="748" customHeight="1" ht="12.75">
      <c r="A748" s="4"/>
      <c r="B748" s="29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29"/>
      <c r="N748" s="29"/>
      <c r="O748" s="29"/>
      <c r="P748" s="32"/>
      <c r="Q748" s="40"/>
      <c r="R748" s="4"/>
      <c r="S748" s="4"/>
      <c r="T748" s="4"/>
      <c r="U748" s="4"/>
      <c r="V748" s="4"/>
      <c r="W748" s="4"/>
      <c r="X748" s="4"/>
    </row>
    <row x14ac:dyDescent="0.25" r="749" customHeight="1" ht="12.75">
      <c r="A749" s="4"/>
      <c r="B749" s="29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29"/>
      <c r="N749" s="29"/>
      <c r="O749" s="29"/>
      <c r="P749" s="32"/>
      <c r="Q749" s="40"/>
      <c r="R749" s="4"/>
      <c r="S749" s="4"/>
      <c r="T749" s="4"/>
      <c r="U749" s="4"/>
      <c r="V749" s="4"/>
      <c r="W749" s="4"/>
      <c r="X749" s="4"/>
    </row>
    <row x14ac:dyDescent="0.25" r="750" customHeight="1" ht="12.75">
      <c r="A750" s="4"/>
      <c r="B750" s="29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29"/>
      <c r="N750" s="29"/>
      <c r="O750" s="29"/>
      <c r="P750" s="32"/>
      <c r="Q750" s="40"/>
      <c r="R750" s="4"/>
      <c r="S750" s="4"/>
      <c r="T750" s="4"/>
      <c r="U750" s="4"/>
      <c r="V750" s="4"/>
      <c r="W750" s="4"/>
      <c r="X750" s="4"/>
    </row>
    <row x14ac:dyDescent="0.25" r="751" customHeight="1" ht="12.75">
      <c r="A751" s="4"/>
      <c r="B751" s="29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29"/>
      <c r="N751" s="29"/>
      <c r="O751" s="29"/>
      <c r="P751" s="32"/>
      <c r="Q751" s="40"/>
      <c r="R751" s="4"/>
      <c r="S751" s="4"/>
      <c r="T751" s="4"/>
      <c r="U751" s="4"/>
      <c r="V751" s="4"/>
      <c r="W751" s="4"/>
      <c r="X751" s="4"/>
    </row>
    <row x14ac:dyDescent="0.25" r="752" customHeight="1" ht="12.75">
      <c r="A752" s="4"/>
      <c r="B752" s="29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29"/>
      <c r="N752" s="29"/>
      <c r="O752" s="29"/>
      <c r="P752" s="32"/>
      <c r="Q752" s="40"/>
      <c r="R752" s="4"/>
      <c r="S752" s="4"/>
      <c r="T752" s="4"/>
      <c r="U752" s="4"/>
      <c r="V752" s="4"/>
      <c r="W752" s="4"/>
      <c r="X752" s="4"/>
    </row>
    <row x14ac:dyDescent="0.25" r="753" customHeight="1" ht="12.75">
      <c r="A753" s="4"/>
      <c r="B753" s="29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29"/>
      <c r="N753" s="29"/>
      <c r="O753" s="29"/>
      <c r="P753" s="32"/>
      <c r="Q753" s="40"/>
      <c r="R753" s="4"/>
      <c r="S753" s="4"/>
      <c r="T753" s="4"/>
      <c r="U753" s="4"/>
      <c r="V753" s="4"/>
      <c r="W753" s="4"/>
      <c r="X753" s="4"/>
    </row>
    <row x14ac:dyDescent="0.25" r="754" customHeight="1" ht="12.75">
      <c r="A754" s="4"/>
      <c r="B754" s="29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29"/>
      <c r="N754" s="29"/>
      <c r="O754" s="29"/>
      <c r="P754" s="32"/>
      <c r="Q754" s="40"/>
      <c r="R754" s="4"/>
      <c r="S754" s="4"/>
      <c r="T754" s="4"/>
      <c r="U754" s="4"/>
      <c r="V754" s="4"/>
      <c r="W754" s="4"/>
      <c r="X754" s="4"/>
    </row>
    <row x14ac:dyDescent="0.25" r="755" customHeight="1" ht="12.75">
      <c r="A755" s="4"/>
      <c r="B755" s="29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29"/>
      <c r="N755" s="29"/>
      <c r="O755" s="29"/>
      <c r="P755" s="32"/>
      <c r="Q755" s="40"/>
      <c r="R755" s="4"/>
      <c r="S755" s="4"/>
      <c r="T755" s="4"/>
      <c r="U755" s="4"/>
      <c r="V755" s="4"/>
      <c r="W755" s="4"/>
      <c r="X755" s="4"/>
    </row>
    <row x14ac:dyDescent="0.25" r="756" customHeight="1" ht="12.75">
      <c r="A756" s="4"/>
      <c r="B756" s="29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29"/>
      <c r="N756" s="29"/>
      <c r="O756" s="29"/>
      <c r="P756" s="32"/>
      <c r="Q756" s="40"/>
      <c r="R756" s="4"/>
      <c r="S756" s="4"/>
      <c r="T756" s="4"/>
      <c r="U756" s="4"/>
      <c r="V756" s="4"/>
      <c r="W756" s="4"/>
      <c r="X756" s="4"/>
    </row>
    <row x14ac:dyDescent="0.25" r="757" customHeight="1" ht="12.75">
      <c r="A757" s="4"/>
      <c r="B757" s="29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29"/>
      <c r="N757" s="29"/>
      <c r="O757" s="29"/>
      <c r="P757" s="32"/>
      <c r="Q757" s="40"/>
      <c r="R757" s="4"/>
      <c r="S757" s="4"/>
      <c r="T757" s="4"/>
      <c r="U757" s="4"/>
      <c r="V757" s="4"/>
      <c r="W757" s="4"/>
      <c r="X757" s="4"/>
    </row>
    <row x14ac:dyDescent="0.25" r="758" customHeight="1" ht="12.75">
      <c r="A758" s="4"/>
      <c r="B758" s="29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29"/>
      <c r="N758" s="29"/>
      <c r="O758" s="29"/>
      <c r="P758" s="32"/>
      <c r="Q758" s="40"/>
      <c r="R758" s="4"/>
      <c r="S758" s="4"/>
      <c r="T758" s="4"/>
      <c r="U758" s="4"/>
      <c r="V758" s="4"/>
      <c r="W758" s="4"/>
      <c r="X758" s="4"/>
    </row>
    <row x14ac:dyDescent="0.25" r="759" customHeight="1" ht="12.75">
      <c r="A759" s="4"/>
      <c r="B759" s="29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29"/>
      <c r="N759" s="29"/>
      <c r="O759" s="29"/>
      <c r="P759" s="32"/>
      <c r="Q759" s="40"/>
      <c r="R759" s="4"/>
      <c r="S759" s="4"/>
      <c r="T759" s="4"/>
      <c r="U759" s="4"/>
      <c r="V759" s="4"/>
      <c r="W759" s="4"/>
      <c r="X759" s="4"/>
    </row>
    <row x14ac:dyDescent="0.25" r="760" customHeight="1" ht="12.75">
      <c r="A760" s="4"/>
      <c r="B760" s="29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29"/>
      <c r="N760" s="29"/>
      <c r="O760" s="29"/>
      <c r="P760" s="32"/>
      <c r="Q760" s="40"/>
      <c r="R760" s="4"/>
      <c r="S760" s="4"/>
      <c r="T760" s="4"/>
      <c r="U760" s="4"/>
      <c r="V760" s="4"/>
      <c r="W760" s="4"/>
      <c r="X760" s="4"/>
    </row>
    <row x14ac:dyDescent="0.25" r="761" customHeight="1" ht="12.75">
      <c r="A761" s="4"/>
      <c r="B761" s="29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29"/>
      <c r="N761" s="29"/>
      <c r="O761" s="29"/>
      <c r="P761" s="32"/>
      <c r="Q761" s="40"/>
      <c r="R761" s="4"/>
      <c r="S761" s="4"/>
      <c r="T761" s="4"/>
      <c r="U761" s="4"/>
      <c r="V761" s="4"/>
      <c r="W761" s="4"/>
      <c r="X761" s="4"/>
    </row>
    <row x14ac:dyDescent="0.25" r="762" customHeight="1" ht="12.75">
      <c r="A762" s="4"/>
      <c r="B762" s="29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29"/>
      <c r="N762" s="29"/>
      <c r="O762" s="29"/>
      <c r="P762" s="32"/>
      <c r="Q762" s="40"/>
      <c r="R762" s="4"/>
      <c r="S762" s="4"/>
      <c r="T762" s="4"/>
      <c r="U762" s="4"/>
      <c r="V762" s="4"/>
      <c r="W762" s="4"/>
      <c r="X762" s="4"/>
    </row>
    <row x14ac:dyDescent="0.25" r="763" customHeight="1" ht="12.75">
      <c r="A763" s="4"/>
      <c r="B763" s="29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29"/>
      <c r="N763" s="29"/>
      <c r="O763" s="29"/>
      <c r="P763" s="32"/>
      <c r="Q763" s="40"/>
      <c r="R763" s="4"/>
      <c r="S763" s="4"/>
      <c r="T763" s="4"/>
      <c r="U763" s="4"/>
      <c r="V763" s="4"/>
      <c r="W763" s="4"/>
      <c r="X763" s="4"/>
    </row>
    <row x14ac:dyDescent="0.25" r="764" customHeight="1" ht="12.75">
      <c r="A764" s="4"/>
      <c r="B764" s="29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29"/>
      <c r="N764" s="29"/>
      <c r="O764" s="29"/>
      <c r="P764" s="32"/>
      <c r="Q764" s="40"/>
      <c r="R764" s="4"/>
      <c r="S764" s="4"/>
      <c r="T764" s="4"/>
      <c r="U764" s="4"/>
      <c r="V764" s="4"/>
      <c r="W764" s="4"/>
      <c r="X764" s="4"/>
    </row>
    <row x14ac:dyDescent="0.25" r="765" customHeight="1" ht="12.75">
      <c r="A765" s="4"/>
      <c r="B765" s="29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29"/>
      <c r="N765" s="29"/>
      <c r="O765" s="29"/>
      <c r="P765" s="32"/>
      <c r="Q765" s="40"/>
      <c r="R765" s="4"/>
      <c r="S765" s="4"/>
      <c r="T765" s="4"/>
      <c r="U765" s="4"/>
      <c r="V765" s="4"/>
      <c r="W765" s="4"/>
      <c r="X765" s="4"/>
    </row>
    <row x14ac:dyDescent="0.25" r="766" customHeight="1" ht="12.75">
      <c r="A766" s="4"/>
      <c r="B766" s="29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29"/>
      <c r="N766" s="29"/>
      <c r="O766" s="29"/>
      <c r="P766" s="32"/>
      <c r="Q766" s="40"/>
      <c r="R766" s="4"/>
      <c r="S766" s="4"/>
      <c r="T766" s="4"/>
      <c r="U766" s="4"/>
      <c r="V766" s="4"/>
      <c r="W766" s="4"/>
      <c r="X766" s="4"/>
    </row>
    <row x14ac:dyDescent="0.25" r="767" customHeight="1" ht="12.75">
      <c r="A767" s="4"/>
      <c r="B767" s="29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29"/>
      <c r="N767" s="29"/>
      <c r="O767" s="29"/>
      <c r="P767" s="32"/>
      <c r="Q767" s="40"/>
      <c r="R767" s="4"/>
      <c r="S767" s="4"/>
      <c r="T767" s="4"/>
      <c r="U767" s="4"/>
      <c r="V767" s="4"/>
      <c r="W767" s="4"/>
      <c r="X767" s="4"/>
    </row>
    <row x14ac:dyDescent="0.25" r="768" customHeight="1" ht="12.75">
      <c r="A768" s="4"/>
      <c r="B768" s="29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29"/>
      <c r="N768" s="29"/>
      <c r="O768" s="29"/>
      <c r="P768" s="32"/>
      <c r="Q768" s="40"/>
      <c r="R768" s="4"/>
      <c r="S768" s="4"/>
      <c r="T768" s="4"/>
      <c r="U768" s="4"/>
      <c r="V768" s="4"/>
      <c r="W768" s="4"/>
      <c r="X768" s="4"/>
    </row>
    <row x14ac:dyDescent="0.25" r="769" customHeight="1" ht="12.75">
      <c r="A769" s="4"/>
      <c r="B769" s="29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29"/>
      <c r="N769" s="29"/>
      <c r="O769" s="29"/>
      <c r="P769" s="32"/>
      <c r="Q769" s="40"/>
      <c r="R769" s="4"/>
      <c r="S769" s="4"/>
      <c r="T769" s="4"/>
      <c r="U769" s="4"/>
      <c r="V769" s="4"/>
      <c r="W769" s="4"/>
      <c r="X769" s="4"/>
    </row>
    <row x14ac:dyDescent="0.25" r="770" customHeight="1" ht="12.75">
      <c r="A770" s="4"/>
      <c r="B770" s="29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29"/>
      <c r="N770" s="29"/>
      <c r="O770" s="29"/>
      <c r="P770" s="32"/>
      <c r="Q770" s="40"/>
      <c r="R770" s="4"/>
      <c r="S770" s="4"/>
      <c r="T770" s="4"/>
      <c r="U770" s="4"/>
      <c r="V770" s="4"/>
      <c r="W770" s="4"/>
      <c r="X770" s="4"/>
    </row>
    <row x14ac:dyDescent="0.25" r="771" customHeight="1" ht="12.75">
      <c r="A771" s="4"/>
      <c r="B771" s="29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29"/>
      <c r="N771" s="29"/>
      <c r="O771" s="29"/>
      <c r="P771" s="32"/>
      <c r="Q771" s="40"/>
      <c r="R771" s="4"/>
      <c r="S771" s="4"/>
      <c r="T771" s="4"/>
      <c r="U771" s="4"/>
      <c r="V771" s="4"/>
      <c r="W771" s="4"/>
      <c r="X771" s="4"/>
    </row>
    <row x14ac:dyDescent="0.25" r="772" customHeight="1" ht="12.75">
      <c r="A772" s="4"/>
      <c r="B772" s="29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29"/>
      <c r="N772" s="29"/>
      <c r="O772" s="29"/>
      <c r="P772" s="32"/>
      <c r="Q772" s="40"/>
      <c r="R772" s="4"/>
      <c r="S772" s="4"/>
      <c r="T772" s="4"/>
      <c r="U772" s="4"/>
      <c r="V772" s="4"/>
      <c r="W772" s="4"/>
      <c r="X772" s="4"/>
    </row>
    <row x14ac:dyDescent="0.25" r="773" customHeight="1" ht="12.75">
      <c r="A773" s="4"/>
      <c r="B773" s="29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29"/>
      <c r="N773" s="29"/>
      <c r="O773" s="29"/>
      <c r="P773" s="32"/>
      <c r="Q773" s="40"/>
      <c r="R773" s="4"/>
      <c r="S773" s="4"/>
      <c r="T773" s="4"/>
      <c r="U773" s="4"/>
      <c r="V773" s="4"/>
      <c r="W773" s="4"/>
      <c r="X773" s="4"/>
    </row>
    <row x14ac:dyDescent="0.25" r="774" customHeight="1" ht="12.75">
      <c r="A774" s="4"/>
      <c r="B774" s="29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29"/>
      <c r="N774" s="29"/>
      <c r="O774" s="29"/>
      <c r="P774" s="32"/>
      <c r="Q774" s="40"/>
      <c r="R774" s="4"/>
      <c r="S774" s="4"/>
      <c r="T774" s="4"/>
      <c r="U774" s="4"/>
      <c r="V774" s="4"/>
      <c r="W774" s="4"/>
      <c r="X774" s="4"/>
    </row>
    <row x14ac:dyDescent="0.25" r="775" customHeight="1" ht="12.75">
      <c r="A775" s="4"/>
      <c r="B775" s="29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29"/>
      <c r="N775" s="29"/>
      <c r="O775" s="29"/>
      <c r="P775" s="32"/>
      <c r="Q775" s="40"/>
      <c r="R775" s="4"/>
      <c r="S775" s="4"/>
      <c r="T775" s="4"/>
      <c r="U775" s="4"/>
      <c r="V775" s="4"/>
      <c r="W775" s="4"/>
      <c r="X775" s="4"/>
    </row>
    <row x14ac:dyDescent="0.25" r="776" customHeight="1" ht="12.75">
      <c r="A776" s="4"/>
      <c r="B776" s="29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29"/>
      <c r="N776" s="29"/>
      <c r="O776" s="29"/>
      <c r="P776" s="32"/>
      <c r="Q776" s="40"/>
      <c r="R776" s="4"/>
      <c r="S776" s="4"/>
      <c r="T776" s="4"/>
      <c r="U776" s="4"/>
      <c r="V776" s="4"/>
      <c r="W776" s="4"/>
      <c r="X776" s="4"/>
    </row>
    <row x14ac:dyDescent="0.25" r="777" customHeight="1" ht="12.75">
      <c r="A777" s="4"/>
      <c r="B777" s="29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29"/>
      <c r="N777" s="29"/>
      <c r="O777" s="29"/>
      <c r="P777" s="32"/>
      <c r="Q777" s="40"/>
      <c r="R777" s="4"/>
      <c r="S777" s="4"/>
      <c r="T777" s="4"/>
      <c r="U777" s="4"/>
      <c r="V777" s="4"/>
      <c r="W777" s="4"/>
      <c r="X777" s="4"/>
    </row>
    <row x14ac:dyDescent="0.25" r="778" customHeight="1" ht="12.75">
      <c r="A778" s="4"/>
      <c r="B778" s="29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29"/>
      <c r="N778" s="29"/>
      <c r="O778" s="29"/>
      <c r="P778" s="32"/>
      <c r="Q778" s="40"/>
      <c r="R778" s="4"/>
      <c r="S778" s="4"/>
      <c r="T778" s="4"/>
      <c r="U778" s="4"/>
      <c r="V778" s="4"/>
      <c r="W778" s="4"/>
      <c r="X778" s="4"/>
    </row>
    <row x14ac:dyDescent="0.25" r="779" customHeight="1" ht="12.75">
      <c r="A779" s="4"/>
      <c r="B779" s="29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29"/>
      <c r="N779" s="29"/>
      <c r="O779" s="29"/>
      <c r="P779" s="32"/>
      <c r="Q779" s="40"/>
      <c r="R779" s="4"/>
      <c r="S779" s="4"/>
      <c r="T779" s="4"/>
      <c r="U779" s="4"/>
      <c r="V779" s="4"/>
      <c r="W779" s="4"/>
      <c r="X779" s="4"/>
    </row>
    <row x14ac:dyDescent="0.25" r="780" customHeight="1" ht="12.75">
      <c r="A780" s="4"/>
      <c r="B780" s="29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29"/>
      <c r="N780" s="29"/>
      <c r="O780" s="29"/>
      <c r="P780" s="32"/>
      <c r="Q780" s="40"/>
      <c r="R780" s="4"/>
      <c r="S780" s="4"/>
      <c r="T780" s="4"/>
      <c r="U780" s="4"/>
      <c r="V780" s="4"/>
      <c r="W780" s="4"/>
      <c r="X780" s="4"/>
    </row>
    <row x14ac:dyDescent="0.25" r="781" customHeight="1" ht="12.75">
      <c r="A781" s="4"/>
      <c r="B781" s="29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29"/>
      <c r="N781" s="29"/>
      <c r="O781" s="29"/>
      <c r="P781" s="32"/>
      <c r="Q781" s="40"/>
      <c r="R781" s="4"/>
      <c r="S781" s="4"/>
      <c r="T781" s="4"/>
      <c r="U781" s="4"/>
      <c r="V781" s="4"/>
      <c r="W781" s="4"/>
      <c r="X781" s="4"/>
    </row>
    <row x14ac:dyDescent="0.25" r="782" customHeight="1" ht="12.75">
      <c r="A782" s="4"/>
      <c r="B782" s="29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29"/>
      <c r="N782" s="29"/>
      <c r="O782" s="29"/>
      <c r="P782" s="32"/>
      <c r="Q782" s="40"/>
      <c r="R782" s="4"/>
      <c r="S782" s="4"/>
      <c r="T782" s="4"/>
      <c r="U782" s="4"/>
      <c r="V782" s="4"/>
      <c r="W782" s="4"/>
      <c r="X782" s="4"/>
    </row>
    <row x14ac:dyDescent="0.25" r="783" customHeight="1" ht="12.75">
      <c r="A783" s="4"/>
      <c r="B783" s="29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29"/>
      <c r="N783" s="29"/>
      <c r="O783" s="29"/>
      <c r="P783" s="32"/>
      <c r="Q783" s="40"/>
      <c r="R783" s="4"/>
      <c r="S783" s="4"/>
      <c r="T783" s="4"/>
      <c r="U783" s="4"/>
      <c r="V783" s="4"/>
      <c r="W783" s="4"/>
      <c r="X783" s="4"/>
    </row>
    <row x14ac:dyDescent="0.25" r="784" customHeight="1" ht="12.75">
      <c r="A784" s="4"/>
      <c r="B784" s="29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29"/>
      <c r="N784" s="29"/>
      <c r="O784" s="29"/>
      <c r="P784" s="32"/>
      <c r="Q784" s="40"/>
      <c r="R784" s="4"/>
      <c r="S784" s="4"/>
      <c r="T784" s="4"/>
      <c r="U784" s="4"/>
      <c r="V784" s="4"/>
      <c r="W784" s="4"/>
      <c r="X784" s="4"/>
    </row>
    <row x14ac:dyDescent="0.25" r="785" customHeight="1" ht="12.75">
      <c r="A785" s="4"/>
      <c r="B785" s="29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29"/>
      <c r="N785" s="29"/>
      <c r="O785" s="29"/>
      <c r="P785" s="32"/>
      <c r="Q785" s="40"/>
      <c r="R785" s="4"/>
      <c r="S785" s="4"/>
      <c r="T785" s="4"/>
      <c r="U785" s="4"/>
      <c r="V785" s="4"/>
      <c r="W785" s="4"/>
      <c r="X785" s="4"/>
    </row>
    <row x14ac:dyDescent="0.25" r="786" customHeight="1" ht="12.75">
      <c r="A786" s="4"/>
      <c r="B786" s="29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29"/>
      <c r="N786" s="29"/>
      <c r="O786" s="29"/>
      <c r="P786" s="32"/>
      <c r="Q786" s="40"/>
      <c r="R786" s="4"/>
      <c r="S786" s="4"/>
      <c r="T786" s="4"/>
      <c r="U786" s="4"/>
      <c r="V786" s="4"/>
      <c r="W786" s="4"/>
      <c r="X786" s="4"/>
    </row>
    <row x14ac:dyDescent="0.25" r="787" customHeight="1" ht="12.75">
      <c r="A787" s="4"/>
      <c r="B787" s="29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29"/>
      <c r="N787" s="29"/>
      <c r="O787" s="29"/>
      <c r="P787" s="32"/>
      <c r="Q787" s="40"/>
      <c r="R787" s="4"/>
      <c r="S787" s="4"/>
      <c r="T787" s="4"/>
      <c r="U787" s="4"/>
      <c r="V787" s="4"/>
      <c r="W787" s="4"/>
      <c r="X787" s="4"/>
    </row>
    <row x14ac:dyDescent="0.25" r="788" customHeight="1" ht="12.75">
      <c r="A788" s="4"/>
      <c r="B788" s="29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29"/>
      <c r="N788" s="29"/>
      <c r="O788" s="29"/>
      <c r="P788" s="32"/>
      <c r="Q788" s="40"/>
      <c r="R788" s="4"/>
      <c r="S788" s="4"/>
      <c r="T788" s="4"/>
      <c r="U788" s="4"/>
      <c r="V788" s="4"/>
      <c r="W788" s="4"/>
      <c r="X788" s="4"/>
    </row>
    <row x14ac:dyDescent="0.25" r="789" customHeight="1" ht="12.75">
      <c r="A789" s="4"/>
      <c r="B789" s="29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29"/>
      <c r="N789" s="29"/>
      <c r="O789" s="29"/>
      <c r="P789" s="32"/>
      <c r="Q789" s="40"/>
      <c r="R789" s="4"/>
      <c r="S789" s="4"/>
      <c r="T789" s="4"/>
      <c r="U789" s="4"/>
      <c r="V789" s="4"/>
      <c r="W789" s="4"/>
      <c r="X789" s="4"/>
    </row>
    <row x14ac:dyDescent="0.25" r="790" customHeight="1" ht="12.75">
      <c r="A790" s="4"/>
      <c r="B790" s="29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29"/>
      <c r="N790" s="29"/>
      <c r="O790" s="29"/>
      <c r="P790" s="32"/>
      <c r="Q790" s="40"/>
      <c r="R790" s="4"/>
      <c r="S790" s="4"/>
      <c r="T790" s="4"/>
      <c r="U790" s="4"/>
      <c r="V790" s="4"/>
      <c r="W790" s="4"/>
      <c r="X790" s="4"/>
    </row>
    <row x14ac:dyDescent="0.25" r="791" customHeight="1" ht="12.75">
      <c r="A791" s="4"/>
      <c r="B791" s="29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29"/>
      <c r="N791" s="29"/>
      <c r="O791" s="29"/>
      <c r="P791" s="32"/>
      <c r="Q791" s="40"/>
      <c r="R791" s="4"/>
      <c r="S791" s="4"/>
      <c r="T791" s="4"/>
      <c r="U791" s="4"/>
      <c r="V791" s="4"/>
      <c r="W791" s="4"/>
      <c r="X791" s="4"/>
    </row>
    <row x14ac:dyDescent="0.25" r="792" customHeight="1" ht="12.75">
      <c r="A792" s="4"/>
      <c r="B792" s="29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29"/>
      <c r="N792" s="29"/>
      <c r="O792" s="29"/>
      <c r="P792" s="32"/>
      <c r="Q792" s="40"/>
      <c r="R792" s="4"/>
      <c r="S792" s="4"/>
      <c r="T792" s="4"/>
      <c r="U792" s="4"/>
      <c r="V792" s="4"/>
      <c r="W792" s="4"/>
      <c r="X792" s="4"/>
    </row>
    <row x14ac:dyDescent="0.25" r="793" customHeight="1" ht="12.75">
      <c r="A793" s="4"/>
      <c r="B793" s="29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29"/>
      <c r="N793" s="29"/>
      <c r="O793" s="29"/>
      <c r="P793" s="32"/>
      <c r="Q793" s="40"/>
      <c r="R793" s="4"/>
      <c r="S793" s="4"/>
      <c r="T793" s="4"/>
      <c r="U793" s="4"/>
      <c r="V793" s="4"/>
      <c r="W793" s="4"/>
      <c r="X793" s="4"/>
    </row>
    <row x14ac:dyDescent="0.25" r="794" customHeight="1" ht="12.75">
      <c r="A794" s="4"/>
      <c r="B794" s="29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29"/>
      <c r="N794" s="29"/>
      <c r="O794" s="29"/>
      <c r="P794" s="32"/>
      <c r="Q794" s="40"/>
      <c r="R794" s="4"/>
      <c r="S794" s="4"/>
      <c r="T794" s="4"/>
      <c r="U794" s="4"/>
      <c r="V794" s="4"/>
      <c r="W794" s="4"/>
      <c r="X794" s="4"/>
    </row>
    <row x14ac:dyDescent="0.25" r="795" customHeight="1" ht="12.75">
      <c r="A795" s="4"/>
      <c r="B795" s="29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29"/>
      <c r="N795" s="29"/>
      <c r="O795" s="29"/>
      <c r="P795" s="32"/>
      <c r="Q795" s="40"/>
      <c r="R795" s="4"/>
      <c r="S795" s="4"/>
      <c r="T795" s="4"/>
      <c r="U795" s="4"/>
      <c r="V795" s="4"/>
      <c r="W795" s="4"/>
      <c r="X795" s="4"/>
    </row>
    <row x14ac:dyDescent="0.25" r="796" customHeight="1" ht="12.75">
      <c r="A796" s="4"/>
      <c r="B796" s="29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29"/>
      <c r="N796" s="29"/>
      <c r="O796" s="29"/>
      <c r="P796" s="32"/>
      <c r="Q796" s="40"/>
      <c r="R796" s="4"/>
      <c r="S796" s="4"/>
      <c r="T796" s="4"/>
      <c r="U796" s="4"/>
      <c r="V796" s="4"/>
      <c r="W796" s="4"/>
      <c r="X796" s="4"/>
    </row>
    <row x14ac:dyDescent="0.25" r="797" customHeight="1" ht="12.75">
      <c r="A797" s="4"/>
      <c r="B797" s="29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29"/>
      <c r="N797" s="29"/>
      <c r="O797" s="29"/>
      <c r="P797" s="32"/>
      <c r="Q797" s="40"/>
      <c r="R797" s="4"/>
      <c r="S797" s="4"/>
      <c r="T797" s="4"/>
      <c r="U797" s="4"/>
      <c r="V797" s="4"/>
      <c r="W797" s="4"/>
      <c r="X797" s="4"/>
    </row>
    <row x14ac:dyDescent="0.25" r="798" customHeight="1" ht="12.75">
      <c r="A798" s="4"/>
      <c r="B798" s="29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29"/>
      <c r="N798" s="29"/>
      <c r="O798" s="29"/>
      <c r="P798" s="32"/>
      <c r="Q798" s="40"/>
      <c r="R798" s="4"/>
      <c r="S798" s="4"/>
      <c r="T798" s="4"/>
      <c r="U798" s="4"/>
      <c r="V798" s="4"/>
      <c r="W798" s="4"/>
      <c r="X798" s="4"/>
    </row>
    <row x14ac:dyDescent="0.25" r="799" customHeight="1" ht="12.75">
      <c r="A799" s="4"/>
      <c r="B799" s="29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29"/>
      <c r="N799" s="29"/>
      <c r="O799" s="29"/>
      <c r="P799" s="32"/>
      <c r="Q799" s="40"/>
      <c r="R799" s="4"/>
      <c r="S799" s="4"/>
      <c r="T799" s="4"/>
      <c r="U799" s="4"/>
      <c r="V799" s="4"/>
      <c r="W799" s="4"/>
      <c r="X799" s="4"/>
    </row>
    <row x14ac:dyDescent="0.25" r="800" customHeight="1" ht="12.75">
      <c r="A800" s="4"/>
      <c r="B800" s="29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29"/>
      <c r="N800" s="29"/>
      <c r="O800" s="29"/>
      <c r="P800" s="32"/>
      <c r="Q800" s="40"/>
      <c r="R800" s="4"/>
      <c r="S800" s="4"/>
      <c r="T800" s="4"/>
      <c r="U800" s="4"/>
      <c r="V800" s="4"/>
      <c r="W800" s="4"/>
      <c r="X800" s="4"/>
    </row>
    <row x14ac:dyDescent="0.25" r="801" customHeight="1" ht="12.75">
      <c r="A801" s="4"/>
      <c r="B801" s="29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29"/>
      <c r="N801" s="29"/>
      <c r="O801" s="29"/>
      <c r="P801" s="32"/>
      <c r="Q801" s="40"/>
      <c r="R801" s="4"/>
      <c r="S801" s="4"/>
      <c r="T801" s="4"/>
      <c r="U801" s="4"/>
      <c r="V801" s="4"/>
      <c r="W801" s="4"/>
      <c r="X801" s="4"/>
    </row>
    <row x14ac:dyDescent="0.25" r="802" customHeight="1" ht="12.75">
      <c r="A802" s="4"/>
      <c r="B802" s="29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29"/>
      <c r="N802" s="29"/>
      <c r="O802" s="29"/>
      <c r="P802" s="32"/>
      <c r="Q802" s="40"/>
      <c r="R802" s="4"/>
      <c r="S802" s="4"/>
      <c r="T802" s="4"/>
      <c r="U802" s="4"/>
      <c r="V802" s="4"/>
      <c r="W802" s="4"/>
      <c r="X802" s="4"/>
    </row>
    <row x14ac:dyDescent="0.25" r="803" customHeight="1" ht="12.75">
      <c r="A803" s="4"/>
      <c r="B803" s="29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29"/>
      <c r="N803" s="29"/>
      <c r="O803" s="29"/>
      <c r="P803" s="32"/>
      <c r="Q803" s="40"/>
      <c r="R803" s="4"/>
      <c r="S803" s="4"/>
      <c r="T803" s="4"/>
      <c r="U803" s="4"/>
      <c r="V803" s="4"/>
      <c r="W803" s="4"/>
      <c r="X803" s="4"/>
    </row>
    <row x14ac:dyDescent="0.25" r="804" customHeight="1" ht="12.75">
      <c r="A804" s="4"/>
      <c r="B804" s="29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29"/>
      <c r="N804" s="29"/>
      <c r="O804" s="29"/>
      <c r="P804" s="32"/>
      <c r="Q804" s="40"/>
      <c r="R804" s="4"/>
      <c r="S804" s="4"/>
      <c r="T804" s="4"/>
      <c r="U804" s="4"/>
      <c r="V804" s="4"/>
      <c r="W804" s="4"/>
      <c r="X804" s="4"/>
    </row>
    <row x14ac:dyDescent="0.25" r="805" customHeight="1" ht="12.75">
      <c r="A805" s="4"/>
      <c r="B805" s="29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29"/>
      <c r="N805" s="29"/>
      <c r="O805" s="29"/>
      <c r="P805" s="32"/>
      <c r="Q805" s="40"/>
      <c r="R805" s="4"/>
      <c r="S805" s="4"/>
      <c r="T805" s="4"/>
      <c r="U805" s="4"/>
      <c r="V805" s="4"/>
      <c r="W805" s="4"/>
      <c r="X805" s="4"/>
    </row>
    <row x14ac:dyDescent="0.25" r="806" customHeight="1" ht="12.75">
      <c r="A806" s="4"/>
      <c r="B806" s="29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29"/>
      <c r="N806" s="29"/>
      <c r="O806" s="29"/>
      <c r="P806" s="32"/>
      <c r="Q806" s="40"/>
      <c r="R806" s="4"/>
      <c r="S806" s="4"/>
      <c r="T806" s="4"/>
      <c r="U806" s="4"/>
      <c r="V806" s="4"/>
      <c r="W806" s="4"/>
      <c r="X806" s="4"/>
    </row>
    <row x14ac:dyDescent="0.25" r="807" customHeight="1" ht="12.75">
      <c r="A807" s="4"/>
      <c r="B807" s="29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29"/>
      <c r="N807" s="29"/>
      <c r="O807" s="29"/>
      <c r="P807" s="32"/>
      <c r="Q807" s="40"/>
      <c r="R807" s="4"/>
      <c r="S807" s="4"/>
      <c r="T807" s="4"/>
      <c r="U807" s="4"/>
      <c r="V807" s="4"/>
      <c r="W807" s="4"/>
      <c r="X807" s="4"/>
    </row>
    <row x14ac:dyDescent="0.25" r="808" customHeight="1" ht="12.75">
      <c r="A808" s="4"/>
      <c r="B808" s="29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29"/>
      <c r="N808" s="29"/>
      <c r="O808" s="29"/>
      <c r="P808" s="32"/>
      <c r="Q808" s="40"/>
      <c r="R808" s="4"/>
      <c r="S808" s="4"/>
      <c r="T808" s="4"/>
      <c r="U808" s="4"/>
      <c r="V808" s="4"/>
      <c r="W808" s="4"/>
      <c r="X808" s="4"/>
    </row>
    <row x14ac:dyDescent="0.25" r="809" customHeight="1" ht="12.75">
      <c r="A809" s="4"/>
      <c r="B809" s="29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29"/>
      <c r="N809" s="29"/>
      <c r="O809" s="29"/>
      <c r="P809" s="32"/>
      <c r="Q809" s="40"/>
      <c r="R809" s="4"/>
      <c r="S809" s="4"/>
      <c r="T809" s="4"/>
      <c r="U809" s="4"/>
      <c r="V809" s="4"/>
      <c r="W809" s="4"/>
      <c r="X809" s="4"/>
    </row>
    <row x14ac:dyDescent="0.25" r="810" customHeight="1" ht="12.75">
      <c r="A810" s="4"/>
      <c r="B810" s="29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29"/>
      <c r="N810" s="29"/>
      <c r="O810" s="29"/>
      <c r="P810" s="32"/>
      <c r="Q810" s="40"/>
      <c r="R810" s="4"/>
      <c r="S810" s="4"/>
      <c r="T810" s="4"/>
      <c r="U810" s="4"/>
      <c r="V810" s="4"/>
      <c r="W810" s="4"/>
      <c r="X810" s="4"/>
    </row>
    <row x14ac:dyDescent="0.25" r="811" customHeight="1" ht="12.75">
      <c r="A811" s="4"/>
      <c r="B811" s="29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29"/>
      <c r="N811" s="29"/>
      <c r="O811" s="29"/>
      <c r="P811" s="32"/>
      <c r="Q811" s="40"/>
      <c r="R811" s="4"/>
      <c r="S811" s="4"/>
      <c r="T811" s="4"/>
      <c r="U811" s="4"/>
      <c r="V811" s="4"/>
      <c r="W811" s="4"/>
      <c r="X811" s="4"/>
    </row>
    <row x14ac:dyDescent="0.25" r="812" customHeight="1" ht="12.75">
      <c r="A812" s="4"/>
      <c r="B812" s="29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29"/>
      <c r="N812" s="29"/>
      <c r="O812" s="29"/>
      <c r="P812" s="32"/>
      <c r="Q812" s="40"/>
      <c r="R812" s="4"/>
      <c r="S812" s="4"/>
      <c r="T812" s="4"/>
      <c r="U812" s="4"/>
      <c r="V812" s="4"/>
      <c r="W812" s="4"/>
      <c r="X812" s="4"/>
    </row>
    <row x14ac:dyDescent="0.25" r="813" customHeight="1" ht="12.75">
      <c r="A813" s="4"/>
      <c r="B813" s="29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29"/>
      <c r="N813" s="29"/>
      <c r="O813" s="29"/>
      <c r="P813" s="32"/>
      <c r="Q813" s="40"/>
      <c r="R813" s="4"/>
      <c r="S813" s="4"/>
      <c r="T813" s="4"/>
      <c r="U813" s="4"/>
      <c r="V813" s="4"/>
      <c r="W813" s="4"/>
      <c r="X813" s="4"/>
    </row>
    <row x14ac:dyDescent="0.25" r="814" customHeight="1" ht="12.75">
      <c r="A814" s="4"/>
      <c r="B814" s="29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29"/>
      <c r="N814" s="29"/>
      <c r="O814" s="29"/>
      <c r="P814" s="32"/>
      <c r="Q814" s="40"/>
      <c r="R814" s="4"/>
      <c r="S814" s="4"/>
      <c r="T814" s="4"/>
      <c r="U814" s="4"/>
      <c r="V814" s="4"/>
      <c r="W814" s="4"/>
      <c r="X814" s="4"/>
    </row>
    <row x14ac:dyDescent="0.25" r="815" customHeight="1" ht="12.75">
      <c r="A815" s="4"/>
      <c r="B815" s="29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29"/>
      <c r="N815" s="29"/>
      <c r="O815" s="29"/>
      <c r="P815" s="32"/>
      <c r="Q815" s="40"/>
      <c r="R815" s="4"/>
      <c r="S815" s="4"/>
      <c r="T815" s="4"/>
      <c r="U815" s="4"/>
      <c r="V815" s="4"/>
      <c r="W815" s="4"/>
      <c r="X815" s="4"/>
    </row>
    <row x14ac:dyDescent="0.25" r="816" customHeight="1" ht="12.75">
      <c r="A816" s="4"/>
      <c r="B816" s="29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29"/>
      <c r="N816" s="29"/>
      <c r="O816" s="29"/>
      <c r="P816" s="32"/>
      <c r="Q816" s="40"/>
      <c r="R816" s="4"/>
      <c r="S816" s="4"/>
      <c r="T816" s="4"/>
      <c r="U816" s="4"/>
      <c r="V816" s="4"/>
      <c r="W816" s="4"/>
      <c r="X816" s="4"/>
    </row>
    <row x14ac:dyDescent="0.25" r="817" customHeight="1" ht="12.75">
      <c r="A817" s="4"/>
      <c r="B817" s="29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29"/>
      <c r="N817" s="29"/>
      <c r="O817" s="29"/>
      <c r="P817" s="32"/>
      <c r="Q817" s="40"/>
      <c r="R817" s="4"/>
      <c r="S817" s="4"/>
      <c r="T817" s="4"/>
      <c r="U817" s="4"/>
      <c r="V817" s="4"/>
      <c r="W817" s="4"/>
      <c r="X817" s="4"/>
    </row>
    <row x14ac:dyDescent="0.25" r="818" customHeight="1" ht="12.75">
      <c r="A818" s="4"/>
      <c r="B818" s="29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29"/>
      <c r="N818" s="29"/>
      <c r="O818" s="29"/>
      <c r="P818" s="32"/>
      <c r="Q818" s="40"/>
      <c r="R818" s="4"/>
      <c r="S818" s="4"/>
      <c r="T818" s="4"/>
      <c r="U818" s="4"/>
      <c r="V818" s="4"/>
      <c r="W818" s="4"/>
      <c r="X818" s="4"/>
    </row>
    <row x14ac:dyDescent="0.25" r="819" customHeight="1" ht="12.75">
      <c r="A819" s="4"/>
      <c r="B819" s="29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29"/>
      <c r="N819" s="29"/>
      <c r="O819" s="29"/>
      <c r="P819" s="32"/>
      <c r="Q819" s="40"/>
      <c r="R819" s="4"/>
      <c r="S819" s="4"/>
      <c r="T819" s="4"/>
      <c r="U819" s="4"/>
      <c r="V819" s="4"/>
      <c r="W819" s="4"/>
      <c r="X819" s="4"/>
    </row>
    <row x14ac:dyDescent="0.25" r="820" customHeight="1" ht="12.75">
      <c r="A820" s="4"/>
      <c r="B820" s="29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29"/>
      <c r="N820" s="29"/>
      <c r="O820" s="29"/>
      <c r="P820" s="32"/>
      <c r="Q820" s="40"/>
      <c r="R820" s="4"/>
      <c r="S820" s="4"/>
      <c r="T820" s="4"/>
      <c r="U820" s="4"/>
      <c r="V820" s="4"/>
      <c r="W820" s="4"/>
      <c r="X820" s="4"/>
    </row>
    <row x14ac:dyDescent="0.25" r="821" customHeight="1" ht="12.75">
      <c r="A821" s="4"/>
      <c r="B821" s="29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29"/>
      <c r="N821" s="29"/>
      <c r="O821" s="29"/>
      <c r="P821" s="32"/>
      <c r="Q821" s="40"/>
      <c r="R821" s="4"/>
      <c r="S821" s="4"/>
      <c r="T821" s="4"/>
      <c r="U821" s="4"/>
      <c r="V821" s="4"/>
      <c r="W821" s="4"/>
      <c r="X821" s="4"/>
    </row>
    <row x14ac:dyDescent="0.25" r="822" customHeight="1" ht="12.75">
      <c r="A822" s="4"/>
      <c r="B822" s="29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29"/>
      <c r="N822" s="29"/>
      <c r="O822" s="29"/>
      <c r="P822" s="32"/>
      <c r="Q822" s="40"/>
      <c r="R822" s="4"/>
      <c r="S822" s="4"/>
      <c r="T822" s="4"/>
      <c r="U822" s="4"/>
      <c r="V822" s="4"/>
      <c r="W822" s="4"/>
      <c r="X822" s="4"/>
    </row>
    <row x14ac:dyDescent="0.25" r="823" customHeight="1" ht="12.75">
      <c r="A823" s="4"/>
      <c r="B823" s="29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29"/>
      <c r="N823" s="29"/>
      <c r="O823" s="29"/>
      <c r="P823" s="32"/>
      <c r="Q823" s="40"/>
      <c r="R823" s="4"/>
      <c r="S823" s="4"/>
      <c r="T823" s="4"/>
      <c r="U823" s="4"/>
      <c r="V823" s="4"/>
      <c r="W823" s="4"/>
      <c r="X823" s="4"/>
    </row>
    <row x14ac:dyDescent="0.25" r="824" customHeight="1" ht="12.75">
      <c r="A824" s="4"/>
      <c r="B824" s="29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29"/>
      <c r="N824" s="29"/>
      <c r="O824" s="29"/>
      <c r="P824" s="32"/>
      <c r="Q824" s="40"/>
      <c r="R824" s="4"/>
      <c r="S824" s="4"/>
      <c r="T824" s="4"/>
      <c r="U824" s="4"/>
      <c r="V824" s="4"/>
      <c r="W824" s="4"/>
      <c r="X824" s="4"/>
    </row>
    <row x14ac:dyDescent="0.25" r="825" customHeight="1" ht="12.75">
      <c r="A825" s="4"/>
      <c r="B825" s="29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29"/>
      <c r="N825" s="29"/>
      <c r="O825" s="29"/>
      <c r="P825" s="32"/>
      <c r="Q825" s="40"/>
      <c r="R825" s="4"/>
      <c r="S825" s="4"/>
      <c r="T825" s="4"/>
      <c r="U825" s="4"/>
      <c r="V825" s="4"/>
      <c r="W825" s="4"/>
      <c r="X825" s="4"/>
    </row>
    <row x14ac:dyDescent="0.25" r="826" customHeight="1" ht="12.75">
      <c r="A826" s="4"/>
      <c r="B826" s="29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29"/>
      <c r="N826" s="29"/>
      <c r="O826" s="29"/>
      <c r="P826" s="32"/>
      <c r="Q826" s="40"/>
      <c r="R826" s="4"/>
      <c r="S826" s="4"/>
      <c r="T826" s="4"/>
      <c r="U826" s="4"/>
      <c r="V826" s="4"/>
      <c r="W826" s="4"/>
      <c r="X826" s="4"/>
    </row>
    <row x14ac:dyDescent="0.25" r="827" customHeight="1" ht="12.75">
      <c r="A827" s="4"/>
      <c r="B827" s="29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29"/>
      <c r="N827" s="29"/>
      <c r="O827" s="29"/>
      <c r="P827" s="32"/>
      <c r="Q827" s="40"/>
      <c r="R827" s="4"/>
      <c r="S827" s="4"/>
      <c r="T827" s="4"/>
      <c r="U827" s="4"/>
      <c r="V827" s="4"/>
      <c r="W827" s="4"/>
      <c r="X827" s="4"/>
    </row>
    <row x14ac:dyDescent="0.25" r="828" customHeight="1" ht="12.75">
      <c r="A828" s="4"/>
      <c r="B828" s="29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29"/>
      <c r="N828" s="29"/>
      <c r="O828" s="29"/>
      <c r="P828" s="32"/>
      <c r="Q828" s="40"/>
      <c r="R828" s="4"/>
      <c r="S828" s="4"/>
      <c r="T828" s="4"/>
      <c r="U828" s="4"/>
      <c r="V828" s="4"/>
      <c r="W828" s="4"/>
      <c r="X828" s="4"/>
    </row>
    <row x14ac:dyDescent="0.25" r="829" customHeight="1" ht="12.75">
      <c r="A829" s="4"/>
      <c r="B829" s="29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29"/>
      <c r="N829" s="29"/>
      <c r="O829" s="29"/>
      <c r="P829" s="32"/>
      <c r="Q829" s="40"/>
      <c r="R829" s="4"/>
      <c r="S829" s="4"/>
      <c r="T829" s="4"/>
      <c r="U829" s="4"/>
      <c r="V829" s="4"/>
      <c r="W829" s="4"/>
      <c r="X829" s="4"/>
    </row>
    <row x14ac:dyDescent="0.25" r="830" customHeight="1" ht="12.75">
      <c r="A830" s="4"/>
      <c r="B830" s="29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29"/>
      <c r="N830" s="29"/>
      <c r="O830" s="29"/>
      <c r="P830" s="32"/>
      <c r="Q830" s="40"/>
      <c r="R830" s="4"/>
      <c r="S830" s="4"/>
      <c r="T830" s="4"/>
      <c r="U830" s="4"/>
      <c r="V830" s="4"/>
      <c r="W830" s="4"/>
      <c r="X830" s="4"/>
    </row>
    <row x14ac:dyDescent="0.25" r="831" customHeight="1" ht="12.75">
      <c r="A831" s="4"/>
      <c r="B831" s="29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29"/>
      <c r="N831" s="29"/>
      <c r="O831" s="29"/>
      <c r="P831" s="32"/>
      <c r="Q831" s="40"/>
      <c r="R831" s="4"/>
      <c r="S831" s="4"/>
      <c r="T831" s="4"/>
      <c r="U831" s="4"/>
      <c r="V831" s="4"/>
      <c r="W831" s="4"/>
      <c r="X831" s="4"/>
    </row>
    <row x14ac:dyDescent="0.25" r="832" customHeight="1" ht="12.75">
      <c r="A832" s="4"/>
      <c r="B832" s="29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29"/>
      <c r="N832" s="29"/>
      <c r="O832" s="29"/>
      <c r="P832" s="32"/>
      <c r="Q832" s="40"/>
      <c r="R832" s="4"/>
      <c r="S832" s="4"/>
      <c r="T832" s="4"/>
      <c r="U832" s="4"/>
      <c r="V832" s="4"/>
      <c r="W832" s="4"/>
      <c r="X832" s="4"/>
    </row>
    <row x14ac:dyDescent="0.25" r="833" customHeight="1" ht="12.75">
      <c r="A833" s="4"/>
      <c r="B833" s="29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29"/>
      <c r="N833" s="29"/>
      <c r="O833" s="29"/>
      <c r="P833" s="32"/>
      <c r="Q833" s="40"/>
      <c r="R833" s="4"/>
      <c r="S833" s="4"/>
      <c r="T833" s="4"/>
      <c r="U833" s="4"/>
      <c r="V833" s="4"/>
      <c r="W833" s="4"/>
      <c r="X833" s="4"/>
    </row>
    <row x14ac:dyDescent="0.25" r="834" customHeight="1" ht="12.75">
      <c r="A834" s="4"/>
      <c r="B834" s="29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29"/>
      <c r="N834" s="29"/>
      <c r="O834" s="29"/>
      <c r="P834" s="32"/>
      <c r="Q834" s="40"/>
      <c r="R834" s="4"/>
      <c r="S834" s="4"/>
      <c r="T834" s="4"/>
      <c r="U834" s="4"/>
      <c r="V834" s="4"/>
      <c r="W834" s="4"/>
      <c r="X834" s="4"/>
    </row>
    <row x14ac:dyDescent="0.25" r="835" customHeight="1" ht="12.75">
      <c r="A835" s="4"/>
      <c r="B835" s="29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29"/>
      <c r="N835" s="29"/>
      <c r="O835" s="29"/>
      <c r="P835" s="32"/>
      <c r="Q835" s="40"/>
      <c r="R835" s="4"/>
      <c r="S835" s="4"/>
      <c r="T835" s="4"/>
      <c r="U835" s="4"/>
      <c r="V835" s="4"/>
      <c r="W835" s="4"/>
      <c r="X835" s="4"/>
    </row>
    <row x14ac:dyDescent="0.25" r="836" customHeight="1" ht="12.75">
      <c r="A836" s="4"/>
      <c r="B836" s="29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29"/>
      <c r="N836" s="29"/>
      <c r="O836" s="29"/>
      <c r="P836" s="32"/>
      <c r="Q836" s="40"/>
      <c r="R836" s="4"/>
      <c r="S836" s="4"/>
      <c r="T836" s="4"/>
      <c r="U836" s="4"/>
      <c r="V836" s="4"/>
      <c r="W836" s="4"/>
      <c r="X836" s="4"/>
    </row>
    <row x14ac:dyDescent="0.25" r="837" customHeight="1" ht="12.75">
      <c r="A837" s="4"/>
      <c r="B837" s="29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29"/>
      <c r="N837" s="29"/>
      <c r="O837" s="29"/>
      <c r="P837" s="32"/>
      <c r="Q837" s="40"/>
      <c r="R837" s="4"/>
      <c r="S837" s="4"/>
      <c r="T837" s="4"/>
      <c r="U837" s="4"/>
      <c r="V837" s="4"/>
      <c r="W837" s="4"/>
      <c r="X837" s="4"/>
    </row>
    <row x14ac:dyDescent="0.25" r="838" customHeight="1" ht="12.75">
      <c r="A838" s="4"/>
      <c r="B838" s="29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29"/>
      <c r="N838" s="29"/>
      <c r="O838" s="29"/>
      <c r="P838" s="32"/>
      <c r="Q838" s="40"/>
      <c r="R838" s="4"/>
      <c r="S838" s="4"/>
      <c r="T838" s="4"/>
      <c r="U838" s="4"/>
      <c r="V838" s="4"/>
      <c r="W838" s="4"/>
      <c r="X838" s="4"/>
    </row>
    <row x14ac:dyDescent="0.25" r="839" customHeight="1" ht="12.75">
      <c r="A839" s="4"/>
      <c r="B839" s="29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29"/>
      <c r="N839" s="29"/>
      <c r="O839" s="29"/>
      <c r="P839" s="32"/>
      <c r="Q839" s="40"/>
      <c r="R839" s="4"/>
      <c r="S839" s="4"/>
      <c r="T839" s="4"/>
      <c r="U839" s="4"/>
      <c r="V839" s="4"/>
      <c r="W839" s="4"/>
      <c r="X839" s="4"/>
    </row>
    <row x14ac:dyDescent="0.25" r="840" customHeight="1" ht="12.75">
      <c r="A840" s="4"/>
      <c r="B840" s="29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29"/>
      <c r="N840" s="29"/>
      <c r="O840" s="29"/>
      <c r="P840" s="32"/>
      <c r="Q840" s="40"/>
      <c r="R840" s="4"/>
      <c r="S840" s="4"/>
      <c r="T840" s="4"/>
      <c r="U840" s="4"/>
      <c r="V840" s="4"/>
      <c r="W840" s="4"/>
      <c r="X840" s="4"/>
    </row>
    <row x14ac:dyDescent="0.25" r="841" customHeight="1" ht="12.75">
      <c r="A841" s="4"/>
      <c r="B841" s="29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29"/>
      <c r="N841" s="29"/>
      <c r="O841" s="29"/>
      <c r="P841" s="32"/>
      <c r="Q841" s="40"/>
      <c r="R841" s="4"/>
      <c r="S841" s="4"/>
      <c r="T841" s="4"/>
      <c r="U841" s="4"/>
      <c r="V841" s="4"/>
      <c r="W841" s="4"/>
      <c r="X841" s="4"/>
    </row>
    <row x14ac:dyDescent="0.25" r="842" customHeight="1" ht="12.75">
      <c r="A842" s="4"/>
      <c r="B842" s="29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29"/>
      <c r="N842" s="29"/>
      <c r="O842" s="29"/>
      <c r="P842" s="32"/>
      <c r="Q842" s="40"/>
      <c r="R842" s="4"/>
      <c r="S842" s="4"/>
      <c r="T842" s="4"/>
      <c r="U842" s="4"/>
      <c r="V842" s="4"/>
      <c r="W842" s="4"/>
      <c r="X842" s="4"/>
    </row>
    <row x14ac:dyDescent="0.25" r="843" customHeight="1" ht="12.75">
      <c r="A843" s="4"/>
      <c r="B843" s="29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29"/>
      <c r="N843" s="29"/>
      <c r="O843" s="29"/>
      <c r="P843" s="32"/>
      <c r="Q843" s="40"/>
      <c r="R843" s="4"/>
      <c r="S843" s="4"/>
      <c r="T843" s="4"/>
      <c r="U843" s="4"/>
      <c r="V843" s="4"/>
      <c r="W843" s="4"/>
      <c r="X843" s="4"/>
    </row>
    <row x14ac:dyDescent="0.25" r="844" customHeight="1" ht="12.75">
      <c r="A844" s="4"/>
      <c r="B844" s="29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29"/>
      <c r="N844" s="29"/>
      <c r="O844" s="29"/>
      <c r="P844" s="32"/>
      <c r="Q844" s="40"/>
      <c r="R844" s="4"/>
      <c r="S844" s="4"/>
      <c r="T844" s="4"/>
      <c r="U844" s="4"/>
      <c r="V844" s="4"/>
      <c r="W844" s="4"/>
      <c r="X844" s="4"/>
    </row>
    <row x14ac:dyDescent="0.25" r="845" customHeight="1" ht="12.75">
      <c r="A845" s="4"/>
      <c r="B845" s="29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29"/>
      <c r="N845" s="29"/>
      <c r="O845" s="29"/>
      <c r="P845" s="32"/>
      <c r="Q845" s="40"/>
      <c r="R845" s="4"/>
      <c r="S845" s="4"/>
      <c r="T845" s="4"/>
      <c r="U845" s="4"/>
      <c r="V845" s="4"/>
      <c r="W845" s="4"/>
      <c r="X845" s="4"/>
    </row>
    <row x14ac:dyDescent="0.25" r="846" customHeight="1" ht="12.75">
      <c r="A846" s="4"/>
      <c r="B846" s="29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29"/>
      <c r="N846" s="29"/>
      <c r="O846" s="29"/>
      <c r="P846" s="32"/>
      <c r="Q846" s="40"/>
      <c r="R846" s="4"/>
      <c r="S846" s="4"/>
      <c r="T846" s="4"/>
      <c r="U846" s="4"/>
      <c r="V846" s="4"/>
      <c r="W846" s="4"/>
      <c r="X846" s="4"/>
    </row>
    <row x14ac:dyDescent="0.25" r="847" customHeight="1" ht="12.75">
      <c r="A847" s="4"/>
      <c r="B847" s="29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29"/>
      <c r="N847" s="29"/>
      <c r="O847" s="29"/>
      <c r="P847" s="32"/>
      <c r="Q847" s="40"/>
      <c r="R847" s="4"/>
      <c r="S847" s="4"/>
      <c r="T847" s="4"/>
      <c r="U847" s="4"/>
      <c r="V847" s="4"/>
      <c r="W847" s="4"/>
      <c r="X847" s="4"/>
    </row>
    <row x14ac:dyDescent="0.25" r="848" customHeight="1" ht="12.75">
      <c r="A848" s="4"/>
      <c r="B848" s="29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29"/>
      <c r="N848" s="29"/>
      <c r="O848" s="29"/>
      <c r="P848" s="32"/>
      <c r="Q848" s="40"/>
      <c r="R848" s="4"/>
      <c r="S848" s="4"/>
      <c r="T848" s="4"/>
      <c r="U848" s="4"/>
      <c r="V848" s="4"/>
      <c r="W848" s="4"/>
      <c r="X848" s="4"/>
    </row>
    <row x14ac:dyDescent="0.25" r="849" customHeight="1" ht="12.75">
      <c r="A849" s="4"/>
      <c r="B849" s="29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29"/>
      <c r="N849" s="29"/>
      <c r="O849" s="29"/>
      <c r="P849" s="32"/>
      <c r="Q849" s="40"/>
      <c r="R849" s="4"/>
      <c r="S849" s="4"/>
      <c r="T849" s="4"/>
      <c r="U849" s="4"/>
      <c r="V849" s="4"/>
      <c r="W849" s="4"/>
      <c r="X849" s="4"/>
    </row>
    <row x14ac:dyDescent="0.25" r="850" customHeight="1" ht="12.75">
      <c r="A850" s="4"/>
      <c r="B850" s="29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29"/>
      <c r="N850" s="29"/>
      <c r="O850" s="29"/>
      <c r="P850" s="32"/>
      <c r="Q850" s="40"/>
      <c r="R850" s="4"/>
      <c r="S850" s="4"/>
      <c r="T850" s="4"/>
      <c r="U850" s="4"/>
      <c r="V850" s="4"/>
      <c r="W850" s="4"/>
      <c r="X850" s="4"/>
    </row>
    <row x14ac:dyDescent="0.25" r="851" customHeight="1" ht="12.75">
      <c r="A851" s="4"/>
      <c r="B851" s="29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29"/>
      <c r="N851" s="29"/>
      <c r="O851" s="29"/>
      <c r="P851" s="32"/>
      <c r="Q851" s="40"/>
      <c r="R851" s="4"/>
      <c r="S851" s="4"/>
      <c r="T851" s="4"/>
      <c r="U851" s="4"/>
      <c r="V851" s="4"/>
      <c r="W851" s="4"/>
      <c r="X851" s="4"/>
    </row>
    <row x14ac:dyDescent="0.25" r="852" customHeight="1" ht="12.75">
      <c r="A852" s="4"/>
      <c r="B852" s="29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29"/>
      <c r="N852" s="29"/>
      <c r="O852" s="29"/>
      <c r="P852" s="32"/>
      <c r="Q852" s="40"/>
      <c r="R852" s="4"/>
      <c r="S852" s="4"/>
      <c r="T852" s="4"/>
      <c r="U852" s="4"/>
      <c r="V852" s="4"/>
      <c r="W852" s="4"/>
      <c r="X852" s="4"/>
    </row>
    <row x14ac:dyDescent="0.25" r="853" customHeight="1" ht="12.75">
      <c r="A853" s="4"/>
      <c r="B853" s="29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29"/>
      <c r="N853" s="29"/>
      <c r="O853" s="29"/>
      <c r="P853" s="32"/>
      <c r="Q853" s="40"/>
      <c r="R853" s="4"/>
      <c r="S853" s="4"/>
      <c r="T853" s="4"/>
      <c r="U853" s="4"/>
      <c r="V853" s="4"/>
      <c r="W853" s="4"/>
      <c r="X853" s="4"/>
    </row>
    <row x14ac:dyDescent="0.25" r="854" customHeight="1" ht="12.75">
      <c r="A854" s="4"/>
      <c r="B854" s="29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29"/>
      <c r="N854" s="29"/>
      <c r="O854" s="29"/>
      <c r="P854" s="32"/>
      <c r="Q854" s="40"/>
      <c r="R854" s="4"/>
      <c r="S854" s="4"/>
      <c r="T854" s="4"/>
      <c r="U854" s="4"/>
      <c r="V854" s="4"/>
      <c r="W854" s="4"/>
      <c r="X854" s="4"/>
    </row>
    <row x14ac:dyDescent="0.25" r="855" customHeight="1" ht="12.75">
      <c r="A855" s="4"/>
      <c r="B855" s="29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29"/>
      <c r="N855" s="29"/>
      <c r="O855" s="29"/>
      <c r="P855" s="32"/>
      <c r="Q855" s="40"/>
      <c r="R855" s="4"/>
      <c r="S855" s="4"/>
      <c r="T855" s="4"/>
      <c r="U855" s="4"/>
      <c r="V855" s="4"/>
      <c r="W855" s="4"/>
      <c r="X855" s="4"/>
    </row>
    <row x14ac:dyDescent="0.25" r="856" customHeight="1" ht="12.75">
      <c r="A856" s="4"/>
      <c r="B856" s="29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29"/>
      <c r="N856" s="29"/>
      <c r="O856" s="29"/>
      <c r="P856" s="32"/>
      <c r="Q856" s="40"/>
      <c r="R856" s="4"/>
      <c r="S856" s="4"/>
      <c r="T856" s="4"/>
      <c r="U856" s="4"/>
      <c r="V856" s="4"/>
      <c r="W856" s="4"/>
      <c r="X856" s="4"/>
    </row>
    <row x14ac:dyDescent="0.25" r="857" customHeight="1" ht="12.75">
      <c r="A857" s="4"/>
      <c r="B857" s="29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29"/>
      <c r="N857" s="29"/>
      <c r="O857" s="29"/>
      <c r="P857" s="32"/>
      <c r="Q857" s="40"/>
      <c r="R857" s="4"/>
      <c r="S857" s="4"/>
      <c r="T857" s="4"/>
      <c r="U857" s="4"/>
      <c r="V857" s="4"/>
      <c r="W857" s="4"/>
      <c r="X857" s="4"/>
    </row>
    <row x14ac:dyDescent="0.25" r="858" customHeight="1" ht="12.75">
      <c r="A858" s="4"/>
      <c r="B858" s="29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29"/>
      <c r="N858" s="29"/>
      <c r="O858" s="29"/>
      <c r="P858" s="32"/>
      <c r="Q858" s="40"/>
      <c r="R858" s="4"/>
      <c r="S858" s="4"/>
      <c r="T858" s="4"/>
      <c r="U858" s="4"/>
      <c r="V858" s="4"/>
      <c r="W858" s="4"/>
      <c r="X858" s="4"/>
    </row>
    <row x14ac:dyDescent="0.25" r="859" customHeight="1" ht="12.75">
      <c r="A859" s="4"/>
      <c r="B859" s="29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29"/>
      <c r="N859" s="29"/>
      <c r="O859" s="29"/>
      <c r="P859" s="32"/>
      <c r="Q859" s="40"/>
      <c r="R859" s="4"/>
      <c r="S859" s="4"/>
      <c r="T859" s="4"/>
      <c r="U859" s="4"/>
      <c r="V859" s="4"/>
      <c r="W859" s="4"/>
      <c r="X859" s="4"/>
    </row>
    <row x14ac:dyDescent="0.25" r="860" customHeight="1" ht="12.75">
      <c r="A860" s="4"/>
      <c r="B860" s="29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29"/>
      <c r="N860" s="29"/>
      <c r="O860" s="29"/>
      <c r="P860" s="32"/>
      <c r="Q860" s="40"/>
      <c r="R860" s="4"/>
      <c r="S860" s="4"/>
      <c r="T860" s="4"/>
      <c r="U860" s="4"/>
      <c r="V860" s="4"/>
      <c r="W860" s="4"/>
      <c r="X860" s="4"/>
    </row>
    <row x14ac:dyDescent="0.25" r="861" customHeight="1" ht="12.75">
      <c r="A861" s="4"/>
      <c r="B861" s="29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29"/>
      <c r="N861" s="29"/>
      <c r="O861" s="29"/>
      <c r="P861" s="32"/>
      <c r="Q861" s="40"/>
      <c r="R861" s="4"/>
      <c r="S861" s="4"/>
      <c r="T861" s="4"/>
      <c r="U861" s="4"/>
      <c r="V861" s="4"/>
      <c r="W861" s="4"/>
      <c r="X861" s="4"/>
    </row>
    <row x14ac:dyDescent="0.25" r="862" customHeight="1" ht="12.75">
      <c r="A862" s="4"/>
      <c r="B862" s="29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29"/>
      <c r="N862" s="29"/>
      <c r="O862" s="29"/>
      <c r="P862" s="32"/>
      <c r="Q862" s="40"/>
      <c r="R862" s="4"/>
      <c r="S862" s="4"/>
      <c r="T862" s="4"/>
      <c r="U862" s="4"/>
      <c r="V862" s="4"/>
      <c r="W862" s="4"/>
      <c r="X862" s="4"/>
    </row>
    <row x14ac:dyDescent="0.25" r="863" customHeight="1" ht="12.75">
      <c r="A863" s="4"/>
      <c r="B863" s="29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29"/>
      <c r="N863" s="29"/>
      <c r="O863" s="29"/>
      <c r="P863" s="32"/>
      <c r="Q863" s="40"/>
      <c r="R863" s="4"/>
      <c r="S863" s="4"/>
      <c r="T863" s="4"/>
      <c r="U863" s="4"/>
      <c r="V863" s="4"/>
      <c r="W863" s="4"/>
      <c r="X863" s="4"/>
    </row>
    <row x14ac:dyDescent="0.25" r="864" customHeight="1" ht="12.75">
      <c r="A864" s="4"/>
      <c r="B864" s="29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29"/>
      <c r="N864" s="29"/>
      <c r="O864" s="29"/>
      <c r="P864" s="32"/>
      <c r="Q864" s="40"/>
      <c r="R864" s="4"/>
      <c r="S864" s="4"/>
      <c r="T864" s="4"/>
      <c r="U864" s="4"/>
      <c r="V864" s="4"/>
      <c r="W864" s="4"/>
      <c r="X864" s="4"/>
    </row>
    <row x14ac:dyDescent="0.25" r="865" customHeight="1" ht="12.75">
      <c r="A865" s="4"/>
      <c r="B865" s="29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29"/>
      <c r="N865" s="29"/>
      <c r="O865" s="29"/>
      <c r="P865" s="32"/>
      <c r="Q865" s="40"/>
      <c r="R865" s="4"/>
      <c r="S865" s="4"/>
      <c r="T865" s="4"/>
      <c r="U865" s="4"/>
      <c r="V865" s="4"/>
      <c r="W865" s="4"/>
      <c r="X865" s="4"/>
    </row>
    <row x14ac:dyDescent="0.25" r="866" customHeight="1" ht="12.75">
      <c r="A866" s="4"/>
      <c r="B866" s="29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29"/>
      <c r="N866" s="29"/>
      <c r="O866" s="29"/>
      <c r="P866" s="32"/>
      <c r="Q866" s="40"/>
      <c r="R866" s="4"/>
      <c r="S866" s="4"/>
      <c r="T866" s="4"/>
      <c r="U866" s="4"/>
      <c r="V866" s="4"/>
      <c r="W866" s="4"/>
      <c r="X866" s="4"/>
    </row>
    <row x14ac:dyDescent="0.25" r="867" customHeight="1" ht="12.75">
      <c r="A867" s="4"/>
      <c r="B867" s="29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29"/>
      <c r="N867" s="29"/>
      <c r="O867" s="29"/>
      <c r="P867" s="32"/>
      <c r="Q867" s="40"/>
      <c r="R867" s="4"/>
      <c r="S867" s="4"/>
      <c r="T867" s="4"/>
      <c r="U867" s="4"/>
      <c r="V867" s="4"/>
      <c r="W867" s="4"/>
      <c r="X867" s="4"/>
    </row>
    <row x14ac:dyDescent="0.25" r="868" customHeight="1" ht="12.75">
      <c r="A868" s="4"/>
      <c r="B868" s="29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29"/>
      <c r="N868" s="29"/>
      <c r="O868" s="29"/>
      <c r="P868" s="32"/>
      <c r="Q868" s="40"/>
      <c r="R868" s="4"/>
      <c r="S868" s="4"/>
      <c r="T868" s="4"/>
      <c r="U868" s="4"/>
      <c r="V868" s="4"/>
      <c r="W868" s="4"/>
      <c r="X868" s="4"/>
    </row>
    <row x14ac:dyDescent="0.25" r="869" customHeight="1" ht="12.75">
      <c r="A869" s="4"/>
      <c r="B869" s="29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29"/>
      <c r="N869" s="29"/>
      <c r="O869" s="29"/>
      <c r="P869" s="32"/>
      <c r="Q869" s="40"/>
      <c r="R869" s="4"/>
      <c r="S869" s="4"/>
      <c r="T869" s="4"/>
      <c r="U869" s="4"/>
      <c r="V869" s="4"/>
      <c r="W869" s="4"/>
      <c r="X869" s="4"/>
    </row>
    <row x14ac:dyDescent="0.25" r="870" customHeight="1" ht="12.75">
      <c r="A870" s="4"/>
      <c r="B870" s="29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29"/>
      <c r="N870" s="29"/>
      <c r="O870" s="29"/>
      <c r="P870" s="32"/>
      <c r="Q870" s="40"/>
      <c r="R870" s="4"/>
      <c r="S870" s="4"/>
      <c r="T870" s="4"/>
      <c r="U870" s="4"/>
      <c r="V870" s="4"/>
      <c r="W870" s="4"/>
      <c r="X870" s="4"/>
    </row>
    <row x14ac:dyDescent="0.25" r="871" customHeight="1" ht="12.75">
      <c r="A871" s="4"/>
      <c r="B871" s="29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29"/>
      <c r="N871" s="29"/>
      <c r="O871" s="29"/>
      <c r="P871" s="32"/>
      <c r="Q871" s="40"/>
      <c r="R871" s="4"/>
      <c r="S871" s="4"/>
      <c r="T871" s="4"/>
      <c r="U871" s="4"/>
      <c r="V871" s="4"/>
      <c r="W871" s="4"/>
      <c r="X871" s="4"/>
    </row>
    <row x14ac:dyDescent="0.25" r="872" customHeight="1" ht="12.75">
      <c r="A872" s="4"/>
      <c r="B872" s="29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29"/>
      <c r="N872" s="29"/>
      <c r="O872" s="29"/>
      <c r="P872" s="32"/>
      <c r="Q872" s="40"/>
      <c r="R872" s="4"/>
      <c r="S872" s="4"/>
      <c r="T872" s="4"/>
      <c r="U872" s="4"/>
      <c r="V872" s="4"/>
      <c r="W872" s="4"/>
      <c r="X872" s="4"/>
    </row>
    <row x14ac:dyDescent="0.25" r="873" customHeight="1" ht="12.75">
      <c r="A873" s="4"/>
      <c r="B873" s="29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29"/>
      <c r="N873" s="29"/>
      <c r="O873" s="29"/>
      <c r="P873" s="32"/>
      <c r="Q873" s="40"/>
      <c r="R873" s="4"/>
      <c r="S873" s="4"/>
      <c r="T873" s="4"/>
      <c r="U873" s="4"/>
      <c r="V873" s="4"/>
      <c r="W873" s="4"/>
      <c r="X873" s="4"/>
    </row>
    <row x14ac:dyDescent="0.25" r="874" customHeight="1" ht="12.75">
      <c r="A874" s="4"/>
      <c r="B874" s="29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29"/>
      <c r="N874" s="29"/>
      <c r="O874" s="29"/>
      <c r="P874" s="32"/>
      <c r="Q874" s="40"/>
      <c r="R874" s="4"/>
      <c r="S874" s="4"/>
      <c r="T874" s="4"/>
      <c r="U874" s="4"/>
      <c r="V874" s="4"/>
      <c r="W874" s="4"/>
      <c r="X874" s="4"/>
    </row>
    <row x14ac:dyDescent="0.25" r="875" customHeight="1" ht="12.75">
      <c r="A875" s="4"/>
      <c r="B875" s="29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29"/>
      <c r="N875" s="29"/>
      <c r="O875" s="29"/>
      <c r="P875" s="32"/>
      <c r="Q875" s="40"/>
      <c r="R875" s="4"/>
      <c r="S875" s="4"/>
      <c r="T875" s="4"/>
      <c r="U875" s="4"/>
      <c r="V875" s="4"/>
      <c r="W875" s="4"/>
      <c r="X875" s="4"/>
    </row>
    <row x14ac:dyDescent="0.25" r="876" customHeight="1" ht="12.75">
      <c r="A876" s="4"/>
      <c r="B876" s="29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29"/>
      <c r="N876" s="29"/>
      <c r="O876" s="29"/>
      <c r="P876" s="32"/>
      <c r="Q876" s="40"/>
      <c r="R876" s="4"/>
      <c r="S876" s="4"/>
      <c r="T876" s="4"/>
      <c r="U876" s="4"/>
      <c r="V876" s="4"/>
      <c r="W876" s="4"/>
      <c r="X876" s="4"/>
    </row>
    <row x14ac:dyDescent="0.25" r="877" customHeight="1" ht="12.75">
      <c r="A877" s="4"/>
      <c r="B877" s="29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29"/>
      <c r="N877" s="29"/>
      <c r="O877" s="29"/>
      <c r="P877" s="32"/>
      <c r="Q877" s="40"/>
      <c r="R877" s="4"/>
      <c r="S877" s="4"/>
      <c r="T877" s="4"/>
      <c r="U877" s="4"/>
      <c r="V877" s="4"/>
      <c r="W877" s="4"/>
      <c r="X877" s="4"/>
    </row>
    <row x14ac:dyDescent="0.25" r="878" customHeight="1" ht="12.75">
      <c r="A878" s="4"/>
      <c r="B878" s="29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29"/>
      <c r="N878" s="29"/>
      <c r="O878" s="29"/>
      <c r="P878" s="32"/>
      <c r="Q878" s="40"/>
      <c r="R878" s="4"/>
      <c r="S878" s="4"/>
      <c r="T878" s="4"/>
      <c r="U878" s="4"/>
      <c r="V878" s="4"/>
      <c r="W878" s="4"/>
      <c r="X878" s="4"/>
    </row>
    <row x14ac:dyDescent="0.25" r="879" customHeight="1" ht="12.75">
      <c r="A879" s="4"/>
      <c r="B879" s="29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29"/>
      <c r="N879" s="29"/>
      <c r="O879" s="29"/>
      <c r="P879" s="32"/>
      <c r="Q879" s="40"/>
      <c r="R879" s="4"/>
      <c r="S879" s="4"/>
      <c r="T879" s="4"/>
      <c r="U879" s="4"/>
      <c r="V879" s="4"/>
      <c r="W879" s="4"/>
      <c r="X879" s="4"/>
    </row>
    <row x14ac:dyDescent="0.25" r="880" customHeight="1" ht="12.75">
      <c r="A880" s="4"/>
      <c r="B880" s="29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29"/>
      <c r="N880" s="29"/>
      <c r="O880" s="29"/>
      <c r="P880" s="32"/>
      <c r="Q880" s="40"/>
      <c r="R880" s="4"/>
      <c r="S880" s="4"/>
      <c r="T880" s="4"/>
      <c r="U880" s="4"/>
      <c r="V880" s="4"/>
      <c r="W880" s="4"/>
      <c r="X880" s="4"/>
    </row>
    <row x14ac:dyDescent="0.25" r="881" customHeight="1" ht="12.75">
      <c r="A881" s="4"/>
      <c r="B881" s="29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29"/>
      <c r="N881" s="29"/>
      <c r="O881" s="29"/>
      <c r="P881" s="32"/>
      <c r="Q881" s="40"/>
      <c r="R881" s="4"/>
      <c r="S881" s="4"/>
      <c r="T881" s="4"/>
      <c r="U881" s="4"/>
      <c r="V881" s="4"/>
      <c r="W881" s="4"/>
      <c r="X881" s="4"/>
    </row>
    <row x14ac:dyDescent="0.25" r="882" customHeight="1" ht="12.75">
      <c r="A882" s="4"/>
      <c r="B882" s="29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29"/>
      <c r="N882" s="29"/>
      <c r="O882" s="29"/>
      <c r="P882" s="32"/>
      <c r="Q882" s="40"/>
      <c r="R882" s="4"/>
      <c r="S882" s="4"/>
      <c r="T882" s="4"/>
      <c r="U882" s="4"/>
      <c r="V882" s="4"/>
      <c r="W882" s="4"/>
      <c r="X882" s="4"/>
    </row>
    <row x14ac:dyDescent="0.25" r="883" customHeight="1" ht="12.75">
      <c r="A883" s="4"/>
      <c r="B883" s="29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29"/>
      <c r="N883" s="29"/>
      <c r="O883" s="29"/>
      <c r="P883" s="32"/>
      <c r="Q883" s="40"/>
      <c r="R883" s="4"/>
      <c r="S883" s="4"/>
      <c r="T883" s="4"/>
      <c r="U883" s="4"/>
      <c r="V883" s="4"/>
      <c r="W883" s="4"/>
      <c r="X883" s="4"/>
    </row>
    <row x14ac:dyDescent="0.25" r="884" customHeight="1" ht="12.75">
      <c r="A884" s="4"/>
      <c r="B884" s="29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29"/>
      <c r="N884" s="29"/>
      <c r="O884" s="29"/>
      <c r="P884" s="32"/>
      <c r="Q884" s="40"/>
      <c r="R884" s="4"/>
      <c r="S884" s="4"/>
      <c r="T884" s="4"/>
      <c r="U884" s="4"/>
      <c r="V884" s="4"/>
      <c r="W884" s="4"/>
      <c r="X884" s="4"/>
    </row>
    <row x14ac:dyDescent="0.25" r="885" customHeight="1" ht="12.75">
      <c r="A885" s="4"/>
      <c r="B885" s="29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29"/>
      <c r="N885" s="29"/>
      <c r="O885" s="29"/>
      <c r="P885" s="32"/>
      <c r="Q885" s="40"/>
      <c r="R885" s="4"/>
      <c r="S885" s="4"/>
      <c r="T885" s="4"/>
      <c r="U885" s="4"/>
      <c r="V885" s="4"/>
      <c r="W885" s="4"/>
      <c r="X885" s="4"/>
    </row>
    <row x14ac:dyDescent="0.25" r="886" customHeight="1" ht="12.75">
      <c r="A886" s="4"/>
      <c r="B886" s="29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29"/>
      <c r="N886" s="29"/>
      <c r="O886" s="29"/>
      <c r="P886" s="32"/>
      <c r="Q886" s="40"/>
      <c r="R886" s="4"/>
      <c r="S886" s="4"/>
      <c r="T886" s="4"/>
      <c r="U886" s="4"/>
      <c r="V886" s="4"/>
      <c r="W886" s="4"/>
      <c r="X886" s="4"/>
    </row>
    <row x14ac:dyDescent="0.25" r="887" customHeight="1" ht="12.75">
      <c r="A887" s="4"/>
      <c r="B887" s="29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29"/>
      <c r="N887" s="29"/>
      <c r="O887" s="29"/>
      <c r="P887" s="32"/>
      <c r="Q887" s="40"/>
      <c r="R887" s="4"/>
      <c r="S887" s="4"/>
      <c r="T887" s="4"/>
      <c r="U887" s="4"/>
      <c r="V887" s="4"/>
      <c r="W887" s="4"/>
      <c r="X887" s="4"/>
    </row>
    <row x14ac:dyDescent="0.25" r="888" customHeight="1" ht="12.75">
      <c r="A888" s="4"/>
      <c r="B888" s="29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29"/>
      <c r="N888" s="29"/>
      <c r="O888" s="29"/>
      <c r="P888" s="32"/>
      <c r="Q888" s="40"/>
      <c r="R888" s="4"/>
      <c r="S888" s="4"/>
      <c r="T888" s="4"/>
      <c r="U888" s="4"/>
      <c r="V888" s="4"/>
      <c r="W888" s="4"/>
      <c r="X888" s="4"/>
    </row>
    <row x14ac:dyDescent="0.25" r="889" customHeight="1" ht="12.75">
      <c r="A889" s="4"/>
      <c r="B889" s="29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29"/>
      <c r="N889" s="29"/>
      <c r="O889" s="29"/>
      <c r="P889" s="32"/>
      <c r="Q889" s="40"/>
      <c r="R889" s="4"/>
      <c r="S889" s="4"/>
      <c r="T889" s="4"/>
      <c r="U889" s="4"/>
      <c r="V889" s="4"/>
      <c r="W889" s="4"/>
      <c r="X889" s="4"/>
    </row>
    <row x14ac:dyDescent="0.25" r="890" customHeight="1" ht="12.75">
      <c r="A890" s="4"/>
      <c r="B890" s="29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29"/>
      <c r="N890" s="29"/>
      <c r="O890" s="29"/>
      <c r="P890" s="32"/>
      <c r="Q890" s="40"/>
      <c r="R890" s="4"/>
      <c r="S890" s="4"/>
      <c r="T890" s="4"/>
      <c r="U890" s="4"/>
      <c r="V890" s="4"/>
      <c r="W890" s="4"/>
      <c r="X890" s="4"/>
    </row>
    <row x14ac:dyDescent="0.25" r="891" customHeight="1" ht="12.75">
      <c r="A891" s="4"/>
      <c r="B891" s="29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29"/>
      <c r="N891" s="29"/>
      <c r="O891" s="29"/>
      <c r="P891" s="32"/>
      <c r="Q891" s="40"/>
      <c r="R891" s="4"/>
      <c r="S891" s="4"/>
      <c r="T891" s="4"/>
      <c r="U891" s="4"/>
      <c r="V891" s="4"/>
      <c r="W891" s="4"/>
      <c r="X891" s="4"/>
    </row>
    <row x14ac:dyDescent="0.25" r="892" customHeight="1" ht="12.75">
      <c r="A892" s="4"/>
      <c r="B892" s="29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29"/>
      <c r="N892" s="29"/>
      <c r="O892" s="29"/>
      <c r="P892" s="32"/>
      <c r="Q892" s="40"/>
      <c r="R892" s="4"/>
      <c r="S892" s="4"/>
      <c r="T892" s="4"/>
      <c r="U892" s="4"/>
      <c r="V892" s="4"/>
      <c r="W892" s="4"/>
      <c r="X892" s="4"/>
    </row>
    <row x14ac:dyDescent="0.25" r="893" customHeight="1" ht="12.75">
      <c r="A893" s="4"/>
      <c r="B893" s="29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29"/>
      <c r="N893" s="29"/>
      <c r="O893" s="29"/>
      <c r="P893" s="32"/>
      <c r="Q893" s="40"/>
      <c r="R893" s="4"/>
      <c r="S893" s="4"/>
      <c r="T893" s="4"/>
      <c r="U893" s="4"/>
      <c r="V893" s="4"/>
      <c r="W893" s="4"/>
      <c r="X893" s="4"/>
    </row>
    <row x14ac:dyDescent="0.25" r="894" customHeight="1" ht="12.75">
      <c r="A894" s="4"/>
      <c r="B894" s="29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29"/>
      <c r="N894" s="29"/>
      <c r="O894" s="29"/>
      <c r="P894" s="32"/>
      <c r="Q894" s="40"/>
      <c r="R894" s="4"/>
      <c r="S894" s="4"/>
      <c r="T894" s="4"/>
      <c r="U894" s="4"/>
      <c r="V894" s="4"/>
      <c r="W894" s="4"/>
      <c r="X894" s="4"/>
    </row>
    <row x14ac:dyDescent="0.25" r="895" customHeight="1" ht="12.75">
      <c r="A895" s="4"/>
      <c r="B895" s="29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29"/>
      <c r="N895" s="29"/>
      <c r="O895" s="29"/>
      <c r="P895" s="32"/>
      <c r="Q895" s="40"/>
      <c r="R895" s="4"/>
      <c r="S895" s="4"/>
      <c r="T895" s="4"/>
      <c r="U895" s="4"/>
      <c r="V895" s="4"/>
      <c r="W895" s="4"/>
      <c r="X895" s="4"/>
    </row>
    <row x14ac:dyDescent="0.25" r="896" customHeight="1" ht="12.75">
      <c r="A896" s="4"/>
      <c r="B896" s="29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29"/>
      <c r="N896" s="29"/>
      <c r="O896" s="29"/>
      <c r="P896" s="32"/>
      <c r="Q896" s="40"/>
      <c r="R896" s="4"/>
      <c r="S896" s="4"/>
      <c r="T896" s="4"/>
      <c r="U896" s="4"/>
      <c r="V896" s="4"/>
      <c r="W896" s="4"/>
      <c r="X896" s="4"/>
    </row>
    <row x14ac:dyDescent="0.25" r="897" customHeight="1" ht="12.75">
      <c r="A897" s="4"/>
      <c r="B897" s="29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29"/>
      <c r="N897" s="29"/>
      <c r="O897" s="29"/>
      <c r="P897" s="32"/>
      <c r="Q897" s="40"/>
      <c r="R897" s="4"/>
      <c r="S897" s="4"/>
      <c r="T897" s="4"/>
      <c r="U897" s="4"/>
      <c r="V897" s="4"/>
      <c r="W897" s="4"/>
      <c r="X897" s="4"/>
    </row>
    <row x14ac:dyDescent="0.25" r="898" customHeight="1" ht="12.75">
      <c r="A898" s="4"/>
      <c r="B898" s="29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29"/>
      <c r="N898" s="29"/>
      <c r="O898" s="29"/>
      <c r="P898" s="32"/>
      <c r="Q898" s="40"/>
      <c r="R898" s="4"/>
      <c r="S898" s="4"/>
      <c r="T898" s="4"/>
      <c r="U898" s="4"/>
      <c r="V898" s="4"/>
      <c r="W898" s="4"/>
      <c r="X898" s="4"/>
    </row>
    <row x14ac:dyDescent="0.25" r="899" customHeight="1" ht="12.75">
      <c r="A899" s="4"/>
      <c r="B899" s="29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29"/>
      <c r="N899" s="29"/>
      <c r="O899" s="29"/>
      <c r="P899" s="32"/>
      <c r="Q899" s="40"/>
      <c r="R899" s="4"/>
      <c r="S899" s="4"/>
      <c r="T899" s="4"/>
      <c r="U899" s="4"/>
      <c r="V899" s="4"/>
      <c r="W899" s="4"/>
      <c r="X899" s="4"/>
    </row>
    <row x14ac:dyDescent="0.25" r="900" customHeight="1" ht="12.75">
      <c r="A900" s="4"/>
      <c r="B900" s="29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29"/>
      <c r="N900" s="29"/>
      <c r="O900" s="29"/>
      <c r="P900" s="32"/>
      <c r="Q900" s="40"/>
      <c r="R900" s="4"/>
      <c r="S900" s="4"/>
      <c r="T900" s="4"/>
      <c r="U900" s="4"/>
      <c r="V900" s="4"/>
      <c r="W900" s="4"/>
      <c r="X900" s="4"/>
    </row>
    <row x14ac:dyDescent="0.25" r="901" customHeight="1" ht="12.75">
      <c r="A901" s="4"/>
      <c r="B901" s="29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29"/>
      <c r="N901" s="29"/>
      <c r="O901" s="29"/>
      <c r="P901" s="32"/>
      <c r="Q901" s="40"/>
      <c r="R901" s="4"/>
      <c r="S901" s="4"/>
      <c r="T901" s="4"/>
      <c r="U901" s="4"/>
      <c r="V901" s="4"/>
      <c r="W901" s="4"/>
      <c r="X901" s="4"/>
    </row>
    <row x14ac:dyDescent="0.25" r="902" customHeight="1" ht="12.75">
      <c r="A902" s="4"/>
      <c r="B902" s="29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29"/>
      <c r="N902" s="29"/>
      <c r="O902" s="29"/>
      <c r="P902" s="32"/>
      <c r="Q902" s="40"/>
      <c r="R902" s="4"/>
      <c r="S902" s="4"/>
      <c r="T902" s="4"/>
      <c r="U902" s="4"/>
      <c r="V902" s="4"/>
      <c r="W902" s="4"/>
      <c r="X902" s="4"/>
    </row>
    <row x14ac:dyDescent="0.25" r="903" customHeight="1" ht="12.75">
      <c r="A903" s="4"/>
      <c r="B903" s="29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29"/>
      <c r="N903" s="29"/>
      <c r="O903" s="29"/>
      <c r="P903" s="32"/>
      <c r="Q903" s="40"/>
      <c r="R903" s="4"/>
      <c r="S903" s="4"/>
      <c r="T903" s="4"/>
      <c r="U903" s="4"/>
      <c r="V903" s="4"/>
      <c r="W903" s="4"/>
      <c r="X903" s="4"/>
    </row>
    <row x14ac:dyDescent="0.25" r="904" customHeight="1" ht="12.75">
      <c r="A904" s="4"/>
      <c r="B904" s="29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29"/>
      <c r="N904" s="29"/>
      <c r="O904" s="29"/>
      <c r="P904" s="32"/>
      <c r="Q904" s="40"/>
      <c r="R904" s="4"/>
      <c r="S904" s="4"/>
      <c r="T904" s="4"/>
      <c r="U904" s="4"/>
      <c r="V904" s="4"/>
      <c r="W904" s="4"/>
      <c r="X904" s="4"/>
    </row>
    <row x14ac:dyDescent="0.25" r="905" customHeight="1" ht="12.75">
      <c r="A905" s="4"/>
      <c r="B905" s="29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29"/>
      <c r="N905" s="29"/>
      <c r="O905" s="29"/>
      <c r="P905" s="32"/>
      <c r="Q905" s="40"/>
      <c r="R905" s="4"/>
      <c r="S905" s="4"/>
      <c r="T905" s="4"/>
      <c r="U905" s="4"/>
      <c r="V905" s="4"/>
      <c r="W905" s="4"/>
      <c r="X905" s="4"/>
    </row>
    <row x14ac:dyDescent="0.25" r="906" customHeight="1" ht="12.75">
      <c r="A906" s="4"/>
      <c r="B906" s="29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29"/>
      <c r="N906" s="29"/>
      <c r="O906" s="29"/>
      <c r="P906" s="32"/>
      <c r="Q906" s="40"/>
      <c r="R906" s="4"/>
      <c r="S906" s="4"/>
      <c r="T906" s="4"/>
      <c r="U906" s="4"/>
      <c r="V906" s="4"/>
      <c r="W906" s="4"/>
      <c r="X906" s="4"/>
    </row>
    <row x14ac:dyDescent="0.25" r="907" customHeight="1" ht="12.75">
      <c r="A907" s="4"/>
      <c r="B907" s="29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29"/>
      <c r="N907" s="29"/>
      <c r="O907" s="29"/>
      <c r="P907" s="32"/>
      <c r="Q907" s="40"/>
      <c r="R907" s="4"/>
      <c r="S907" s="4"/>
      <c r="T907" s="4"/>
      <c r="U907" s="4"/>
      <c r="V907" s="4"/>
      <c r="W907" s="4"/>
      <c r="X907" s="4"/>
    </row>
    <row x14ac:dyDescent="0.25" r="908" customHeight="1" ht="12.75">
      <c r="A908" s="4"/>
      <c r="B908" s="29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29"/>
      <c r="N908" s="29"/>
      <c r="O908" s="29"/>
      <c r="P908" s="32"/>
      <c r="Q908" s="40"/>
      <c r="R908" s="4"/>
      <c r="S908" s="4"/>
      <c r="T908" s="4"/>
      <c r="U908" s="4"/>
      <c r="V908" s="4"/>
      <c r="W908" s="4"/>
      <c r="X908" s="4"/>
    </row>
    <row x14ac:dyDescent="0.25" r="909" customHeight="1" ht="12.75">
      <c r="A909" s="4"/>
      <c r="B909" s="29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29"/>
      <c r="N909" s="29"/>
      <c r="O909" s="29"/>
      <c r="P909" s="32"/>
      <c r="Q909" s="40"/>
      <c r="R909" s="4"/>
      <c r="S909" s="4"/>
      <c r="T909" s="4"/>
      <c r="U909" s="4"/>
      <c r="V909" s="4"/>
      <c r="W909" s="4"/>
      <c r="X909" s="4"/>
    </row>
    <row x14ac:dyDescent="0.25" r="910" customHeight="1" ht="12.75">
      <c r="A910" s="4"/>
      <c r="B910" s="29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29"/>
      <c r="N910" s="29"/>
      <c r="O910" s="29"/>
      <c r="P910" s="32"/>
      <c r="Q910" s="40"/>
      <c r="R910" s="4"/>
      <c r="S910" s="4"/>
      <c r="T910" s="4"/>
      <c r="U910" s="4"/>
      <c r="V910" s="4"/>
      <c r="W910" s="4"/>
      <c r="X910" s="4"/>
    </row>
    <row x14ac:dyDescent="0.25" r="911" customHeight="1" ht="12.75">
      <c r="A911" s="4"/>
      <c r="B911" s="29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29"/>
      <c r="N911" s="29"/>
      <c r="O911" s="29"/>
      <c r="P911" s="32"/>
      <c r="Q911" s="40"/>
      <c r="R911" s="4"/>
      <c r="S911" s="4"/>
      <c r="T911" s="4"/>
      <c r="U911" s="4"/>
      <c r="V911" s="4"/>
      <c r="W911" s="4"/>
      <c r="X911" s="4"/>
    </row>
    <row x14ac:dyDescent="0.25" r="912" customHeight="1" ht="12.75">
      <c r="A912" s="4"/>
      <c r="B912" s="29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29"/>
      <c r="N912" s="29"/>
      <c r="O912" s="29"/>
      <c r="P912" s="32"/>
      <c r="Q912" s="40"/>
      <c r="R912" s="4"/>
      <c r="S912" s="4"/>
      <c r="T912" s="4"/>
      <c r="U912" s="4"/>
      <c r="V912" s="4"/>
      <c r="W912" s="4"/>
      <c r="X912" s="4"/>
    </row>
    <row x14ac:dyDescent="0.25" r="913" customHeight="1" ht="12.75">
      <c r="A913" s="4"/>
      <c r="B913" s="29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29"/>
      <c r="N913" s="29"/>
      <c r="O913" s="29"/>
      <c r="P913" s="32"/>
      <c r="Q913" s="40"/>
      <c r="R913" s="4"/>
      <c r="S913" s="4"/>
      <c r="T913" s="4"/>
      <c r="U913" s="4"/>
      <c r="V913" s="4"/>
      <c r="W913" s="4"/>
      <c r="X913" s="4"/>
    </row>
    <row x14ac:dyDescent="0.25" r="914" customHeight="1" ht="12.75">
      <c r="A914" s="4"/>
      <c r="B914" s="29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29"/>
      <c r="N914" s="29"/>
      <c r="O914" s="29"/>
      <c r="P914" s="32"/>
      <c r="Q914" s="40"/>
      <c r="R914" s="4"/>
      <c r="S914" s="4"/>
      <c r="T914" s="4"/>
      <c r="U914" s="4"/>
      <c r="V914" s="4"/>
      <c r="W914" s="4"/>
      <c r="X914" s="4"/>
    </row>
    <row x14ac:dyDescent="0.25" r="915" customHeight="1" ht="12.75">
      <c r="A915" s="4"/>
      <c r="B915" s="29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29"/>
      <c r="N915" s="29"/>
      <c r="O915" s="29"/>
      <c r="P915" s="32"/>
      <c r="Q915" s="40"/>
      <c r="R915" s="4"/>
      <c r="S915" s="4"/>
      <c r="T915" s="4"/>
      <c r="U915" s="4"/>
      <c r="V915" s="4"/>
      <c r="W915" s="4"/>
      <c r="X915" s="4"/>
    </row>
    <row x14ac:dyDescent="0.25" r="916" customHeight="1" ht="12.75">
      <c r="A916" s="4"/>
      <c r="B916" s="29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29"/>
      <c r="N916" s="29"/>
      <c r="O916" s="29"/>
      <c r="P916" s="32"/>
      <c r="Q916" s="40"/>
      <c r="R916" s="4"/>
      <c r="S916" s="4"/>
      <c r="T916" s="4"/>
      <c r="U916" s="4"/>
      <c r="V916" s="4"/>
      <c r="W916" s="4"/>
      <c r="X916" s="4"/>
    </row>
    <row x14ac:dyDescent="0.25" r="917" customHeight="1" ht="12.75">
      <c r="A917" s="4"/>
      <c r="B917" s="29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29"/>
      <c r="N917" s="29"/>
      <c r="O917" s="29"/>
      <c r="P917" s="32"/>
      <c r="Q917" s="40"/>
      <c r="R917" s="4"/>
      <c r="S917" s="4"/>
      <c r="T917" s="4"/>
      <c r="U917" s="4"/>
      <c r="V917" s="4"/>
      <c r="W917" s="4"/>
      <c r="X917" s="4"/>
    </row>
    <row x14ac:dyDescent="0.25" r="918" customHeight="1" ht="12.75">
      <c r="A918" s="4"/>
      <c r="B918" s="29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29"/>
      <c r="N918" s="29"/>
      <c r="O918" s="29"/>
      <c r="P918" s="32"/>
      <c r="Q918" s="40"/>
      <c r="R918" s="4"/>
      <c r="S918" s="4"/>
      <c r="T918" s="4"/>
      <c r="U918" s="4"/>
      <c r="V918" s="4"/>
      <c r="W918" s="4"/>
      <c r="X918" s="4"/>
    </row>
    <row x14ac:dyDescent="0.25" r="919" customHeight="1" ht="12.75">
      <c r="A919" s="4"/>
      <c r="B919" s="29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29"/>
      <c r="N919" s="29"/>
      <c r="O919" s="29"/>
      <c r="P919" s="32"/>
      <c r="Q919" s="40"/>
      <c r="R919" s="4"/>
      <c r="S919" s="4"/>
      <c r="T919" s="4"/>
      <c r="U919" s="4"/>
      <c r="V919" s="4"/>
      <c r="W919" s="4"/>
      <c r="X919" s="4"/>
    </row>
    <row x14ac:dyDescent="0.25" r="920" customHeight="1" ht="12.75">
      <c r="A920" s="4"/>
      <c r="B920" s="29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29"/>
      <c r="N920" s="29"/>
      <c r="O920" s="29"/>
      <c r="P920" s="32"/>
      <c r="Q920" s="40"/>
      <c r="R920" s="4"/>
      <c r="S920" s="4"/>
      <c r="T920" s="4"/>
      <c r="U920" s="4"/>
      <c r="V920" s="4"/>
      <c r="W920" s="4"/>
      <c r="X920" s="4"/>
    </row>
    <row x14ac:dyDescent="0.25" r="921" customHeight="1" ht="12.75">
      <c r="A921" s="4"/>
      <c r="B921" s="29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29"/>
      <c r="N921" s="29"/>
      <c r="O921" s="29"/>
      <c r="P921" s="32"/>
      <c r="Q921" s="40"/>
      <c r="R921" s="4"/>
      <c r="S921" s="4"/>
      <c r="T921" s="4"/>
      <c r="U921" s="4"/>
      <c r="V921" s="4"/>
      <c r="W921" s="4"/>
      <c r="X921" s="4"/>
    </row>
    <row x14ac:dyDescent="0.25" r="922" customHeight="1" ht="12.75">
      <c r="A922" s="4"/>
      <c r="B922" s="29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29"/>
      <c r="N922" s="29"/>
      <c r="O922" s="29"/>
      <c r="P922" s="32"/>
      <c r="Q922" s="40"/>
      <c r="R922" s="4"/>
      <c r="S922" s="4"/>
      <c r="T922" s="4"/>
      <c r="U922" s="4"/>
      <c r="V922" s="4"/>
      <c r="W922" s="4"/>
      <c r="X922" s="4"/>
    </row>
    <row x14ac:dyDescent="0.25" r="923" customHeight="1" ht="12.75">
      <c r="A923" s="4"/>
      <c r="B923" s="29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29"/>
      <c r="N923" s="29"/>
      <c r="O923" s="29"/>
      <c r="P923" s="32"/>
      <c r="Q923" s="40"/>
      <c r="R923" s="4"/>
      <c r="S923" s="4"/>
      <c r="T923" s="4"/>
      <c r="U923" s="4"/>
      <c r="V923" s="4"/>
      <c r="W923" s="4"/>
      <c r="X923" s="4"/>
    </row>
    <row x14ac:dyDescent="0.25" r="924" customHeight="1" ht="12.75">
      <c r="A924" s="4"/>
      <c r="B924" s="29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29"/>
      <c r="N924" s="29"/>
      <c r="O924" s="29"/>
      <c r="P924" s="32"/>
      <c r="Q924" s="40"/>
      <c r="R924" s="4"/>
      <c r="S924" s="4"/>
      <c r="T924" s="4"/>
      <c r="U924" s="4"/>
      <c r="V924" s="4"/>
      <c r="W924" s="4"/>
      <c r="X924" s="4"/>
    </row>
    <row x14ac:dyDescent="0.25" r="925" customHeight="1" ht="12.75">
      <c r="A925" s="4"/>
      <c r="B925" s="29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29"/>
      <c r="N925" s="29"/>
      <c r="O925" s="29"/>
      <c r="P925" s="32"/>
      <c r="Q925" s="40"/>
      <c r="R925" s="4"/>
      <c r="S925" s="4"/>
      <c r="T925" s="4"/>
      <c r="U925" s="4"/>
      <c r="V925" s="4"/>
      <c r="W925" s="4"/>
      <c r="X925" s="4"/>
    </row>
    <row x14ac:dyDescent="0.25" r="926" customHeight="1" ht="12.75">
      <c r="A926" s="4"/>
      <c r="B926" s="29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29"/>
      <c r="N926" s="29"/>
      <c r="O926" s="29"/>
      <c r="P926" s="32"/>
      <c r="Q926" s="40"/>
      <c r="R926" s="4"/>
      <c r="S926" s="4"/>
      <c r="T926" s="4"/>
      <c r="U926" s="4"/>
      <c r="V926" s="4"/>
      <c r="W926" s="4"/>
      <c r="X926" s="4"/>
    </row>
    <row x14ac:dyDescent="0.25" r="927" customHeight="1" ht="12.75">
      <c r="A927" s="4"/>
      <c r="B927" s="29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29"/>
      <c r="N927" s="29"/>
      <c r="O927" s="29"/>
      <c r="P927" s="32"/>
      <c r="Q927" s="40"/>
      <c r="R927" s="4"/>
      <c r="S927" s="4"/>
      <c r="T927" s="4"/>
      <c r="U927" s="4"/>
      <c r="V927" s="4"/>
      <c r="W927" s="4"/>
      <c r="X927" s="4"/>
    </row>
    <row x14ac:dyDescent="0.25" r="928" customHeight="1" ht="12.75">
      <c r="A928" s="4"/>
      <c r="B928" s="29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29"/>
      <c r="N928" s="29"/>
      <c r="O928" s="29"/>
      <c r="P928" s="32"/>
      <c r="Q928" s="40"/>
      <c r="R928" s="4"/>
      <c r="S928" s="4"/>
      <c r="T928" s="4"/>
      <c r="U928" s="4"/>
      <c r="V928" s="4"/>
      <c r="W928" s="4"/>
      <c r="X928" s="4"/>
    </row>
    <row x14ac:dyDescent="0.25" r="929" customHeight="1" ht="12.75">
      <c r="A929" s="4"/>
      <c r="B929" s="29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29"/>
      <c r="N929" s="29"/>
      <c r="O929" s="29"/>
      <c r="P929" s="32"/>
      <c r="Q929" s="40"/>
      <c r="R929" s="4"/>
      <c r="S929" s="4"/>
      <c r="T929" s="4"/>
      <c r="U929" s="4"/>
      <c r="V929" s="4"/>
      <c r="W929" s="4"/>
      <c r="X929" s="4"/>
    </row>
    <row x14ac:dyDescent="0.25" r="930" customHeight="1" ht="12.75">
      <c r="A930" s="4"/>
      <c r="B930" s="29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29"/>
      <c r="N930" s="29"/>
      <c r="O930" s="29"/>
      <c r="P930" s="32"/>
      <c r="Q930" s="40"/>
      <c r="R930" s="4"/>
      <c r="S930" s="4"/>
      <c r="T930" s="4"/>
      <c r="U930" s="4"/>
      <c r="V930" s="4"/>
      <c r="W930" s="4"/>
      <c r="X930" s="4"/>
    </row>
    <row x14ac:dyDescent="0.25" r="931" customHeight="1" ht="12.75">
      <c r="A931" s="4"/>
      <c r="B931" s="29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29"/>
      <c r="N931" s="29"/>
      <c r="O931" s="29"/>
      <c r="P931" s="32"/>
      <c r="Q931" s="40"/>
      <c r="R931" s="4"/>
      <c r="S931" s="4"/>
      <c r="T931" s="4"/>
      <c r="U931" s="4"/>
      <c r="V931" s="4"/>
      <c r="W931" s="4"/>
      <c r="X931" s="4"/>
    </row>
    <row x14ac:dyDescent="0.25" r="932" customHeight="1" ht="12.75">
      <c r="A932" s="4"/>
      <c r="B932" s="29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29"/>
      <c r="N932" s="29"/>
      <c r="O932" s="29"/>
      <c r="P932" s="32"/>
      <c r="Q932" s="40"/>
      <c r="R932" s="4"/>
      <c r="S932" s="4"/>
      <c r="T932" s="4"/>
      <c r="U932" s="4"/>
      <c r="V932" s="4"/>
      <c r="W932" s="4"/>
      <c r="X932" s="4"/>
    </row>
    <row x14ac:dyDescent="0.25" r="933" customHeight="1" ht="12.75">
      <c r="A933" s="4"/>
      <c r="B933" s="29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29"/>
      <c r="N933" s="29"/>
      <c r="O933" s="29"/>
      <c r="P933" s="32"/>
      <c r="Q933" s="40"/>
      <c r="R933" s="4"/>
      <c r="S933" s="4"/>
      <c r="T933" s="4"/>
      <c r="U933" s="4"/>
      <c r="V933" s="4"/>
      <c r="W933" s="4"/>
      <c r="X933" s="4"/>
    </row>
    <row x14ac:dyDescent="0.25" r="934" customHeight="1" ht="12.75">
      <c r="A934" s="4"/>
      <c r="B934" s="29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29"/>
      <c r="N934" s="29"/>
      <c r="O934" s="29"/>
      <c r="P934" s="32"/>
      <c r="Q934" s="40"/>
      <c r="R934" s="4"/>
      <c r="S934" s="4"/>
      <c r="T934" s="4"/>
      <c r="U934" s="4"/>
      <c r="V934" s="4"/>
      <c r="W934" s="4"/>
      <c r="X934" s="4"/>
    </row>
    <row x14ac:dyDescent="0.25" r="935" customHeight="1" ht="12.75">
      <c r="A935" s="4"/>
      <c r="B935" s="29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29"/>
      <c r="N935" s="29"/>
      <c r="O935" s="29"/>
      <c r="P935" s="32"/>
      <c r="Q935" s="40"/>
      <c r="R935" s="4"/>
      <c r="S935" s="4"/>
      <c r="T935" s="4"/>
      <c r="U935" s="4"/>
      <c r="V935" s="4"/>
      <c r="W935" s="4"/>
      <c r="X935" s="4"/>
    </row>
    <row x14ac:dyDescent="0.25" r="936" customHeight="1" ht="12.75">
      <c r="A936" s="4"/>
      <c r="B936" s="29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29"/>
      <c r="N936" s="29"/>
      <c r="O936" s="29"/>
      <c r="P936" s="32"/>
      <c r="Q936" s="40"/>
      <c r="R936" s="4"/>
      <c r="S936" s="4"/>
      <c r="T936" s="4"/>
      <c r="U936" s="4"/>
      <c r="V936" s="4"/>
      <c r="W936" s="4"/>
      <c r="X936" s="4"/>
    </row>
    <row x14ac:dyDescent="0.25" r="937" customHeight="1" ht="12.75">
      <c r="A937" s="4"/>
      <c r="B937" s="29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29"/>
      <c r="N937" s="29"/>
      <c r="O937" s="29"/>
      <c r="P937" s="32"/>
      <c r="Q937" s="40"/>
      <c r="R937" s="4"/>
      <c r="S937" s="4"/>
      <c r="T937" s="4"/>
      <c r="U937" s="4"/>
      <c r="V937" s="4"/>
      <c r="W937" s="4"/>
      <c r="X937" s="4"/>
    </row>
    <row x14ac:dyDescent="0.25" r="938" customHeight="1" ht="12.75">
      <c r="A938" s="4"/>
      <c r="B938" s="29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29"/>
      <c r="N938" s="29"/>
      <c r="O938" s="29"/>
      <c r="P938" s="32"/>
      <c r="Q938" s="40"/>
      <c r="R938" s="4"/>
      <c r="S938" s="4"/>
      <c r="T938" s="4"/>
      <c r="U938" s="4"/>
      <c r="V938" s="4"/>
      <c r="W938" s="4"/>
      <c r="X938" s="4"/>
    </row>
    <row x14ac:dyDescent="0.25" r="939" customHeight="1" ht="12.75">
      <c r="A939" s="4"/>
      <c r="B939" s="29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29"/>
      <c r="N939" s="29"/>
      <c r="O939" s="29"/>
      <c r="P939" s="32"/>
      <c r="Q939" s="40"/>
      <c r="R939" s="4"/>
      <c r="S939" s="4"/>
      <c r="T939" s="4"/>
      <c r="U939" s="4"/>
      <c r="V939" s="4"/>
      <c r="W939" s="4"/>
      <c r="X939" s="4"/>
    </row>
    <row x14ac:dyDescent="0.25" r="940" customHeight="1" ht="12.75">
      <c r="A940" s="4"/>
      <c r="B940" s="29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29"/>
      <c r="N940" s="29"/>
      <c r="O940" s="29"/>
      <c r="P940" s="32"/>
      <c r="Q940" s="40"/>
      <c r="R940" s="4"/>
      <c r="S940" s="4"/>
      <c r="T940" s="4"/>
      <c r="U940" s="4"/>
      <c r="V940" s="4"/>
      <c r="W940" s="4"/>
      <c r="X940" s="4"/>
    </row>
    <row x14ac:dyDescent="0.25" r="941" customHeight="1" ht="12.75">
      <c r="A941" s="4"/>
      <c r="B941" s="29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29"/>
      <c r="N941" s="29"/>
      <c r="O941" s="29"/>
      <c r="P941" s="32"/>
      <c r="Q941" s="40"/>
      <c r="R941" s="4"/>
      <c r="S941" s="4"/>
      <c r="T941" s="4"/>
      <c r="U941" s="4"/>
      <c r="V941" s="4"/>
      <c r="W941" s="4"/>
      <c r="X941" s="4"/>
    </row>
    <row x14ac:dyDescent="0.25" r="942" customHeight="1" ht="12.75">
      <c r="A942" s="4"/>
      <c r="B942" s="29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29"/>
      <c r="N942" s="29"/>
      <c r="O942" s="29"/>
      <c r="P942" s="32"/>
      <c r="Q942" s="40"/>
      <c r="R942" s="4"/>
      <c r="S942" s="4"/>
      <c r="T942" s="4"/>
      <c r="U942" s="4"/>
      <c r="V942" s="4"/>
      <c r="W942" s="4"/>
      <c r="X942" s="4"/>
    </row>
    <row x14ac:dyDescent="0.25" r="943" customHeight="1" ht="12.75">
      <c r="A943" s="4"/>
      <c r="B943" s="29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29"/>
      <c r="N943" s="29"/>
      <c r="O943" s="29"/>
      <c r="P943" s="32"/>
      <c r="Q943" s="40"/>
      <c r="R943" s="4"/>
      <c r="S943" s="4"/>
      <c r="T943" s="4"/>
      <c r="U943" s="4"/>
      <c r="V943" s="4"/>
      <c r="W943" s="4"/>
      <c r="X943" s="4"/>
    </row>
    <row x14ac:dyDescent="0.25" r="944" customHeight="1" ht="12.75">
      <c r="A944" s="4"/>
      <c r="B944" s="29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29"/>
      <c r="N944" s="29"/>
      <c r="O944" s="29"/>
      <c r="P944" s="32"/>
      <c r="Q944" s="40"/>
      <c r="R944" s="4"/>
      <c r="S944" s="4"/>
      <c r="T944" s="4"/>
      <c r="U944" s="4"/>
      <c r="V944" s="4"/>
      <c r="W944" s="4"/>
      <c r="X944" s="4"/>
    </row>
    <row x14ac:dyDescent="0.25" r="945" customHeight="1" ht="12.75">
      <c r="A945" s="4"/>
      <c r="B945" s="29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29"/>
      <c r="N945" s="29"/>
      <c r="O945" s="29"/>
      <c r="P945" s="32"/>
      <c r="Q945" s="40"/>
      <c r="R945" s="4"/>
      <c r="S945" s="4"/>
      <c r="T945" s="4"/>
      <c r="U945" s="4"/>
      <c r="V945" s="4"/>
      <c r="W945" s="4"/>
      <c r="X945" s="4"/>
    </row>
    <row x14ac:dyDescent="0.25" r="946" customHeight="1" ht="12.75">
      <c r="A946" s="4"/>
      <c r="B946" s="29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29"/>
      <c r="N946" s="29"/>
      <c r="O946" s="29"/>
      <c r="P946" s="32"/>
      <c r="Q946" s="40"/>
      <c r="R946" s="4"/>
      <c r="S946" s="4"/>
      <c r="T946" s="4"/>
      <c r="U946" s="4"/>
      <c r="V946" s="4"/>
      <c r="W946" s="4"/>
      <c r="X946" s="4"/>
    </row>
    <row x14ac:dyDescent="0.25" r="947" customHeight="1" ht="12.75">
      <c r="A947" s="4"/>
      <c r="B947" s="29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29"/>
      <c r="N947" s="29"/>
      <c r="O947" s="29"/>
      <c r="P947" s="32"/>
      <c r="Q947" s="40"/>
      <c r="R947" s="4"/>
      <c r="S947" s="4"/>
      <c r="T947" s="4"/>
      <c r="U947" s="4"/>
      <c r="V947" s="4"/>
      <c r="W947" s="4"/>
      <c r="X947" s="4"/>
    </row>
    <row x14ac:dyDescent="0.25" r="948" customHeight="1" ht="12.75">
      <c r="A948" s="4"/>
      <c r="B948" s="29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29"/>
      <c r="N948" s="29"/>
      <c r="O948" s="29"/>
      <c r="P948" s="32"/>
      <c r="Q948" s="40"/>
      <c r="R948" s="4"/>
      <c r="S948" s="4"/>
      <c r="T948" s="4"/>
      <c r="U948" s="4"/>
      <c r="V948" s="4"/>
      <c r="W948" s="4"/>
      <c r="X948" s="4"/>
    </row>
    <row x14ac:dyDescent="0.25" r="949" customHeight="1" ht="12.75">
      <c r="A949" s="4"/>
      <c r="B949" s="29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29"/>
      <c r="N949" s="29"/>
      <c r="O949" s="29"/>
      <c r="P949" s="32"/>
      <c r="Q949" s="40"/>
      <c r="R949" s="4"/>
      <c r="S949" s="4"/>
      <c r="T949" s="4"/>
      <c r="U949" s="4"/>
      <c r="V949" s="4"/>
      <c r="W949" s="4"/>
      <c r="X949" s="4"/>
    </row>
    <row x14ac:dyDescent="0.25" r="950" customHeight="1" ht="12.75">
      <c r="A950" s="4"/>
      <c r="B950" s="29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29"/>
      <c r="N950" s="29"/>
      <c r="O950" s="29"/>
      <c r="P950" s="32"/>
      <c r="Q950" s="40"/>
      <c r="R950" s="4"/>
      <c r="S950" s="4"/>
      <c r="T950" s="4"/>
      <c r="U950" s="4"/>
      <c r="V950" s="4"/>
      <c r="W950" s="4"/>
      <c r="X950" s="4"/>
    </row>
    <row x14ac:dyDescent="0.25" r="951" customHeight="1" ht="12.75">
      <c r="A951" s="4"/>
      <c r="B951" s="29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29"/>
      <c r="N951" s="29"/>
      <c r="O951" s="29"/>
      <c r="P951" s="32"/>
      <c r="Q951" s="40"/>
      <c r="R951" s="4"/>
      <c r="S951" s="4"/>
      <c r="T951" s="4"/>
      <c r="U951" s="4"/>
      <c r="V951" s="4"/>
      <c r="W951" s="4"/>
      <c r="X951" s="4"/>
    </row>
    <row x14ac:dyDescent="0.25" r="952" customHeight="1" ht="12.75">
      <c r="A952" s="4"/>
      <c r="B952" s="29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29"/>
      <c r="N952" s="29"/>
      <c r="O952" s="29"/>
      <c r="P952" s="32"/>
      <c r="Q952" s="40"/>
      <c r="R952" s="4"/>
      <c r="S952" s="4"/>
      <c r="T952" s="4"/>
      <c r="U952" s="4"/>
      <c r="V952" s="4"/>
      <c r="W952" s="4"/>
      <c r="X952" s="4"/>
    </row>
    <row x14ac:dyDescent="0.25" r="953" customHeight="1" ht="12.75">
      <c r="A953" s="4"/>
      <c r="B953" s="29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29"/>
      <c r="N953" s="29"/>
      <c r="O953" s="29"/>
      <c r="P953" s="32"/>
      <c r="Q953" s="40"/>
      <c r="R953" s="4"/>
      <c r="S953" s="4"/>
      <c r="T953" s="4"/>
      <c r="U953" s="4"/>
      <c r="V953" s="4"/>
      <c r="W953" s="4"/>
      <c r="X953" s="4"/>
    </row>
    <row x14ac:dyDescent="0.25" r="954" customHeight="1" ht="12.75">
      <c r="A954" s="4"/>
      <c r="B954" s="29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29"/>
      <c r="N954" s="29"/>
      <c r="O954" s="29"/>
      <c r="P954" s="32"/>
      <c r="Q954" s="40"/>
      <c r="R954" s="4"/>
      <c r="S954" s="4"/>
      <c r="T954" s="4"/>
      <c r="U954" s="4"/>
      <c r="V954" s="4"/>
      <c r="W954" s="4"/>
      <c r="X954" s="4"/>
    </row>
    <row x14ac:dyDescent="0.25" r="955" customHeight="1" ht="12.75">
      <c r="A955" s="4"/>
      <c r="B955" s="29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29"/>
      <c r="N955" s="29"/>
      <c r="O955" s="29"/>
      <c r="P955" s="32"/>
      <c r="Q955" s="40"/>
      <c r="R955" s="4"/>
      <c r="S955" s="4"/>
      <c r="T955" s="4"/>
      <c r="U955" s="4"/>
      <c r="V955" s="4"/>
      <c r="W955" s="4"/>
      <c r="X955" s="4"/>
    </row>
    <row x14ac:dyDescent="0.25" r="956" customHeight="1" ht="12.75">
      <c r="A956" s="4"/>
      <c r="B956" s="29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29"/>
      <c r="N956" s="29"/>
      <c r="O956" s="29"/>
      <c r="P956" s="32"/>
      <c r="Q956" s="40"/>
      <c r="R956" s="4"/>
      <c r="S956" s="4"/>
      <c r="T956" s="4"/>
      <c r="U956" s="4"/>
      <c r="V956" s="4"/>
      <c r="W956" s="4"/>
      <c r="X956" s="4"/>
    </row>
    <row x14ac:dyDescent="0.25" r="957" customHeight="1" ht="12.75">
      <c r="A957" s="4"/>
      <c r="B957" s="29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29"/>
      <c r="N957" s="29"/>
      <c r="O957" s="29"/>
      <c r="P957" s="32"/>
      <c r="Q957" s="40"/>
      <c r="R957" s="4"/>
      <c r="S957" s="4"/>
      <c r="T957" s="4"/>
      <c r="U957" s="4"/>
      <c r="V957" s="4"/>
      <c r="W957" s="4"/>
      <c r="X957" s="4"/>
    </row>
    <row x14ac:dyDescent="0.25" r="958" customHeight="1" ht="12.75">
      <c r="A958" s="4"/>
      <c r="B958" s="29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29"/>
      <c r="N958" s="29"/>
      <c r="O958" s="29"/>
      <c r="P958" s="32"/>
      <c r="Q958" s="40"/>
      <c r="R958" s="4"/>
      <c r="S958" s="4"/>
      <c r="T958" s="4"/>
      <c r="U958" s="4"/>
      <c r="V958" s="4"/>
      <c r="W958" s="4"/>
      <c r="X958" s="4"/>
    </row>
    <row x14ac:dyDescent="0.25" r="959" customHeight="1" ht="12.75">
      <c r="A959" s="4"/>
      <c r="B959" s="29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29"/>
      <c r="N959" s="29"/>
      <c r="O959" s="29"/>
      <c r="P959" s="32"/>
      <c r="Q959" s="40"/>
      <c r="R959" s="4"/>
      <c r="S959" s="4"/>
      <c r="T959" s="4"/>
      <c r="U959" s="4"/>
      <c r="V959" s="4"/>
      <c r="W959" s="4"/>
      <c r="X959" s="4"/>
    </row>
    <row x14ac:dyDescent="0.25" r="960" customHeight="1" ht="12.75">
      <c r="A960" s="4"/>
      <c r="B960" s="29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29"/>
      <c r="N960" s="29"/>
      <c r="O960" s="29"/>
      <c r="P960" s="32"/>
      <c r="Q960" s="40"/>
      <c r="R960" s="4"/>
      <c r="S960" s="4"/>
      <c r="T960" s="4"/>
      <c r="U960" s="4"/>
      <c r="V960" s="4"/>
      <c r="W960" s="4"/>
      <c r="X960" s="4"/>
    </row>
    <row x14ac:dyDescent="0.25" r="961" customHeight="1" ht="12.75">
      <c r="A961" s="4"/>
      <c r="B961" s="29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29"/>
      <c r="N961" s="29"/>
      <c r="O961" s="29"/>
      <c r="P961" s="32"/>
      <c r="Q961" s="40"/>
      <c r="R961" s="4"/>
      <c r="S961" s="4"/>
      <c r="T961" s="4"/>
      <c r="U961" s="4"/>
      <c r="V961" s="4"/>
      <c r="W961" s="4"/>
      <c r="X961" s="4"/>
    </row>
    <row x14ac:dyDescent="0.25" r="962" customHeight="1" ht="12.75">
      <c r="A962" s="4"/>
      <c r="B962" s="29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29"/>
      <c r="N962" s="29"/>
      <c r="O962" s="29"/>
      <c r="P962" s="32"/>
      <c r="Q962" s="40"/>
      <c r="R962" s="4"/>
      <c r="S962" s="4"/>
      <c r="T962" s="4"/>
      <c r="U962" s="4"/>
      <c r="V962" s="4"/>
      <c r="W962" s="4"/>
      <c r="X962" s="4"/>
    </row>
    <row x14ac:dyDescent="0.25" r="963" customHeight="1" ht="12.75">
      <c r="A963" s="4"/>
      <c r="B963" s="29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29"/>
      <c r="N963" s="29"/>
      <c r="O963" s="29"/>
      <c r="P963" s="32"/>
      <c r="Q963" s="40"/>
      <c r="R963" s="4"/>
      <c r="S963" s="4"/>
      <c r="T963" s="4"/>
      <c r="U963" s="4"/>
      <c r="V963" s="4"/>
      <c r="W963" s="4"/>
      <c r="X963" s="4"/>
    </row>
    <row x14ac:dyDescent="0.25" r="964" customHeight="1" ht="12.75">
      <c r="A964" s="4"/>
      <c r="B964" s="29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29"/>
      <c r="N964" s="29"/>
      <c r="O964" s="29"/>
      <c r="P964" s="32"/>
      <c r="Q964" s="40"/>
      <c r="R964" s="4"/>
      <c r="S964" s="4"/>
      <c r="T964" s="4"/>
      <c r="U964" s="4"/>
      <c r="V964" s="4"/>
      <c r="W964" s="4"/>
      <c r="X964" s="4"/>
    </row>
    <row x14ac:dyDescent="0.25" r="965" customHeight="1" ht="12.75">
      <c r="A965" s="4"/>
      <c r="B965" s="29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29"/>
      <c r="N965" s="29"/>
      <c r="O965" s="29"/>
      <c r="P965" s="32"/>
      <c r="Q965" s="40"/>
      <c r="R965" s="4"/>
      <c r="S965" s="4"/>
      <c r="T965" s="4"/>
      <c r="U965" s="4"/>
      <c r="V965" s="4"/>
      <c r="W965" s="4"/>
      <c r="X965" s="4"/>
    </row>
    <row x14ac:dyDescent="0.25" r="966" customHeight="1" ht="12.75">
      <c r="A966" s="4"/>
      <c r="B966" s="29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29"/>
      <c r="N966" s="29"/>
      <c r="O966" s="29"/>
      <c r="P966" s="32"/>
      <c r="Q966" s="40"/>
      <c r="R966" s="4"/>
      <c r="S966" s="4"/>
      <c r="T966" s="4"/>
      <c r="U966" s="4"/>
      <c r="V966" s="4"/>
      <c r="W966" s="4"/>
      <c r="X966" s="4"/>
    </row>
    <row x14ac:dyDescent="0.25" r="967" customHeight="1" ht="12.75">
      <c r="A967" s="4"/>
      <c r="B967" s="29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29"/>
      <c r="N967" s="29"/>
      <c r="O967" s="29"/>
      <c r="P967" s="32"/>
      <c r="Q967" s="40"/>
      <c r="R967" s="4"/>
      <c r="S967" s="4"/>
      <c r="T967" s="4"/>
      <c r="U967" s="4"/>
      <c r="V967" s="4"/>
      <c r="W967" s="4"/>
      <c r="X967" s="4"/>
    </row>
    <row x14ac:dyDescent="0.25" r="968" customHeight="1" ht="12.75">
      <c r="A968" s="4"/>
      <c r="B968" s="29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29"/>
      <c r="N968" s="29"/>
      <c r="O968" s="29"/>
      <c r="P968" s="32"/>
      <c r="Q968" s="40"/>
      <c r="R968" s="4"/>
      <c r="S968" s="4"/>
      <c r="T968" s="4"/>
      <c r="U968" s="4"/>
      <c r="V968" s="4"/>
      <c r="W968" s="4"/>
      <c r="X968" s="4"/>
    </row>
    <row x14ac:dyDescent="0.25" r="969" customHeight="1" ht="12.75">
      <c r="A969" s="4"/>
      <c r="B969" s="29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29"/>
      <c r="N969" s="29"/>
      <c r="O969" s="29"/>
      <c r="P969" s="32"/>
      <c r="Q969" s="40"/>
      <c r="R969" s="4"/>
      <c r="S969" s="4"/>
      <c r="T969" s="4"/>
      <c r="U969" s="4"/>
      <c r="V969" s="4"/>
      <c r="W969" s="4"/>
      <c r="X969" s="4"/>
    </row>
    <row x14ac:dyDescent="0.25" r="970" customHeight="1" ht="12.75">
      <c r="A970" s="4"/>
      <c r="B970" s="29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29"/>
      <c r="N970" s="29"/>
      <c r="O970" s="29"/>
      <c r="P970" s="32"/>
      <c r="Q970" s="40"/>
      <c r="R970" s="4"/>
      <c r="S970" s="4"/>
      <c r="T970" s="4"/>
      <c r="U970" s="4"/>
      <c r="V970" s="4"/>
      <c r="W970" s="4"/>
      <c r="X970" s="4"/>
    </row>
    <row x14ac:dyDescent="0.25" r="971" customHeight="1" ht="12.75">
      <c r="A971" s="4"/>
      <c r="B971" s="29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29"/>
      <c r="N971" s="29"/>
      <c r="O971" s="29"/>
      <c r="P971" s="32"/>
      <c r="Q971" s="40"/>
      <c r="R971" s="4"/>
      <c r="S971" s="4"/>
      <c r="T971" s="4"/>
      <c r="U971" s="4"/>
      <c r="V971" s="4"/>
      <c r="W971" s="4"/>
      <c r="X971" s="4"/>
    </row>
    <row x14ac:dyDescent="0.25" r="972" customHeight="1" ht="12.75">
      <c r="A972" s="4"/>
      <c r="B972" s="29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29"/>
      <c r="N972" s="29"/>
      <c r="O972" s="29"/>
      <c r="P972" s="32"/>
      <c r="Q972" s="40"/>
      <c r="R972" s="4"/>
      <c r="S972" s="4"/>
      <c r="T972" s="4"/>
      <c r="U972" s="4"/>
      <c r="V972" s="4"/>
      <c r="W972" s="4"/>
      <c r="X972" s="4"/>
    </row>
    <row x14ac:dyDescent="0.25" r="973" customHeight="1" ht="12.75">
      <c r="A973" s="4"/>
      <c r="B973" s="29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29"/>
      <c r="N973" s="29"/>
      <c r="O973" s="29"/>
      <c r="P973" s="32"/>
      <c r="Q973" s="40"/>
      <c r="R973" s="4"/>
      <c r="S973" s="4"/>
      <c r="T973" s="4"/>
      <c r="U973" s="4"/>
      <c r="V973" s="4"/>
      <c r="W973" s="4"/>
      <c r="X973" s="4"/>
    </row>
    <row x14ac:dyDescent="0.25" r="974" customHeight="1" ht="12.75">
      <c r="A974" s="4"/>
      <c r="B974" s="29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29"/>
      <c r="N974" s="29"/>
      <c r="O974" s="29"/>
      <c r="P974" s="32"/>
      <c r="Q974" s="40"/>
      <c r="R974" s="4"/>
      <c r="S974" s="4"/>
      <c r="T974" s="4"/>
      <c r="U974" s="4"/>
      <c r="V974" s="4"/>
      <c r="W974" s="4"/>
      <c r="X974" s="4"/>
    </row>
    <row x14ac:dyDescent="0.25" r="975" customHeight="1" ht="12.75">
      <c r="A975" s="4"/>
      <c r="B975" s="29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29"/>
      <c r="N975" s="29"/>
      <c r="O975" s="29"/>
      <c r="P975" s="32"/>
      <c r="Q975" s="40"/>
      <c r="R975" s="4"/>
      <c r="S975" s="4"/>
      <c r="T975" s="4"/>
      <c r="U975" s="4"/>
      <c r="V975" s="4"/>
      <c r="W975" s="4"/>
      <c r="X975" s="4"/>
    </row>
    <row x14ac:dyDescent="0.25" r="976" customHeight="1" ht="12.75">
      <c r="A976" s="4"/>
      <c r="B976" s="29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29"/>
      <c r="N976" s="29"/>
      <c r="O976" s="29"/>
      <c r="P976" s="32"/>
      <c r="Q976" s="40"/>
      <c r="R976" s="4"/>
      <c r="S976" s="4"/>
      <c r="T976" s="4"/>
      <c r="U976" s="4"/>
      <c r="V976" s="4"/>
      <c r="W976" s="4"/>
      <c r="X976" s="4"/>
    </row>
    <row x14ac:dyDescent="0.25" r="977" customHeight="1" ht="12.75">
      <c r="A977" s="4"/>
      <c r="B977" s="29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29"/>
      <c r="N977" s="29"/>
      <c r="O977" s="29"/>
      <c r="P977" s="32"/>
      <c r="Q977" s="40"/>
      <c r="R977" s="4"/>
      <c r="S977" s="4"/>
      <c r="T977" s="4"/>
      <c r="U977" s="4"/>
      <c r="V977" s="4"/>
      <c r="W977" s="4"/>
      <c r="X977" s="4"/>
    </row>
    <row x14ac:dyDescent="0.25" r="978" customHeight="1" ht="12.75">
      <c r="A978" s="4"/>
      <c r="B978" s="29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29"/>
      <c r="N978" s="29"/>
      <c r="O978" s="29"/>
      <c r="P978" s="32"/>
      <c r="Q978" s="40"/>
      <c r="R978" s="4"/>
      <c r="S978" s="4"/>
      <c r="T978" s="4"/>
      <c r="U978" s="4"/>
      <c r="V978" s="4"/>
      <c r="W978" s="4"/>
      <c r="X978" s="4"/>
    </row>
    <row x14ac:dyDescent="0.25" r="979" customHeight="1" ht="12.75">
      <c r="A979" s="4"/>
      <c r="B979" s="29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29"/>
      <c r="N979" s="29"/>
      <c r="O979" s="29"/>
      <c r="P979" s="32"/>
      <c r="Q979" s="40"/>
      <c r="R979" s="4"/>
      <c r="S979" s="4"/>
      <c r="T979" s="4"/>
      <c r="U979" s="4"/>
      <c r="V979" s="4"/>
      <c r="W979" s="4"/>
      <c r="X979" s="4"/>
    </row>
    <row x14ac:dyDescent="0.25" r="980" customHeight="1" ht="12.75">
      <c r="A980" s="4"/>
      <c r="B980" s="29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29"/>
      <c r="N980" s="29"/>
      <c r="O980" s="29"/>
      <c r="P980" s="32"/>
      <c r="Q980" s="40"/>
      <c r="R980" s="4"/>
      <c r="S980" s="4"/>
      <c r="T980" s="4"/>
      <c r="U980" s="4"/>
      <c r="V980" s="4"/>
      <c r="W980" s="4"/>
      <c r="X980" s="4"/>
    </row>
    <row x14ac:dyDescent="0.25" r="981" customHeight="1" ht="12.75">
      <c r="A981" s="4"/>
      <c r="B981" s="29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29"/>
      <c r="N981" s="29"/>
      <c r="O981" s="29"/>
      <c r="P981" s="32"/>
      <c r="Q981" s="40"/>
      <c r="R981" s="4"/>
      <c r="S981" s="4"/>
      <c r="T981" s="4"/>
      <c r="U981" s="4"/>
      <c r="V981" s="4"/>
      <c r="W981" s="4"/>
      <c r="X981" s="4"/>
    </row>
    <row x14ac:dyDescent="0.25" r="982" customHeight="1" ht="12.75">
      <c r="A982" s="4"/>
      <c r="B982" s="29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29"/>
      <c r="N982" s="29"/>
      <c r="O982" s="29"/>
      <c r="P982" s="32"/>
      <c r="Q982" s="40"/>
      <c r="R982" s="4"/>
      <c r="S982" s="4"/>
      <c r="T982" s="4"/>
      <c r="U982" s="4"/>
      <c r="V982" s="4"/>
      <c r="W982" s="4"/>
      <c r="X982" s="4"/>
    </row>
    <row x14ac:dyDescent="0.25" r="983" customHeight="1" ht="12.75">
      <c r="A983" s="4"/>
      <c r="B983" s="29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29"/>
      <c r="N983" s="29"/>
      <c r="O983" s="29"/>
      <c r="P983" s="32"/>
      <c r="Q983" s="40"/>
      <c r="R983" s="4"/>
      <c r="S983" s="4"/>
      <c r="T983" s="4"/>
      <c r="U983" s="4"/>
      <c r="V983" s="4"/>
      <c r="W983" s="4"/>
      <c r="X983" s="4"/>
    </row>
    <row x14ac:dyDescent="0.25" r="984" customHeight="1" ht="12.75">
      <c r="A984" s="4"/>
      <c r="B984" s="29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29"/>
      <c r="N984" s="29"/>
      <c r="O984" s="29"/>
      <c r="P984" s="32"/>
      <c r="Q984" s="40"/>
      <c r="R984" s="4"/>
      <c r="S984" s="4"/>
      <c r="T984" s="4"/>
      <c r="U984" s="4"/>
      <c r="V984" s="4"/>
      <c r="W984" s="4"/>
      <c r="X984" s="4"/>
    </row>
    <row x14ac:dyDescent="0.25" r="985" customHeight="1" ht="12.75">
      <c r="A985" s="4"/>
      <c r="B985" s="29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29"/>
      <c r="N985" s="29"/>
      <c r="O985" s="29"/>
      <c r="P985" s="32"/>
      <c r="Q985" s="40"/>
      <c r="R985" s="4"/>
      <c r="S985" s="4"/>
      <c r="T985" s="4"/>
      <c r="U985" s="4"/>
      <c r="V985" s="4"/>
      <c r="W985" s="4"/>
      <c r="X985" s="4"/>
    </row>
    <row x14ac:dyDescent="0.25" r="986" customHeight="1" ht="12.75">
      <c r="A986" s="4"/>
      <c r="B986" s="29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29"/>
      <c r="N986" s="29"/>
      <c r="O986" s="29"/>
      <c r="P986" s="32"/>
      <c r="Q986" s="40"/>
      <c r="R986" s="4"/>
      <c r="S986" s="4"/>
      <c r="T986" s="4"/>
      <c r="U986" s="4"/>
      <c r="V986" s="4"/>
      <c r="W986" s="4"/>
      <c r="X986" s="4"/>
    </row>
    <row x14ac:dyDescent="0.25" r="987" customHeight="1" ht="12.75">
      <c r="A987" s="4"/>
      <c r="B987" s="29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29"/>
      <c r="N987" s="29"/>
      <c r="O987" s="29"/>
      <c r="P987" s="32"/>
      <c r="Q987" s="40"/>
      <c r="R987" s="4"/>
      <c r="S987" s="4"/>
      <c r="T987" s="4"/>
      <c r="U987" s="4"/>
      <c r="V987" s="4"/>
      <c r="W987" s="4"/>
      <c r="X987" s="4"/>
    </row>
    <row x14ac:dyDescent="0.25" r="988" customHeight="1" ht="12.75">
      <c r="A988" s="4"/>
      <c r="B988" s="29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29"/>
      <c r="N988" s="29"/>
      <c r="O988" s="29"/>
      <c r="P988" s="32"/>
      <c r="Q988" s="40"/>
      <c r="R988" s="4"/>
      <c r="S988" s="4"/>
      <c r="T988" s="4"/>
      <c r="U988" s="4"/>
      <c r="V988" s="4"/>
      <c r="W988" s="4"/>
      <c r="X988" s="4"/>
    </row>
    <row x14ac:dyDescent="0.25" r="989" customHeight="1" ht="12.75">
      <c r="A989" s="4"/>
      <c r="B989" s="29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29"/>
      <c r="N989" s="29"/>
      <c r="O989" s="29"/>
      <c r="P989" s="32"/>
      <c r="Q989" s="41"/>
      <c r="R989" s="4"/>
      <c r="S989" s="4"/>
      <c r="T989" s="4"/>
      <c r="U989" s="4"/>
      <c r="V989" s="4"/>
      <c r="W989" s="4"/>
      <c r="X989" s="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3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5.147857142857141" customWidth="1" bestFit="1"/>
    <col min="2" max="2" style="43" width="13.576428571428572" customWidth="1" bestFit="1"/>
    <col min="3" max="3" style="44" width="13.576428571428572" customWidth="1" bestFit="1"/>
    <col min="4" max="4" style="45" width="13.576428571428572" customWidth="1" bestFit="1"/>
    <col min="5" max="5" style="45" width="13.576428571428572" customWidth="1" bestFit="1"/>
    <col min="6" max="6" style="45" width="13.576428571428572" customWidth="1" bestFit="1"/>
    <col min="7" max="7" style="45" width="13.576428571428572" customWidth="1" bestFit="1"/>
    <col min="8" max="8" style="45" width="13.576428571428572" customWidth="1" bestFit="1"/>
    <col min="9" max="9" style="45" width="13.576428571428572" customWidth="1" bestFit="1"/>
    <col min="10" max="10" style="45" width="13.576428571428572" customWidth="1" bestFit="1"/>
    <col min="11" max="11" style="45" width="13.576428571428572" customWidth="1" bestFit="1"/>
    <col min="12" max="12" style="45" width="13.576428571428572" customWidth="1" bestFit="1"/>
    <col min="13" max="13" style="7" width="13.43357142857143" customWidth="1" bestFit="1"/>
    <col min="14" max="14" style="7" width="13.576428571428572" customWidth="1" bestFit="1"/>
    <col min="15" max="15" style="7" width="13.576428571428572" customWidth="1" bestFit="1"/>
    <col min="16" max="16" style="45" width="13.576428571428572" customWidth="1" bestFit="1"/>
    <col min="17" max="17" style="45" width="13.576428571428572" customWidth="1" bestFit="1"/>
    <col min="18" max="18" style="7" width="13.576428571428572" customWidth="1" bestFit="1"/>
    <col min="19" max="19" style="7" width="13.576428571428572" customWidth="1" bestFit="1"/>
  </cols>
  <sheetData>
    <row x14ac:dyDescent="0.25" r="1" customHeight="1" ht="14.25">
      <c r="A1" s="10" t="s">
        <v>0</v>
      </c>
      <c r="B1" s="11" t="s">
        <v>13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1" t="s">
        <v>14</v>
      </c>
      <c r="N1" s="11" t="s">
        <v>15</v>
      </c>
      <c r="O1" s="11" t="s">
        <v>16</v>
      </c>
      <c r="P1" s="12" t="s">
        <v>63</v>
      </c>
      <c r="Q1" s="12" t="s">
        <v>64</v>
      </c>
      <c r="R1" s="13" t="s">
        <v>65</v>
      </c>
      <c r="S1" s="14"/>
    </row>
    <row x14ac:dyDescent="0.25" r="2" customHeight="1" ht="15.75">
      <c r="A2" s="15" t="s">
        <v>41</v>
      </c>
      <c r="B2" s="16">
        <f>$D$1:$D$70/$C$1:$C$116</f>
      </c>
      <c r="C2" s="17">
        <v>3</v>
      </c>
      <c r="D2" s="17">
        <v>2</v>
      </c>
      <c r="E2" s="17">
        <v>1</v>
      </c>
      <c r="F2" s="17">
        <v>1</v>
      </c>
      <c r="G2" s="17">
        <v>0</v>
      </c>
      <c r="H2" s="17">
        <v>0</v>
      </c>
      <c r="I2" s="17">
        <v>0</v>
      </c>
      <c r="J2" s="17">
        <v>1</v>
      </c>
      <c r="K2" s="17">
        <v>0</v>
      </c>
      <c r="L2" s="17">
        <v>0</v>
      </c>
      <c r="M2" s="16">
        <f>(($E2:$E10 + 2 * $F2:$F10 + 3 * $G2:$G10 + 4 * $H2:$H10) / $C2:$C10)</f>
      </c>
      <c r="N2" s="16">
        <f>(($D$1:$D$70 + $K$1:$K$70) / ($C$1:$C$116 + $K$1:$K$70))</f>
      </c>
      <c r="O2" s="16">
        <f>(($D$1:$D$62 + $K$1:$K$62) / ($C$1:$C$108 + $K$1:$K$88)) + ((($E$1:$E$100) + (2 * $F$1:$F$100) + (3 * $G$1:$G$100) + (4 * $H$1:$H$100)) / $C$1:$C$108)</f>
      </c>
      <c r="P2" s="17">
        <v>0</v>
      </c>
      <c r="Q2" s="17">
        <v>0</v>
      </c>
      <c r="R2" s="18"/>
      <c r="S2" s="14"/>
    </row>
    <row x14ac:dyDescent="0.25" r="3" customHeight="1" ht="15.75">
      <c r="A3" s="19" t="s">
        <v>38</v>
      </c>
      <c r="B3" s="20">
        <f>$D$1:$D$70/$C$1:$C$116</f>
      </c>
      <c r="C3" s="21">
        <v>2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0">
        <f>(($E3:$E10 + 2 * $F3:$F10 + 3 * $G3:$G10 + 4 * $H3:$H10) / $C3:$C10)</f>
      </c>
      <c r="N3" s="20">
        <f>(($D$1:$D$70 + $K$1:$K$70) / ($C$1:$C$116 + $K$1:$K$70))</f>
      </c>
      <c r="O3" s="20">
        <f>(($D$1:$D$62 + $K$1:$K$62) / ($C$1:$C$108 + $K$1:$K$88)) + ((($E$1:$E$100) + (2 * $F$1:$F$100) + (3 * $G$1:$G$100) + (4 * $H$1:$H$100)) / $C$1:$C$108)</f>
      </c>
      <c r="P3" s="21">
        <v>0</v>
      </c>
      <c r="Q3" s="21">
        <v>0</v>
      </c>
      <c r="R3" s="22"/>
      <c r="S3" s="14"/>
    </row>
    <row x14ac:dyDescent="0.25" r="4" customHeight="1" ht="14.25">
      <c r="A4" s="15" t="s">
        <v>30</v>
      </c>
      <c r="B4" s="16">
        <f>$D$1:$D$70/$C$1:$C$116</f>
      </c>
      <c r="C4" s="17">
        <v>3</v>
      </c>
      <c r="D4" s="17">
        <v>2</v>
      </c>
      <c r="E4" s="17">
        <v>2</v>
      </c>
      <c r="F4" s="17">
        <v>0</v>
      </c>
      <c r="G4" s="17">
        <v>0</v>
      </c>
      <c r="H4" s="17">
        <v>0</v>
      </c>
      <c r="I4" s="17">
        <v>1</v>
      </c>
      <c r="J4" s="17">
        <v>1</v>
      </c>
      <c r="K4" s="17">
        <v>0</v>
      </c>
      <c r="L4" s="17">
        <v>0</v>
      </c>
      <c r="M4" s="16">
        <f>(($E4:$E10 + 2 * $F4:$F10 + 3 * $G4:$G10 + 4 * $H4:$H10) / $C4:$C10)</f>
      </c>
      <c r="N4" s="16">
        <f>(($D$1:$D$70 + $K$1:$K$70) / ($C$1:$C$116 + $K$1:$K$70))</f>
      </c>
      <c r="O4" s="16">
        <f>(($D$1:$D$62 + $K$1:$K$62) / ($C$1:$C$108 + $K$1:$K$88)) + ((($E$1:$E$100) + (2 * $F$1:$F$100) + (3 * $G$1:$G$100) + (4 * $H$1:$H$100)) / $C$1:$C$108)</f>
      </c>
      <c r="P4" s="17">
        <v>1</v>
      </c>
      <c r="Q4" s="17">
        <v>1</v>
      </c>
      <c r="R4" s="18">
        <f>$Q$1:$Q$82/$P$1:$P$82</f>
      </c>
      <c r="S4" s="14"/>
    </row>
    <row x14ac:dyDescent="0.25" r="5" customHeight="1" ht="14.25">
      <c r="A5" s="19" t="s">
        <v>52</v>
      </c>
      <c r="B5" s="20">
        <f>$D$1:$D$70/$C$1:$C$116</f>
      </c>
      <c r="C5" s="21">
        <v>3</v>
      </c>
      <c r="D5" s="21">
        <v>2</v>
      </c>
      <c r="E5" s="21">
        <v>0</v>
      </c>
      <c r="F5" s="21">
        <v>2</v>
      </c>
      <c r="G5" s="21">
        <v>0</v>
      </c>
      <c r="H5" s="21">
        <v>0</v>
      </c>
      <c r="I5" s="21">
        <v>0</v>
      </c>
      <c r="J5" s="21">
        <v>1</v>
      </c>
      <c r="K5" s="21">
        <v>0</v>
      </c>
      <c r="L5" s="21">
        <v>0</v>
      </c>
      <c r="M5" s="20">
        <f>(($E5:$E11 + 2 * $F5:$F11 + 3 * $G5:$G11 + 4 * $H5:$H11) / $C5:$C11)</f>
      </c>
      <c r="N5" s="20">
        <f>(($D$1:$D$70 + $K$1:$K$70) / ($C$1:$C$116 + $K$1:$K$70))</f>
      </c>
      <c r="O5" s="20">
        <f>(($D$1:$D$62 + $K$1:$K$62) / ($C$1:$C$108 + $K$1:$K$88)) + ((($E$1:$E$100) + (2 * $F$1:$F$100) + (3 * $G$1:$G$100) + (4 * $H$1:$H$100)) / $C$1:$C$108)</f>
      </c>
      <c r="P5" s="21">
        <v>0</v>
      </c>
      <c r="Q5" s="21">
        <v>0</v>
      </c>
      <c r="R5" s="22"/>
      <c r="S5" s="14"/>
    </row>
    <row x14ac:dyDescent="0.25" r="6" customHeight="1" ht="14.25">
      <c r="A6" s="15" t="s">
        <v>49</v>
      </c>
      <c r="B6" s="16">
        <f>$D$1:$D$70/$C$1:$C$116</f>
      </c>
      <c r="C6" s="17">
        <v>3</v>
      </c>
      <c r="D6" s="17">
        <v>1</v>
      </c>
      <c r="E6" s="17">
        <v>0</v>
      </c>
      <c r="F6" s="17">
        <v>0</v>
      </c>
      <c r="G6" s="17">
        <v>0</v>
      </c>
      <c r="H6" s="17">
        <v>1</v>
      </c>
      <c r="I6" s="17">
        <v>2</v>
      </c>
      <c r="J6" s="17">
        <v>2</v>
      </c>
      <c r="K6" s="17">
        <v>0</v>
      </c>
      <c r="L6" s="17">
        <v>0</v>
      </c>
      <c r="M6" s="16">
        <f>(($E6:$E11 + 2 * $F6:$F11 + 3 * $G6:$G11 + 4 * $H6:$H11) / $C6:$C11)</f>
      </c>
      <c r="N6" s="16">
        <f>(($D$1:$D$70 + $K$1:$K$70) / ($C$1:$C$116 + $K$1:$K$70))</f>
      </c>
      <c r="O6" s="16">
        <f>(($D$1:$D$62 + $K$1:$K$62) / ($C$1:$C$108 + $K$1:$K$88)) + ((($E$1:$E$100) + (2 * $F$1:$F$100) + (3 * $G$1:$G$100) + (4 * $H$1:$H$100)) / $C$1:$C$108)</f>
      </c>
      <c r="P6" s="17">
        <v>2</v>
      </c>
      <c r="Q6" s="17">
        <v>0</v>
      </c>
      <c r="R6" s="18">
        <f>$Q$1:$Q$82/$P$1:$P$82</f>
      </c>
      <c r="S6" s="14"/>
    </row>
    <row x14ac:dyDescent="0.25" r="7" customHeight="1" ht="14.25">
      <c r="A7" s="19" t="s">
        <v>37</v>
      </c>
      <c r="B7" s="20">
        <f>$D$1:$D$70/$C$1:$C$116</f>
      </c>
      <c r="C7" s="21">
        <v>3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0">
        <f>(($E7:$E11 + 2 * $F7:$F11 + 3 * $G7:$G11 + 4 * $H7:$H11) / $C7:$C11)</f>
      </c>
      <c r="N7" s="20">
        <f>(($D$1:$D$70 + $K$1:$K$70) / ($C$1:$C$116 + $K$1:$K$70))</f>
      </c>
      <c r="O7" s="20">
        <f>(($D$1:$D$62 + $K$1:$K$62) / ($C$1:$C$108 + $K$1:$K$88)) + ((($E$1:$E$100) + (2 * $F$1:$F$100) + (3 * $G$1:$G$100) + (4 * $H$1:$H$100)) / $C$1:$C$108)</f>
      </c>
      <c r="P7" s="21">
        <v>2</v>
      </c>
      <c r="Q7" s="21">
        <v>0</v>
      </c>
      <c r="R7" s="22">
        <f>$Q$1:$Q$82/$P$1:$P$82</f>
      </c>
      <c r="S7" s="14"/>
    </row>
    <row x14ac:dyDescent="0.25" r="8" customHeight="1" ht="14.25">
      <c r="A8" s="15" t="s">
        <v>28</v>
      </c>
      <c r="B8" s="16">
        <f>$D$1:$D$70/$C$1:$C$116</f>
      </c>
      <c r="C8" s="17">
        <v>3</v>
      </c>
      <c r="D8" s="17">
        <v>2</v>
      </c>
      <c r="E8" s="17">
        <v>1</v>
      </c>
      <c r="F8" s="17">
        <v>1</v>
      </c>
      <c r="G8" s="17">
        <v>0</v>
      </c>
      <c r="H8" s="17">
        <v>0</v>
      </c>
      <c r="I8" s="17">
        <v>1</v>
      </c>
      <c r="J8" s="17">
        <v>1</v>
      </c>
      <c r="K8" s="17">
        <v>0</v>
      </c>
      <c r="L8" s="17">
        <v>0</v>
      </c>
      <c r="M8" s="16">
        <f>(($E8:$E12 + 2 * $F8:$F12 + 3 * $G8:$G12 + 4 * $H8:$H12) / $C8:$C12)</f>
      </c>
      <c r="N8" s="16">
        <f>(($D$1:$D$70 + $K$1:$K$70) / ($C$1:$C$116 + $K$1:$K$70))</f>
      </c>
      <c r="O8" s="16">
        <f>(($D$1:$D$62 + $K$1:$K$62) / ($C$1:$C$108 + $K$1:$K$88)) + ((($E$1:$E$100) + (2 * $F$1:$F$100) + (3 * $G$1:$G$100) + (4 * $H$1:$H$100)) / $C$1:$C$108)</f>
      </c>
      <c r="P8" s="17">
        <v>0</v>
      </c>
      <c r="Q8" s="17">
        <v>0</v>
      </c>
      <c r="R8" s="18"/>
      <c r="S8" s="14"/>
    </row>
    <row x14ac:dyDescent="0.25" r="9" customHeight="1" ht="14.25">
      <c r="A9" s="19" t="s">
        <v>25</v>
      </c>
      <c r="B9" s="20">
        <f>$D$1:$D$70/$C$1:$C$116</f>
      </c>
      <c r="C9" s="21">
        <v>2</v>
      </c>
      <c r="D9" s="21">
        <v>1</v>
      </c>
      <c r="E9" s="21">
        <v>1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0">
        <f>(($E9:$E10 + 2 * $F9:$F10 + 3 * $G9:$G10 + 4 * $H9:$H10) / $C9:$C10)</f>
      </c>
      <c r="N9" s="20">
        <f>(($D$1:$D$70 + $K$1:$K$70) / ($C$1:$C$116 + $K$1:$K$70))</f>
      </c>
      <c r="O9" s="20">
        <f>(($D$1:$D$62 + $K$1:$K$62) / ($C$1:$C$108 + $K$1:$K$88)) + ((($E$1:$E$100) + (2 * $F$1:$F$100) + (3 * $G$1:$G$100) + (4 * $H$1:$H$100)) / $C$1:$C$108)</f>
      </c>
      <c r="P9" s="21">
        <v>0</v>
      </c>
      <c r="Q9" s="21">
        <v>0</v>
      </c>
      <c r="R9" s="22"/>
      <c r="S9" s="14"/>
    </row>
    <row x14ac:dyDescent="0.25" r="10" customHeight="1" ht="12.75">
      <c r="A10" s="15" t="s">
        <v>53</v>
      </c>
      <c r="B10" s="16">
        <f>$D$1:$D$70/$C$1:$C$116</f>
      </c>
      <c r="C10" s="17">
        <v>2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6">
        <f>(($E10:$E11 + 2 * $F10:$F11 + 3 * $G10:$G11 + 4 * $H10:$H11) / $C10:$C11)</f>
      </c>
      <c r="N10" s="16">
        <f>(($D$1:$D$70 + $K$1:$K$70) / ($C$1:$C$116 + $K$1:$K$70))</f>
      </c>
      <c r="O10" s="16">
        <f>(($D$1:$D$62 + $K$1:$K$62) / ($C$1:$C$108 + $K$1:$K$88)) + ((($E$1:$E$100) + (2 * $F$1:$F$100) + (3 * $G$1:$G$100) + (4 * $H$1:$H$100)) / $C$1:$C$108)</f>
      </c>
      <c r="P10" s="17">
        <v>1</v>
      </c>
      <c r="Q10" s="17">
        <v>0</v>
      </c>
      <c r="R10" s="18">
        <f>$Q$1:$Q$82/$P$1:$P$82</f>
      </c>
      <c r="S10" s="4"/>
    </row>
    <row x14ac:dyDescent="0.25" r="11" customHeight="1" ht="12.75">
      <c r="A11" s="19" t="s">
        <v>43</v>
      </c>
      <c r="B11" s="20">
        <f>$D$1:$D$70/$C$1:$C$116</f>
      </c>
      <c r="C11" s="21">
        <v>2</v>
      </c>
      <c r="D11" s="21">
        <v>2</v>
      </c>
      <c r="E11" s="21">
        <v>2</v>
      </c>
      <c r="F11" s="21">
        <v>0</v>
      </c>
      <c r="G11" s="21">
        <v>0</v>
      </c>
      <c r="H11" s="21">
        <v>0</v>
      </c>
      <c r="I11" s="21">
        <v>0</v>
      </c>
      <c r="J11" s="21">
        <v>2</v>
      </c>
      <c r="K11" s="21">
        <v>0</v>
      </c>
      <c r="L11" s="21">
        <v>0</v>
      </c>
      <c r="M11" s="20">
        <f>(($E11:$E21 + 2 * $F11:$F21 + 3 * $G11:$G21 + 4 * $H11:$H21) / $C11:$C21)</f>
      </c>
      <c r="N11" s="20">
        <f>(($D$1:$D$70 + $K$1:$K$70) / ($C$1:$C$116 + $K$1:$K$70))</f>
      </c>
      <c r="O11" s="20">
        <f>(($D$1:$D$62 + $K$1:$K$62) / ($C$1:$C$108 + $K$1:$K$88)) + ((($E$1:$E$100) + (2 * $F$1:$F$100) + (3 * $G$1:$G$100) + (4 * $H$1:$H$100)) / $C$1:$C$108)</f>
      </c>
      <c r="P11" s="21">
        <v>1</v>
      </c>
      <c r="Q11" s="21">
        <v>1</v>
      </c>
      <c r="R11" s="22">
        <f>$Q$1:$Q$82/$P$1:$P$82</f>
      </c>
      <c r="S11" s="4"/>
    </row>
    <row x14ac:dyDescent="0.25" r="12" customHeight="1" ht="12.75">
      <c r="A12" s="15" t="s">
        <v>21</v>
      </c>
      <c r="B12" s="16">
        <f>$D$1:$D$70/$C$1:$C$116</f>
      </c>
      <c r="C12" s="17">
        <v>2</v>
      </c>
      <c r="D12" s="17">
        <v>2</v>
      </c>
      <c r="E12" s="17">
        <v>2</v>
      </c>
      <c r="F12" s="17">
        <v>0</v>
      </c>
      <c r="G12" s="17">
        <v>0</v>
      </c>
      <c r="H12" s="17">
        <v>0</v>
      </c>
      <c r="I12" s="17">
        <v>0</v>
      </c>
      <c r="J12" s="17">
        <v>1</v>
      </c>
      <c r="K12" s="17">
        <v>0</v>
      </c>
      <c r="L12" s="17">
        <v>0</v>
      </c>
      <c r="M12" s="16">
        <f>(($E12:$E21 + 2 * $F12:$F21 + 3 * $G12:$G21 + 4 * $H12:$H21) / $C12:$C21)</f>
      </c>
      <c r="N12" s="16">
        <f>(($D$1:$D$70 + $K$1:$K$70) / ($C$1:$C$116 + $K$1:$K$70))</f>
      </c>
      <c r="O12" s="16">
        <f>(($D$1:$D$62 + $K$1:$K$62) / ($C$1:$C$108 + $K$1:$K$88)) + ((($E$1:$E$100) + (2 * $F$1:$F$100) + (3 * $G$1:$G$100) + (4 * $H$1:$H$100)) / $C$1:$C$108)</f>
      </c>
      <c r="P12" s="17">
        <v>1</v>
      </c>
      <c r="Q12" s="17">
        <v>1</v>
      </c>
      <c r="R12" s="18">
        <f>$Q$1:$Q$82/$P$1:$P$82</f>
      </c>
      <c r="S12" s="4"/>
    </row>
    <row x14ac:dyDescent="0.25" r="13" customHeight="1" ht="12.75">
      <c r="A13" s="19" t="s">
        <v>47</v>
      </c>
      <c r="B13" s="20">
        <f>$D$1:$D$70/$C$1:$C$116</f>
      </c>
      <c r="C13" s="21">
        <v>2</v>
      </c>
      <c r="D13" s="21">
        <v>2</v>
      </c>
      <c r="E13" s="21">
        <v>2</v>
      </c>
      <c r="F13" s="21">
        <v>0</v>
      </c>
      <c r="G13" s="21">
        <v>0</v>
      </c>
      <c r="H13" s="21">
        <v>0</v>
      </c>
      <c r="I13" s="21">
        <v>1</v>
      </c>
      <c r="J13" s="21">
        <v>2</v>
      </c>
      <c r="K13" s="21">
        <v>0</v>
      </c>
      <c r="L13" s="21">
        <v>0</v>
      </c>
      <c r="M13" s="20">
        <f>(($E13:$E21 + 2 * $F13:$F21 + 3 * $G13:$G21 + 4 * $H13:$H21) / $C13:$C21)</f>
      </c>
      <c r="N13" s="20">
        <f>(($D$1:$D$70 + $K$1:$K$70) / ($C$1:$C$116 + $K$1:$K$70))</f>
      </c>
      <c r="O13" s="20">
        <f>(($D$1:$D$62 + $K$1:$K$62) / ($C$1:$C$108 + $K$1:$K$88)) + ((($E$1:$E$100) + (2 * $F$1:$F$100) + (3 * $G$1:$G$100) + (4 * $H$1:$H$100)) / $C$1:$C$108)</f>
      </c>
      <c r="P13" s="21">
        <v>2</v>
      </c>
      <c r="Q13" s="21">
        <v>2</v>
      </c>
      <c r="R13" s="22">
        <f>$Q$1:$Q$82/$P$1:$P$82</f>
      </c>
      <c r="S13" s="4"/>
    </row>
    <row x14ac:dyDescent="0.25" r="14" customHeight="1" ht="12.75">
      <c r="A14" s="15" t="s">
        <v>26</v>
      </c>
      <c r="B14" s="16">
        <f>$D$1:$D$70/$C$1:$C$116</f>
      </c>
      <c r="C14" s="17">
        <v>2</v>
      </c>
      <c r="D14" s="17">
        <v>1</v>
      </c>
      <c r="E14" s="17">
        <v>1</v>
      </c>
      <c r="F14" s="17">
        <v>0</v>
      </c>
      <c r="G14" s="17">
        <v>0</v>
      </c>
      <c r="H14" s="17">
        <v>0</v>
      </c>
      <c r="I14" s="17">
        <v>3</v>
      </c>
      <c r="J14" s="17">
        <v>1</v>
      </c>
      <c r="K14" s="17">
        <v>0</v>
      </c>
      <c r="L14" s="17">
        <v>0</v>
      </c>
      <c r="M14" s="16">
        <f>(($E14:$E22 + 2 * $F14:$F22 + 3 * $G14:$G22 + 4 * $H14:$H22) / $C14:$C21)</f>
      </c>
      <c r="N14" s="16">
        <f>(($D$1:$D$70 + $K$1:$K$70) / ($C$1:$C$116 + $K$1:$K$70))</f>
      </c>
      <c r="O14" s="16">
        <f>(($D$1:$D$62 + $K$1:$K$62) / ($C$1:$C$108 + $K$1:$K$88)) + ((($E$1:$E$100) + (2 * $F$1:$F$100) + (3 * $G$1:$G$100) + (4 * $H$1:$H$100)) / $C$1:$C$108)</f>
      </c>
      <c r="P14" s="17">
        <v>2</v>
      </c>
      <c r="Q14" s="17">
        <v>2</v>
      </c>
      <c r="R14" s="18">
        <f>$Q$1:$Q$82/$P$1:$P$82</f>
      </c>
      <c r="S14" s="4"/>
    </row>
    <row x14ac:dyDescent="0.25" r="15" customHeight="1" ht="12.75">
      <c r="A15" s="19" t="s">
        <v>44</v>
      </c>
      <c r="B15" s="20">
        <f>$D$1:$D$70/$C$1:$C$116</f>
      </c>
      <c r="C15" s="21">
        <v>2</v>
      </c>
      <c r="D15" s="21">
        <v>2</v>
      </c>
      <c r="E15" s="21">
        <v>1</v>
      </c>
      <c r="F15" s="21">
        <v>1</v>
      </c>
      <c r="G15" s="21">
        <v>0</v>
      </c>
      <c r="H15" s="21">
        <v>0</v>
      </c>
      <c r="I15" s="21">
        <v>3</v>
      </c>
      <c r="J15" s="21">
        <v>1</v>
      </c>
      <c r="K15" s="21">
        <v>0</v>
      </c>
      <c r="L15" s="21">
        <v>0</v>
      </c>
      <c r="M15" s="20">
        <f>(($E15:$E26 + 2 * $F15:$F26 + 3 * $G15:$G26 + 4 * $H15:$H26) / $C15:$C21)</f>
      </c>
      <c r="N15" s="20">
        <f>(($D$1:$D$70 + $K$1:$K$70) / ($C$1:$C$116 + $K$1:$K$70))</f>
      </c>
      <c r="O15" s="20">
        <f>(($D$1:$D$62 + $K$1:$K$62) / ($C$1:$C$108 + $K$1:$K$88)) + ((($E$1:$E$100) + (2 * $F$1:$F$100) + (3 * $G$1:$G$100) + (4 * $H$1:$H$100)) / $C$1:$C$108)</f>
      </c>
      <c r="P15" s="21">
        <v>2</v>
      </c>
      <c r="Q15" s="21">
        <v>2</v>
      </c>
      <c r="R15" s="22">
        <f>$Q$1:$Q$82/$P$1:$P$82</f>
      </c>
      <c r="S15" s="4"/>
    </row>
    <row x14ac:dyDescent="0.25" r="16" customHeight="1" ht="12.75">
      <c r="A16" s="15" t="s">
        <v>33</v>
      </c>
      <c r="B16" s="16">
        <f>$D$1:$D$70/$C$1:$C$116</f>
      </c>
      <c r="C16" s="17">
        <v>2</v>
      </c>
      <c r="D16" s="17">
        <v>1</v>
      </c>
      <c r="E16" s="17">
        <v>1</v>
      </c>
      <c r="F16" s="17">
        <v>0</v>
      </c>
      <c r="G16" s="17">
        <v>0</v>
      </c>
      <c r="H16" s="17">
        <v>0</v>
      </c>
      <c r="I16" s="17">
        <v>0</v>
      </c>
      <c r="J16" s="17">
        <v>1</v>
      </c>
      <c r="K16" s="17">
        <v>0</v>
      </c>
      <c r="L16" s="17">
        <v>0</v>
      </c>
      <c r="M16" s="16">
        <f>(($E16:$E27 + 2 * $F16:$F27 + 3 * $G16:$G27 + 4 * $H16:$H27) / $C16:$C21)</f>
      </c>
      <c r="N16" s="16">
        <f>(($D$1:$D$70 + $K$1:$K$70) / ($C$1:$C$116 + $K$1:$K$70))</f>
      </c>
      <c r="O16" s="16">
        <f>(($D$1:$D$62 + $K$1:$K$62) / ($C$1:$C$108 + $K$1:$K$88)) + ((($E$1:$E$100) + (2 * $F$1:$F$100) + (3 * $G$1:$G$100) + (4 * $H$1:$H$100)) / $C$1:$C$108)</f>
      </c>
      <c r="P16" s="17">
        <v>2</v>
      </c>
      <c r="Q16" s="17">
        <v>1</v>
      </c>
      <c r="R16" s="18">
        <f>$Q$1:$Q$82/$P$1:$P$82</f>
      </c>
      <c r="S16" s="4"/>
    </row>
    <row x14ac:dyDescent="0.25" r="17" customHeight="1" ht="12.75">
      <c r="A17" s="23" t="s">
        <v>45</v>
      </c>
      <c r="B17" s="20">
        <f>$D$1:$D$70/$C$1:$C$116</f>
      </c>
      <c r="C17" s="21">
        <v>2</v>
      </c>
      <c r="D17" s="21">
        <v>2</v>
      </c>
      <c r="E17" s="21">
        <v>1</v>
      </c>
      <c r="F17" s="21">
        <v>1</v>
      </c>
      <c r="G17" s="21">
        <v>0</v>
      </c>
      <c r="H17" s="21">
        <v>0</v>
      </c>
      <c r="I17" s="21">
        <v>2</v>
      </c>
      <c r="J17" s="21">
        <v>1</v>
      </c>
      <c r="K17" s="21">
        <v>0</v>
      </c>
      <c r="L17" s="21">
        <v>0</v>
      </c>
      <c r="M17" s="20">
        <f>(($E17:$E22 + 2 * $F17:$F22 + 3 * $G17:$G22 + 4 * $H17:$H22) / $C17:$C21)</f>
      </c>
      <c r="N17" s="20">
        <f>(($D$1:$D$70 + $K$1:$K$70) / ($C$1:$C$116 + $K$1:$K$70))</f>
      </c>
      <c r="O17" s="20">
        <f>(($D$1:$D$62 + $K$1:$K$62) / ($C$1:$C$108 + $K$1:$K$88)) + ((($E$1:$E$100) + (2 * $F$1:$F$100) + (3 * $G$1:$G$100) + (4 * $H$1:$H$100)) / $C$1:$C$108)</f>
      </c>
      <c r="P17" s="21">
        <v>2</v>
      </c>
      <c r="Q17" s="21">
        <v>2</v>
      </c>
      <c r="R17" s="22">
        <f>$Q$1:$Q$82/$P$1:$P$82</f>
      </c>
      <c r="S17" s="4"/>
    </row>
    <row x14ac:dyDescent="0.25" r="18" customHeight="1" ht="12.75">
      <c r="A18" s="15" t="s">
        <v>46</v>
      </c>
      <c r="B18" s="16">
        <f>$D$1:$D$70/$C$1:$C$116</f>
      </c>
      <c r="C18" s="17">
        <v>2</v>
      </c>
      <c r="D18" s="17">
        <v>2</v>
      </c>
      <c r="E18" s="17">
        <v>1</v>
      </c>
      <c r="F18" s="17">
        <v>1</v>
      </c>
      <c r="G18" s="17">
        <v>0</v>
      </c>
      <c r="H18" s="17">
        <v>0</v>
      </c>
      <c r="I18" s="17">
        <v>2</v>
      </c>
      <c r="J18" s="17">
        <v>1</v>
      </c>
      <c r="K18" s="17">
        <v>0</v>
      </c>
      <c r="L18" s="17">
        <v>0</v>
      </c>
      <c r="M18" s="16">
        <f>(($E18:$E23 + 2 * $F18:$F23 + 3 * $G18:$G23 + 4 * $H18:$H23) / $C18:$C21)</f>
      </c>
      <c r="N18" s="16">
        <f>(($D$1:$D$70 + $K$1:$K$70) / ($C$1:$C$116 + $K$1:$K$70))</f>
      </c>
      <c r="O18" s="16">
        <f>(($D$1:$D$62 + $K$1:$K$62) / ($C$1:$C$108 + $K$1:$K$88)) + ((($E$1:$E$100) + (2 * $F$1:$F$100) + (3 * $G$1:$G$100) + (4 * $H$1:$H$100)) / $C$1:$C$108)</f>
      </c>
      <c r="P18" s="17">
        <v>2</v>
      </c>
      <c r="Q18" s="17">
        <v>2</v>
      </c>
      <c r="R18" s="18">
        <f>$Q$1:$Q$82/$P$1:$P$82</f>
      </c>
      <c r="S18" s="4"/>
    </row>
    <row x14ac:dyDescent="0.25" r="19" customHeight="1" ht="12.75">
      <c r="A19" s="19" t="s">
        <v>35</v>
      </c>
      <c r="B19" s="20">
        <f>$D$1:$D$70/$C$1:$C$116</f>
      </c>
      <c r="C19" s="21">
        <v>2</v>
      </c>
      <c r="D19" s="21">
        <v>1</v>
      </c>
      <c r="E19" s="21">
        <v>0</v>
      </c>
      <c r="F19" s="21">
        <v>1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0">
        <f>(($E19:$E24 + 2 * $F19:$F24 + 3 * $G19:$G24 + 4 * $H19:$H24) / $C19:$C21)</f>
      </c>
      <c r="N19" s="20">
        <f>(($D$1:$D$70 + $K$1:$K$70) / ($C$1:$C$116 + $K$1:$K$70))</f>
      </c>
      <c r="O19" s="20">
        <f>(($D$1:$D$62 + $K$1:$K$62) / ($C$1:$C$108 + $K$1:$K$88)) + ((($E$1:$E$100) + (2 * $F$1:$F$100) + (3 * $G$1:$G$100) + (4 * $H$1:$H$100)) / $C$1:$C$108)</f>
      </c>
      <c r="P19" s="21">
        <v>2</v>
      </c>
      <c r="Q19" s="21">
        <v>1</v>
      </c>
      <c r="R19" s="22">
        <f>$Q$1:$Q$82/$P$1:$P$82</f>
      </c>
      <c r="S19" s="4"/>
    </row>
    <row x14ac:dyDescent="0.25" r="20" customHeight="1" ht="12.75">
      <c r="A20" s="15" t="s">
        <v>62</v>
      </c>
      <c r="B20" s="16">
        <f>$D$1:$D$70/$C$1:$C$116</f>
      </c>
      <c r="C20" s="17">
        <v>2</v>
      </c>
      <c r="D20" s="17">
        <v>2</v>
      </c>
      <c r="E20" s="17">
        <v>1</v>
      </c>
      <c r="F20" s="17">
        <v>1</v>
      </c>
      <c r="G20" s="17">
        <v>1</v>
      </c>
      <c r="H20" s="17">
        <v>0</v>
      </c>
      <c r="I20" s="17">
        <v>1</v>
      </c>
      <c r="J20" s="17">
        <v>0</v>
      </c>
      <c r="K20" s="17">
        <v>0</v>
      </c>
      <c r="L20" s="17">
        <v>0</v>
      </c>
      <c r="M20" s="16">
        <f>(($E20:$E25 + 2 * $F20:$F25 + 3 * $G20:$G25 + 4 * $H20:$H25) / $C20:$C21)</f>
      </c>
      <c r="N20" s="16">
        <f>(($D$1:$D$70 + $K$1:$K$70) / ($C$1:$C$116 + $K$1:$K$70))</f>
      </c>
      <c r="O20" s="16">
        <f>(($D$1:$D$62 + $K$1:$K$62) / ($C$1:$C$108 + $K$1:$K$88)) + ((($E$1:$E$100) + (2 * $F$1:$F$100) + (3 * $G$1:$G$100) + (4 * $H$1:$H$100)) / $C$1:$C$108)</f>
      </c>
      <c r="P20" s="17">
        <v>1</v>
      </c>
      <c r="Q20" s="17">
        <v>1</v>
      </c>
      <c r="R20" s="18">
        <f>$Q$1:$Q$82/$P$1:$P$82</f>
      </c>
      <c r="S20" s="4"/>
    </row>
    <row x14ac:dyDescent="0.25" r="21" customHeight="1" ht="12.75">
      <c r="A21" s="24" t="s">
        <v>60</v>
      </c>
      <c r="B21" s="25">
        <f>$D$1:$D$70/$C$1:$C$116</f>
      </c>
      <c r="C21" s="26">
        <v>2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5">
        <f>(($E21 + 2 * $F21 + 3 * $G21 + 4 * $H21) / $C21)</f>
      </c>
      <c r="N21" s="25">
        <f>(($D$1:$D$70 + $K$1:$K$70) / ($C$1:$C$116 + $K$1:$K$70))</f>
      </c>
      <c r="O21" s="25">
        <f>(($D$1:$D$62 + $K$1:$K$62) / ($C$1:$C$108 + $K$1:$K$88)) + ((($E$1:$E$100) + (2 * $F$1:$F$100) + (3 * $G$1:$G$100) + (4 * $H$1:$H$100)) / $C$1:$C$108)</f>
      </c>
      <c r="P21" s="26">
        <v>1</v>
      </c>
      <c r="Q21" s="26">
        <v>0</v>
      </c>
      <c r="R21" s="27">
        <f>$Q$1:$Q$82/$P$1:$P$82</f>
      </c>
      <c r="S21" s="4"/>
    </row>
    <row x14ac:dyDescent="0.25" r="22" customHeight="1" ht="14.25">
      <c r="A22" s="14"/>
      <c r="B22" s="14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14"/>
      <c r="N22" s="14"/>
      <c r="O22" s="14"/>
      <c r="P22" s="28"/>
      <c r="Q22" s="28"/>
      <c r="R22" s="14"/>
      <c r="S22" s="14"/>
    </row>
    <row x14ac:dyDescent="0.25" r="23" customHeight="1" ht="15.75">
      <c r="A23" s="14"/>
      <c r="B23" s="14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4"/>
      <c r="N23" s="14"/>
      <c r="O23" s="14"/>
      <c r="P23" s="28"/>
      <c r="Q23" s="28"/>
      <c r="R23" s="14"/>
      <c r="S23" s="14"/>
    </row>
    <row x14ac:dyDescent="0.25" r="24" customHeight="1" ht="15.75">
      <c r="A24" s="14"/>
      <c r="B24" s="14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14"/>
      <c r="N24" s="14"/>
      <c r="O24" s="14"/>
      <c r="P24" s="28"/>
      <c r="Q24" s="28"/>
      <c r="R24" s="14"/>
      <c r="S24" s="14"/>
    </row>
    <row x14ac:dyDescent="0.25" r="25" customHeight="1" ht="15.75">
      <c r="A25" s="14"/>
      <c r="B25" s="14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4"/>
      <c r="N25" s="14"/>
      <c r="O25" s="14"/>
      <c r="P25" s="28"/>
      <c r="Q25" s="28"/>
      <c r="R25" s="14"/>
      <c r="S25" s="14"/>
    </row>
    <row x14ac:dyDescent="0.25" r="26" customHeight="1" ht="14.25">
      <c r="A26" s="14"/>
      <c r="B26" s="14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14"/>
      <c r="N26" s="14"/>
      <c r="O26" s="14"/>
      <c r="P26" s="28"/>
      <c r="Q26" s="28"/>
      <c r="R26" s="14"/>
      <c r="S26" s="14"/>
    </row>
    <row x14ac:dyDescent="0.25" r="27" customHeight="1" ht="14.25">
      <c r="A27" s="14"/>
      <c r="B27" s="14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14"/>
      <c r="N27" s="14"/>
      <c r="O27" s="14"/>
      <c r="P27" s="28"/>
      <c r="Q27" s="28"/>
      <c r="R27" s="14"/>
      <c r="S27" s="14"/>
    </row>
    <row x14ac:dyDescent="0.25" r="28" customHeight="1" ht="14.25">
      <c r="A28" s="14"/>
      <c r="B28" s="14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4"/>
      <c r="N28" s="14"/>
      <c r="O28" s="14"/>
      <c r="P28" s="28"/>
      <c r="Q28" s="28"/>
      <c r="R28" s="14"/>
      <c r="S28" s="14"/>
    </row>
    <row x14ac:dyDescent="0.25" r="29" customHeight="1" ht="14.25">
      <c r="A29" s="14"/>
      <c r="B29" s="14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4"/>
      <c r="N29" s="14"/>
      <c r="O29" s="14"/>
      <c r="P29" s="28"/>
      <c r="Q29" s="28"/>
      <c r="R29" s="14"/>
      <c r="S29" s="14"/>
    </row>
    <row x14ac:dyDescent="0.25" r="30" customHeight="1" ht="14.25">
      <c r="A30" s="14"/>
      <c r="B30" s="14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4"/>
      <c r="N30" s="14"/>
      <c r="O30" s="14"/>
      <c r="P30" s="28"/>
      <c r="Q30" s="28"/>
      <c r="R30" s="14"/>
      <c r="S30" s="14"/>
    </row>
    <row x14ac:dyDescent="0.25" r="31" customHeight="1" ht="14.25">
      <c r="A31" s="14"/>
      <c r="B31" s="14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14"/>
      <c r="N31" s="14"/>
      <c r="O31" s="14"/>
      <c r="P31" s="28"/>
      <c r="Q31" s="28"/>
      <c r="R31" s="14"/>
      <c r="S31" s="14"/>
    </row>
    <row x14ac:dyDescent="0.25" r="32" customHeight="1" ht="14.25">
      <c r="A32" s="14"/>
      <c r="B32" s="14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14"/>
      <c r="N32" s="14"/>
      <c r="O32" s="14"/>
      <c r="P32" s="28"/>
      <c r="Q32" s="28"/>
      <c r="R32" s="14"/>
      <c r="S32" s="14"/>
    </row>
    <row x14ac:dyDescent="0.25" r="33" customHeight="1" ht="14.25">
      <c r="A33" s="14"/>
      <c r="B33" s="14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14"/>
      <c r="N33" s="14"/>
      <c r="O33" s="14"/>
      <c r="P33" s="28"/>
      <c r="Q33" s="28"/>
      <c r="R33" s="14"/>
      <c r="S33" s="14"/>
    </row>
    <row x14ac:dyDescent="0.25" r="34" customHeight="1" ht="14.25">
      <c r="A34" s="14"/>
      <c r="B34" s="14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14"/>
      <c r="N34" s="14"/>
      <c r="O34" s="14"/>
      <c r="P34" s="28"/>
      <c r="Q34" s="28"/>
      <c r="R34" s="14"/>
      <c r="S34" s="14"/>
    </row>
    <row x14ac:dyDescent="0.25" r="35" customHeight="1" ht="14.25">
      <c r="A35" s="14"/>
      <c r="B35" s="14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14"/>
      <c r="N35" s="14"/>
      <c r="O35" s="14"/>
      <c r="P35" s="28"/>
      <c r="Q35" s="28"/>
      <c r="R35" s="14"/>
      <c r="S35" s="14"/>
    </row>
    <row x14ac:dyDescent="0.25" r="36" customHeight="1" ht="14.25">
      <c r="A36" s="14"/>
      <c r="B36" s="14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14"/>
      <c r="N36" s="14"/>
      <c r="O36" s="14"/>
      <c r="P36" s="28"/>
      <c r="Q36" s="28"/>
      <c r="R36" s="14"/>
      <c r="S36" s="14"/>
    </row>
    <row x14ac:dyDescent="0.25" r="37" customHeight="1" ht="14.25">
      <c r="A37" s="14"/>
      <c r="B37" s="14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14"/>
      <c r="N37" s="14"/>
      <c r="O37" s="14"/>
      <c r="P37" s="28"/>
      <c r="Q37" s="28"/>
      <c r="R37" s="14"/>
      <c r="S37" s="14"/>
    </row>
    <row x14ac:dyDescent="0.25" r="38" customHeight="1" ht="14.25">
      <c r="A38" s="14"/>
      <c r="B38" s="14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14"/>
      <c r="N38" s="14"/>
      <c r="O38" s="14"/>
      <c r="P38" s="28"/>
      <c r="Q38" s="28"/>
      <c r="R38" s="14"/>
      <c r="S38" s="14"/>
    </row>
    <row x14ac:dyDescent="0.25" r="39" customHeight="1" ht="14.25">
      <c r="A39" s="14"/>
      <c r="B39" s="14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14"/>
      <c r="N39" s="14"/>
      <c r="O39" s="14"/>
      <c r="P39" s="28"/>
      <c r="Q39" s="28"/>
      <c r="R39" s="14"/>
      <c r="S39" s="14"/>
    </row>
    <row x14ac:dyDescent="0.25" r="40" customHeight="1" ht="14.25">
      <c r="A40" s="14"/>
      <c r="B40" s="14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14"/>
      <c r="N40" s="14"/>
      <c r="O40" s="14"/>
      <c r="P40" s="28"/>
      <c r="Q40" s="28"/>
      <c r="R40" s="14"/>
      <c r="S40" s="14"/>
    </row>
    <row x14ac:dyDescent="0.25" r="41" customHeight="1" ht="14.25">
      <c r="A41" s="14"/>
      <c r="B41" s="14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14"/>
      <c r="N41" s="14"/>
      <c r="O41" s="14"/>
      <c r="P41" s="28"/>
      <c r="Q41" s="28"/>
      <c r="R41" s="14"/>
      <c r="S41" s="14"/>
    </row>
    <row x14ac:dyDescent="0.25" r="42" customHeight="1" ht="14.25">
      <c r="A42" s="14"/>
      <c r="B42" s="14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14"/>
      <c r="N42" s="14"/>
      <c r="O42" s="14"/>
      <c r="P42" s="28"/>
      <c r="Q42" s="28"/>
      <c r="R42" s="14"/>
      <c r="S42" s="14"/>
    </row>
    <row x14ac:dyDescent="0.25" r="43" customHeight="1" ht="14.25">
      <c r="A43" s="14"/>
      <c r="B43" s="1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14"/>
      <c r="N43" s="14"/>
      <c r="O43" s="14"/>
      <c r="P43" s="28"/>
      <c r="Q43" s="28"/>
      <c r="R43" s="14"/>
      <c r="S43" s="14"/>
    </row>
    <row x14ac:dyDescent="0.25" r="44" customHeight="1" ht="14.25">
      <c r="A44" s="14"/>
      <c r="B44" s="14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14"/>
      <c r="N44" s="14"/>
      <c r="O44" s="14"/>
      <c r="P44" s="28"/>
      <c r="Q44" s="28"/>
      <c r="R44" s="14"/>
      <c r="S44" s="14"/>
    </row>
    <row x14ac:dyDescent="0.25" r="45" customHeight="1" ht="14.25">
      <c r="A45" s="14"/>
      <c r="B45" s="14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14"/>
      <c r="N45" s="14"/>
      <c r="O45" s="14"/>
      <c r="P45" s="28"/>
      <c r="Q45" s="28"/>
      <c r="R45" s="14"/>
      <c r="S45" s="14"/>
    </row>
    <row x14ac:dyDescent="0.25" r="46" customHeight="1" ht="14.25">
      <c r="A46" s="14"/>
      <c r="B46" s="14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14"/>
      <c r="N46" s="14"/>
      <c r="O46" s="14"/>
      <c r="P46" s="28"/>
      <c r="Q46" s="28"/>
      <c r="R46" s="14"/>
      <c r="S46" s="14"/>
    </row>
    <row x14ac:dyDescent="0.25" r="47" customHeight="1" ht="14.25">
      <c r="A47" s="14"/>
      <c r="B47" s="14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14"/>
      <c r="N47" s="14"/>
      <c r="O47" s="14"/>
      <c r="P47" s="28"/>
      <c r="Q47" s="28"/>
      <c r="R47" s="14"/>
      <c r="S47" s="14"/>
    </row>
    <row x14ac:dyDescent="0.25" r="48" customHeight="1" ht="14.25">
      <c r="A48" s="14"/>
      <c r="B48" s="14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14"/>
      <c r="N48" s="14"/>
      <c r="O48" s="14"/>
      <c r="P48" s="28"/>
      <c r="Q48" s="28"/>
      <c r="R48" s="14"/>
      <c r="S48" s="14"/>
    </row>
    <row x14ac:dyDescent="0.25" r="49" customHeight="1" ht="14.25">
      <c r="A49" s="14"/>
      <c r="B49" s="14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14"/>
      <c r="N49" s="14"/>
      <c r="O49" s="14"/>
      <c r="P49" s="28"/>
      <c r="Q49" s="28"/>
      <c r="R49" s="14"/>
      <c r="S49" s="14"/>
    </row>
    <row x14ac:dyDescent="0.25" r="50" customHeight="1" ht="14.25">
      <c r="A50" s="14"/>
      <c r="B50" s="14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14"/>
      <c r="N50" s="14"/>
      <c r="O50" s="14"/>
      <c r="P50" s="28"/>
      <c r="Q50" s="28"/>
      <c r="R50" s="14"/>
      <c r="S50" s="14"/>
    </row>
    <row x14ac:dyDescent="0.25" r="51" customHeight="1" ht="14.25">
      <c r="A51" s="14"/>
      <c r="B51" s="14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14"/>
      <c r="N51" s="14"/>
      <c r="O51" s="14"/>
      <c r="P51" s="28"/>
      <c r="Q51" s="28"/>
      <c r="R51" s="14"/>
      <c r="S51" s="14"/>
    </row>
    <row x14ac:dyDescent="0.25" r="52" customHeight="1" ht="15.75">
      <c r="A52" s="14"/>
      <c r="B52" s="14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14"/>
      <c r="N52" s="14"/>
      <c r="O52" s="14"/>
      <c r="P52" s="28"/>
      <c r="Q52" s="28"/>
      <c r="R52" s="14"/>
      <c r="S52" s="14"/>
    </row>
    <row x14ac:dyDescent="0.25" r="53" customHeight="1" ht="14.25">
      <c r="A53" s="14"/>
      <c r="B53" s="14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14"/>
      <c r="N53" s="14"/>
      <c r="O53" s="14"/>
      <c r="P53" s="28"/>
      <c r="Q53" s="28"/>
      <c r="R53" s="14"/>
      <c r="S53" s="14"/>
    </row>
    <row x14ac:dyDescent="0.25" r="54" customHeight="1" ht="14.25">
      <c r="A54" s="14"/>
      <c r="B54" s="14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14"/>
      <c r="N54" s="14"/>
      <c r="O54" s="14"/>
      <c r="P54" s="28"/>
      <c r="Q54" s="28"/>
      <c r="R54" s="14"/>
      <c r="S54" s="14"/>
    </row>
    <row x14ac:dyDescent="0.25" r="55" customHeight="1" ht="14.25">
      <c r="A55" s="14"/>
      <c r="B55" s="14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14"/>
      <c r="N55" s="14"/>
      <c r="O55" s="14"/>
      <c r="P55" s="28"/>
      <c r="Q55" s="28"/>
      <c r="R55" s="14"/>
      <c r="S55" s="14"/>
    </row>
    <row x14ac:dyDescent="0.25" r="56" customHeight="1" ht="14.25">
      <c r="A56" s="14"/>
      <c r="B56" s="14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14"/>
      <c r="N56" s="14"/>
      <c r="O56" s="14"/>
      <c r="P56" s="28"/>
      <c r="Q56" s="28"/>
      <c r="R56" s="14"/>
      <c r="S56" s="14"/>
    </row>
    <row x14ac:dyDescent="0.25" r="57" customHeight="1" ht="14.25">
      <c r="A57" s="14"/>
      <c r="B57" s="14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14"/>
      <c r="N57" s="14"/>
      <c r="O57" s="14"/>
      <c r="P57" s="28"/>
      <c r="Q57" s="28"/>
      <c r="R57" s="14"/>
      <c r="S57" s="14"/>
    </row>
    <row x14ac:dyDescent="0.25" r="58" customHeight="1" ht="14.25">
      <c r="A58" s="14"/>
      <c r="B58" s="14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14"/>
      <c r="N58" s="14"/>
      <c r="O58" s="14"/>
      <c r="P58" s="28"/>
      <c r="Q58" s="28"/>
      <c r="R58" s="14"/>
      <c r="S58" s="14"/>
    </row>
    <row x14ac:dyDescent="0.25" r="59" customHeight="1" ht="14.25">
      <c r="A59" s="14"/>
      <c r="B59" s="14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14"/>
      <c r="N59" s="14"/>
      <c r="O59" s="14"/>
      <c r="P59" s="28"/>
      <c r="Q59" s="28"/>
      <c r="R59" s="14"/>
      <c r="S59" s="14"/>
    </row>
    <row x14ac:dyDescent="0.25" r="60" customHeight="1" ht="14.25">
      <c r="A60" s="14"/>
      <c r="B60" s="14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14"/>
      <c r="N60" s="14"/>
      <c r="O60" s="14"/>
      <c r="P60" s="28"/>
      <c r="Q60" s="28"/>
      <c r="R60" s="14"/>
      <c r="S60" s="14"/>
    </row>
    <row x14ac:dyDescent="0.25" r="61" customHeight="1" ht="14.25">
      <c r="A61" s="14"/>
      <c r="B61" s="14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14"/>
      <c r="N61" s="14"/>
      <c r="O61" s="14"/>
      <c r="P61" s="28"/>
      <c r="Q61" s="28"/>
      <c r="R61" s="14"/>
      <c r="S61" s="14"/>
    </row>
    <row x14ac:dyDescent="0.25" r="62" customHeight="1" ht="14.25">
      <c r="A62" s="14"/>
      <c r="B62" s="14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14"/>
      <c r="N62" s="14"/>
      <c r="O62" s="14"/>
      <c r="P62" s="28"/>
      <c r="Q62" s="28"/>
      <c r="R62" s="14"/>
      <c r="S62" s="14"/>
    </row>
    <row x14ac:dyDescent="0.25" r="63" customHeight="1" ht="14.25">
      <c r="A63" s="14"/>
      <c r="B63" s="14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14"/>
      <c r="N63" s="14"/>
      <c r="O63" s="14"/>
      <c r="P63" s="28"/>
      <c r="Q63" s="28"/>
      <c r="R63" s="14"/>
      <c r="S63" s="14"/>
    </row>
    <row x14ac:dyDescent="0.25" r="64" customHeight="1" ht="14.25">
      <c r="A64" s="14"/>
      <c r="B64" s="14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14"/>
      <c r="N64" s="14"/>
      <c r="O64" s="14"/>
      <c r="P64" s="28"/>
      <c r="Q64" s="28"/>
      <c r="R64" s="14"/>
      <c r="S64" s="14"/>
    </row>
    <row x14ac:dyDescent="0.25" r="65" customHeight="1" ht="14.25">
      <c r="A65" s="14"/>
      <c r="B65" s="14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14"/>
      <c r="N65" s="14"/>
      <c r="O65" s="14"/>
      <c r="P65" s="28"/>
      <c r="Q65" s="28"/>
      <c r="R65" s="14"/>
      <c r="S65" s="14"/>
    </row>
    <row x14ac:dyDescent="0.25" r="66" customHeight="1" ht="14.25">
      <c r="A66" s="14"/>
      <c r="B66" s="14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14"/>
      <c r="N66" s="14"/>
      <c r="O66" s="14"/>
      <c r="P66" s="28"/>
      <c r="Q66" s="28"/>
      <c r="R66" s="14"/>
      <c r="S66" s="14"/>
    </row>
    <row x14ac:dyDescent="0.25" r="67" customHeight="1" ht="14.25">
      <c r="A67" s="14"/>
      <c r="B67" s="14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14"/>
      <c r="N67" s="14"/>
      <c r="O67" s="14"/>
      <c r="P67" s="28"/>
      <c r="Q67" s="28"/>
      <c r="R67" s="14"/>
      <c r="S67" s="14"/>
    </row>
    <row x14ac:dyDescent="0.25" r="68" customHeight="1" ht="14.25">
      <c r="A68" s="14"/>
      <c r="B68" s="14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14"/>
      <c r="N68" s="14"/>
      <c r="O68" s="14"/>
      <c r="P68" s="28"/>
      <c r="Q68" s="28"/>
      <c r="R68" s="14"/>
      <c r="S68" s="14"/>
    </row>
    <row x14ac:dyDescent="0.25" r="69" customHeight="1" ht="14.25">
      <c r="A69" s="14"/>
      <c r="B69" s="14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14"/>
      <c r="N69" s="14"/>
      <c r="O69" s="14"/>
      <c r="P69" s="28"/>
      <c r="Q69" s="28"/>
      <c r="R69" s="14"/>
      <c r="S69" s="14"/>
    </row>
    <row x14ac:dyDescent="0.25" r="70" customHeight="1" ht="14.25">
      <c r="A70" s="14"/>
      <c r="B70" s="14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14"/>
      <c r="N70" s="14"/>
      <c r="O70" s="14"/>
      <c r="P70" s="28"/>
      <c r="Q70" s="28"/>
      <c r="R70" s="14"/>
      <c r="S70" s="14"/>
    </row>
    <row x14ac:dyDescent="0.25" r="71" customHeight="1" ht="14.25">
      <c r="A71" s="14"/>
      <c r="B71" s="14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14"/>
      <c r="N71" s="14"/>
      <c r="O71" s="14"/>
      <c r="P71" s="28"/>
      <c r="Q71" s="28"/>
      <c r="R71" s="14"/>
      <c r="S71" s="14"/>
    </row>
    <row x14ac:dyDescent="0.25" r="72" customHeight="1" ht="14.25">
      <c r="A72" s="14"/>
      <c r="B72" s="14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14"/>
      <c r="N72" s="14"/>
      <c r="O72" s="14"/>
      <c r="P72" s="28"/>
      <c r="Q72" s="28"/>
      <c r="R72" s="14"/>
      <c r="S72" s="14"/>
    </row>
    <row x14ac:dyDescent="0.25" r="73" customHeight="1" ht="14.25">
      <c r="A73" s="14"/>
      <c r="B73" s="14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14"/>
      <c r="N73" s="14"/>
      <c r="O73" s="14"/>
      <c r="P73" s="28"/>
      <c r="Q73" s="28"/>
      <c r="R73" s="14"/>
      <c r="S73" s="14"/>
    </row>
    <row x14ac:dyDescent="0.25" r="74" customHeight="1" ht="14.25">
      <c r="A74" s="14"/>
      <c r="B74" s="14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14"/>
      <c r="N74" s="14"/>
      <c r="O74" s="14"/>
      <c r="P74" s="28"/>
      <c r="Q74" s="28"/>
      <c r="R74" s="14"/>
      <c r="S74" s="14"/>
    </row>
    <row x14ac:dyDescent="0.25" r="75" customHeight="1" ht="14.25">
      <c r="A75" s="14"/>
      <c r="B75" s="14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14"/>
      <c r="N75" s="14"/>
      <c r="O75" s="14"/>
      <c r="P75" s="28"/>
      <c r="Q75" s="28"/>
      <c r="R75" s="14"/>
      <c r="S75" s="14"/>
    </row>
    <row x14ac:dyDescent="0.25" r="76" customHeight="1" ht="14.25">
      <c r="A76" s="14"/>
      <c r="B76" s="14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14"/>
      <c r="N76" s="14"/>
      <c r="O76" s="14"/>
      <c r="P76" s="28"/>
      <c r="Q76" s="28"/>
      <c r="R76" s="14"/>
      <c r="S76" s="14"/>
    </row>
    <row x14ac:dyDescent="0.25" r="77" customHeight="1" ht="14.25">
      <c r="A77" s="14"/>
      <c r="B77" s="14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14"/>
      <c r="N77" s="14"/>
      <c r="O77" s="14"/>
      <c r="P77" s="28"/>
      <c r="Q77" s="28"/>
      <c r="R77" s="14"/>
      <c r="S77" s="14"/>
    </row>
    <row x14ac:dyDescent="0.25" r="78" customHeight="1" ht="14.25">
      <c r="A78" s="14"/>
      <c r="B78" s="14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14"/>
      <c r="N78" s="14"/>
      <c r="O78" s="14"/>
      <c r="P78" s="28"/>
      <c r="Q78" s="28"/>
      <c r="R78" s="14"/>
      <c r="S78" s="14"/>
    </row>
    <row x14ac:dyDescent="0.25" r="79" customHeight="1" ht="14.25">
      <c r="A79" s="14"/>
      <c r="B79" s="14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14"/>
      <c r="N79" s="14"/>
      <c r="O79" s="14"/>
      <c r="P79" s="28"/>
      <c r="Q79" s="28"/>
      <c r="R79" s="14"/>
      <c r="S79" s="14"/>
    </row>
    <row x14ac:dyDescent="0.25" r="80" customHeight="1" ht="14.25">
      <c r="A80" s="14"/>
      <c r="B80" s="14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14"/>
      <c r="N80" s="14"/>
      <c r="O80" s="14"/>
      <c r="P80" s="28"/>
      <c r="Q80" s="28"/>
      <c r="R80" s="14"/>
      <c r="S80" s="14"/>
    </row>
    <row x14ac:dyDescent="0.25" r="81" customHeight="1" ht="14.25">
      <c r="A81" s="14"/>
      <c r="B81" s="14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14"/>
      <c r="N81" s="14"/>
      <c r="O81" s="14"/>
      <c r="P81" s="28"/>
      <c r="Q81" s="28"/>
      <c r="R81" s="14"/>
      <c r="S81" s="14"/>
    </row>
    <row x14ac:dyDescent="0.25" r="82" customHeight="1" ht="14.25">
      <c r="A82" s="14"/>
      <c r="B82" s="14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14"/>
      <c r="N82" s="14"/>
      <c r="O82" s="14"/>
      <c r="P82" s="28"/>
      <c r="Q82" s="28"/>
      <c r="R82" s="14"/>
      <c r="S82" s="14"/>
    </row>
    <row x14ac:dyDescent="0.25" r="83" customHeight="1" ht="14.25">
      <c r="A83" s="14"/>
      <c r="B83" s="14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14"/>
      <c r="N83" s="14"/>
      <c r="O83" s="14"/>
      <c r="P83" s="28"/>
      <c r="Q83" s="28"/>
      <c r="R83" s="14"/>
      <c r="S83" s="14"/>
    </row>
    <row x14ac:dyDescent="0.25" r="84" customHeight="1" ht="14.25">
      <c r="A84" s="14"/>
      <c r="B84" s="14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14"/>
      <c r="N84" s="14"/>
      <c r="O84" s="14"/>
      <c r="P84" s="28"/>
      <c r="Q84" s="28"/>
      <c r="R84" s="14"/>
      <c r="S84" s="14"/>
    </row>
    <row x14ac:dyDescent="0.25" r="85" customHeight="1" ht="14.25">
      <c r="A85" s="14"/>
      <c r="B85" s="14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14"/>
      <c r="N85" s="14"/>
      <c r="O85" s="14"/>
      <c r="P85" s="28"/>
      <c r="Q85" s="28"/>
      <c r="R85" s="14"/>
      <c r="S85" s="14"/>
    </row>
    <row x14ac:dyDescent="0.25" r="86" customHeight="1" ht="14.25">
      <c r="A86" s="14"/>
      <c r="B86" s="14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14"/>
      <c r="N86" s="14"/>
      <c r="O86" s="14"/>
      <c r="P86" s="28"/>
      <c r="Q86" s="28"/>
      <c r="R86" s="14"/>
      <c r="S86" s="14"/>
    </row>
    <row x14ac:dyDescent="0.25" r="87" customHeight="1" ht="14.25">
      <c r="A87" s="14"/>
      <c r="B87" s="14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14"/>
      <c r="N87" s="14"/>
      <c r="O87" s="14"/>
      <c r="P87" s="28"/>
      <c r="Q87" s="28"/>
      <c r="R87" s="14"/>
      <c r="S87" s="14"/>
    </row>
    <row x14ac:dyDescent="0.25" r="88" customHeight="1" ht="14.25">
      <c r="A88" s="14"/>
      <c r="B88" s="14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14"/>
      <c r="N88" s="14"/>
      <c r="O88" s="14"/>
      <c r="P88" s="28"/>
      <c r="Q88" s="28"/>
      <c r="R88" s="14"/>
      <c r="S88" s="14"/>
    </row>
    <row x14ac:dyDescent="0.25" r="89" customHeight="1" ht="14.25">
      <c r="A89" s="14"/>
      <c r="B89" s="14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14"/>
      <c r="N89" s="14"/>
      <c r="O89" s="14"/>
      <c r="P89" s="28"/>
      <c r="Q89" s="28"/>
      <c r="R89" s="14"/>
      <c r="S89" s="14"/>
    </row>
    <row x14ac:dyDescent="0.25" r="90" customHeight="1" ht="14.25">
      <c r="A90" s="14"/>
      <c r="B90" s="14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14"/>
      <c r="N90" s="14"/>
      <c r="O90" s="14"/>
      <c r="P90" s="28"/>
      <c r="Q90" s="28"/>
      <c r="R90" s="14"/>
      <c r="S90" s="14"/>
    </row>
    <row x14ac:dyDescent="0.25" r="91" customHeight="1" ht="14.25">
      <c r="A91" s="14"/>
      <c r="B91" s="14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14"/>
      <c r="N91" s="14"/>
      <c r="O91" s="14"/>
      <c r="P91" s="28"/>
      <c r="Q91" s="28"/>
      <c r="R91" s="14"/>
      <c r="S91" s="14"/>
    </row>
    <row x14ac:dyDescent="0.25" r="92" customHeight="1" ht="14.25">
      <c r="A92" s="14"/>
      <c r="B92" s="14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14"/>
      <c r="N92" s="14"/>
      <c r="O92" s="14"/>
      <c r="P92" s="28"/>
      <c r="Q92" s="28"/>
      <c r="R92" s="14"/>
      <c r="S92" s="14"/>
    </row>
    <row x14ac:dyDescent="0.25" r="93" customHeight="1" ht="14.25">
      <c r="A93" s="14"/>
      <c r="B93" s="14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14"/>
      <c r="N93" s="14"/>
      <c r="O93" s="14"/>
      <c r="P93" s="28"/>
      <c r="Q93" s="28"/>
      <c r="R93" s="14"/>
      <c r="S93" s="14"/>
    </row>
    <row x14ac:dyDescent="0.25" r="94" customHeight="1" ht="12.75">
      <c r="A94" s="4"/>
      <c r="B94" s="29"/>
      <c r="C94" s="30"/>
      <c r="D94" s="31"/>
      <c r="E94" s="31"/>
      <c r="F94" s="31"/>
      <c r="G94" s="31"/>
      <c r="H94" s="31"/>
      <c r="I94" s="31"/>
      <c r="J94" s="31"/>
      <c r="K94" s="31"/>
      <c r="L94" s="31"/>
      <c r="M94" s="29"/>
      <c r="N94" s="29"/>
      <c r="O94" s="29"/>
      <c r="P94" s="32"/>
      <c r="Q94" s="32"/>
      <c r="R94" s="4"/>
      <c r="S94" s="4"/>
    </row>
    <row x14ac:dyDescent="0.25" r="95" customHeight="1" ht="12.75">
      <c r="A95" s="4"/>
      <c r="B95" s="33"/>
      <c r="C95" s="34" t="s">
        <v>66</v>
      </c>
      <c r="D95" s="31"/>
      <c r="E95" s="31"/>
      <c r="F95" s="31"/>
      <c r="G95" s="31"/>
      <c r="H95" s="31"/>
      <c r="I95" s="31"/>
      <c r="J95" s="31"/>
      <c r="K95" s="31"/>
      <c r="L95" s="31"/>
      <c r="M95" s="29"/>
      <c r="N95" s="29"/>
      <c r="O95" s="29"/>
      <c r="P95" s="32"/>
      <c r="Q95" s="32"/>
      <c r="R95" s="4"/>
      <c r="S95" s="4"/>
    </row>
    <row x14ac:dyDescent="0.25" r="96" customHeight="1" ht="12.75">
      <c r="A96" s="35" t="s">
        <v>58</v>
      </c>
      <c r="B96" s="36" t="s">
        <v>67</v>
      </c>
      <c r="C96" s="31">
        <v>0</v>
      </c>
      <c r="D96" s="31"/>
      <c r="E96" s="31"/>
      <c r="F96" s="31"/>
      <c r="G96" s="31"/>
      <c r="H96" s="31"/>
      <c r="I96" s="31"/>
      <c r="J96" s="31"/>
      <c r="K96" s="31"/>
      <c r="L96" s="31"/>
      <c r="M96" s="29"/>
      <c r="N96" s="29"/>
      <c r="O96" s="29"/>
      <c r="P96" s="32"/>
      <c r="Q96" s="32"/>
      <c r="R96" s="4"/>
      <c r="S96" s="4"/>
    </row>
    <row x14ac:dyDescent="0.25" r="97" customHeight="1" ht="12.75">
      <c r="A97" s="35" t="s">
        <v>50</v>
      </c>
      <c r="B97" s="37" t="s">
        <v>2</v>
      </c>
      <c r="C97" s="38">
        <v>0</v>
      </c>
      <c r="D97" s="31"/>
      <c r="E97" s="31"/>
      <c r="F97" s="31"/>
      <c r="G97" s="31"/>
      <c r="H97" s="31"/>
      <c r="I97" s="31"/>
      <c r="J97" s="31"/>
      <c r="K97" s="31"/>
      <c r="L97" s="31"/>
      <c r="M97" s="29"/>
      <c r="N97" s="29"/>
      <c r="O97" s="29"/>
      <c r="P97" s="32"/>
      <c r="Q97" s="32"/>
      <c r="R97" s="4"/>
      <c r="S97" s="4"/>
    </row>
    <row x14ac:dyDescent="0.25" r="98" customHeight="1" ht="12.75">
      <c r="A98" s="4"/>
      <c r="B98" s="39"/>
      <c r="C98" s="40"/>
      <c r="D98" s="31"/>
      <c r="E98" s="31"/>
      <c r="F98" s="31"/>
      <c r="G98" s="31"/>
      <c r="H98" s="31"/>
      <c r="I98" s="31"/>
      <c r="J98" s="31"/>
      <c r="K98" s="31"/>
      <c r="L98" s="31"/>
      <c r="M98" s="29"/>
      <c r="N98" s="29"/>
      <c r="O98" s="29"/>
      <c r="P98" s="32"/>
      <c r="Q98" s="32"/>
      <c r="R98" s="4"/>
      <c r="S98" s="4"/>
    </row>
    <row x14ac:dyDescent="0.25" r="99" customHeight="1" ht="12.75">
      <c r="A99" s="4"/>
      <c r="B99" s="39"/>
      <c r="C99" s="40"/>
      <c r="D99" s="31"/>
      <c r="E99" s="31"/>
      <c r="F99" s="31"/>
      <c r="G99" s="31"/>
      <c r="H99" s="31"/>
      <c r="I99" s="31"/>
      <c r="J99" s="31"/>
      <c r="K99" s="31"/>
      <c r="L99" s="31"/>
      <c r="M99" s="29"/>
      <c r="N99" s="29"/>
      <c r="O99" s="29"/>
      <c r="P99" s="32"/>
      <c r="Q99" s="32"/>
      <c r="R99" s="4"/>
      <c r="S99" s="4"/>
    </row>
    <row x14ac:dyDescent="0.25" r="100" customHeight="1" ht="12.75">
      <c r="A100" s="4"/>
      <c r="B100" s="29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29"/>
      <c r="N100" s="29"/>
      <c r="O100" s="29"/>
      <c r="P100" s="32"/>
      <c r="Q100" s="32"/>
      <c r="R100" s="4"/>
      <c r="S100" s="4"/>
    </row>
    <row x14ac:dyDescent="0.25" r="101" customHeight="1" ht="12.75">
      <c r="A101" s="4"/>
      <c r="B101" s="29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29"/>
      <c r="N101" s="29"/>
      <c r="O101" s="29"/>
      <c r="P101" s="32"/>
      <c r="Q101" s="32"/>
      <c r="R101" s="4"/>
      <c r="S101" s="4"/>
    </row>
    <row x14ac:dyDescent="0.25" r="102" customHeight="1" ht="12.75">
      <c r="A102" s="4"/>
      <c r="B102" s="29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29"/>
      <c r="N102" s="29"/>
      <c r="O102" s="29"/>
      <c r="P102" s="32"/>
      <c r="Q102" s="32"/>
      <c r="R102" s="4"/>
      <c r="S102" s="4"/>
    </row>
    <row x14ac:dyDescent="0.25" r="103" customHeight="1" ht="12.75">
      <c r="A103" s="4"/>
      <c r="B103" s="29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29"/>
      <c r="N103" s="29"/>
      <c r="O103" s="29"/>
      <c r="P103" s="32"/>
      <c r="Q103" s="32"/>
      <c r="R103" s="4"/>
      <c r="S103" s="4"/>
    </row>
    <row x14ac:dyDescent="0.25" r="104" customHeight="1" ht="12.75">
      <c r="A104" s="4"/>
      <c r="B104" s="29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29"/>
      <c r="N104" s="29"/>
      <c r="O104" s="29"/>
      <c r="P104" s="32"/>
      <c r="Q104" s="32"/>
      <c r="R104" s="4"/>
      <c r="S104" s="4"/>
    </row>
    <row x14ac:dyDescent="0.25" r="105" customHeight="1" ht="12.75">
      <c r="A105" s="4"/>
      <c r="B105" s="29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29"/>
      <c r="N105" s="29"/>
      <c r="O105" s="29"/>
      <c r="P105" s="32"/>
      <c r="Q105" s="32"/>
      <c r="R105" s="4"/>
      <c r="S105" s="4"/>
    </row>
    <row x14ac:dyDescent="0.25" r="106" customHeight="1" ht="12.75">
      <c r="A106" s="4"/>
      <c r="B106" s="29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29"/>
      <c r="N106" s="29"/>
      <c r="O106" s="29"/>
      <c r="P106" s="32"/>
      <c r="Q106" s="32"/>
      <c r="R106" s="4"/>
      <c r="S106" s="4"/>
    </row>
    <row x14ac:dyDescent="0.25" r="107" customHeight="1" ht="12.75">
      <c r="A107" s="4"/>
      <c r="B107" s="29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29"/>
      <c r="N107" s="29"/>
      <c r="O107" s="29"/>
      <c r="P107" s="32"/>
      <c r="Q107" s="32"/>
      <c r="R107" s="4"/>
      <c r="S107" s="4"/>
    </row>
    <row x14ac:dyDescent="0.25" r="108" customHeight="1" ht="12.75">
      <c r="A108" s="4"/>
      <c r="B108" s="29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29"/>
      <c r="N108" s="29"/>
      <c r="O108" s="29"/>
      <c r="P108" s="32"/>
      <c r="Q108" s="32"/>
      <c r="R108" s="4"/>
      <c r="S108" s="4"/>
    </row>
    <row x14ac:dyDescent="0.25" r="109" customHeight="1" ht="12.75">
      <c r="A109" s="4"/>
      <c r="B109" s="29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29"/>
      <c r="N109" s="29"/>
      <c r="O109" s="29"/>
      <c r="P109" s="32"/>
      <c r="Q109" s="32"/>
      <c r="R109" s="4"/>
      <c r="S109" s="4"/>
    </row>
    <row x14ac:dyDescent="0.25" r="110" customHeight="1" ht="12.75">
      <c r="A110" s="4"/>
      <c r="B110" s="29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29"/>
      <c r="N110" s="29"/>
      <c r="O110" s="29"/>
      <c r="P110" s="32"/>
      <c r="Q110" s="32"/>
      <c r="R110" s="4"/>
      <c r="S110" s="4"/>
    </row>
    <row x14ac:dyDescent="0.25" r="111" customHeight="1" ht="12.75">
      <c r="A111" s="4"/>
      <c r="B111" s="29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29"/>
      <c r="N111" s="29"/>
      <c r="O111" s="29"/>
      <c r="P111" s="32"/>
      <c r="Q111" s="32"/>
      <c r="R111" s="4"/>
      <c r="S111" s="4"/>
    </row>
    <row x14ac:dyDescent="0.25" r="112" customHeight="1" ht="12.75">
      <c r="A112" s="4"/>
      <c r="B112" s="29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29"/>
      <c r="N112" s="29"/>
      <c r="O112" s="29"/>
      <c r="P112" s="32"/>
      <c r="Q112" s="32"/>
      <c r="R112" s="4"/>
      <c r="S112" s="4"/>
    </row>
    <row x14ac:dyDescent="0.25" r="113" customHeight="1" ht="12.75">
      <c r="A113" s="4"/>
      <c r="B113" s="29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29"/>
      <c r="N113" s="29"/>
      <c r="O113" s="29"/>
      <c r="P113" s="32"/>
      <c r="Q113" s="32"/>
      <c r="R113" s="4"/>
      <c r="S113" s="4"/>
    </row>
    <row x14ac:dyDescent="0.25" r="114" customHeight="1" ht="12.75">
      <c r="A114" s="4"/>
      <c r="B114" s="29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29"/>
      <c r="N114" s="29"/>
      <c r="O114" s="29"/>
      <c r="P114" s="32"/>
      <c r="Q114" s="32"/>
      <c r="R114" s="4"/>
      <c r="S114" s="4"/>
    </row>
    <row x14ac:dyDescent="0.25" r="115" customHeight="1" ht="12.75">
      <c r="A115" s="4"/>
      <c r="B115" s="29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29"/>
      <c r="N115" s="29"/>
      <c r="O115" s="29"/>
      <c r="P115" s="32"/>
      <c r="Q115" s="32"/>
      <c r="R115" s="4"/>
      <c r="S115" s="4"/>
    </row>
    <row x14ac:dyDescent="0.25" r="116" customHeight="1" ht="12.75">
      <c r="A116" s="4"/>
      <c r="B116" s="29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29"/>
      <c r="N116" s="29"/>
      <c r="O116" s="29"/>
      <c r="P116" s="32"/>
      <c r="Q116" s="32"/>
      <c r="R116" s="4"/>
      <c r="S116" s="4"/>
    </row>
    <row x14ac:dyDescent="0.25" r="117" customHeight="1" ht="12.75">
      <c r="A117" s="4"/>
      <c r="B117" s="29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29"/>
      <c r="N117" s="29"/>
      <c r="O117" s="29"/>
      <c r="P117" s="32"/>
      <c r="Q117" s="32"/>
      <c r="R117" s="4"/>
      <c r="S117" s="4"/>
    </row>
    <row x14ac:dyDescent="0.25" r="118" customHeight="1" ht="12.75">
      <c r="A118" s="4"/>
      <c r="B118" s="29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29"/>
      <c r="N118" s="29"/>
      <c r="O118" s="29"/>
      <c r="P118" s="32"/>
      <c r="Q118" s="32"/>
      <c r="R118" s="4"/>
      <c r="S118" s="4"/>
    </row>
    <row x14ac:dyDescent="0.25" r="119" customHeight="1" ht="12.75">
      <c r="A119" s="4"/>
      <c r="B119" s="29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29"/>
      <c r="N119" s="29"/>
      <c r="O119" s="29"/>
      <c r="P119" s="32"/>
      <c r="Q119" s="32"/>
      <c r="R119" s="4"/>
      <c r="S119" s="4"/>
    </row>
    <row x14ac:dyDescent="0.25" r="120" customHeight="1" ht="12.75">
      <c r="A120" s="4"/>
      <c r="B120" s="29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29"/>
      <c r="N120" s="29"/>
      <c r="O120" s="29"/>
      <c r="P120" s="32"/>
      <c r="Q120" s="32"/>
      <c r="R120" s="4"/>
      <c r="S120" s="4"/>
    </row>
    <row x14ac:dyDescent="0.25" r="121" customHeight="1" ht="12.75">
      <c r="A121" s="4"/>
      <c r="B121" s="29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29"/>
      <c r="N121" s="29"/>
      <c r="O121" s="29"/>
      <c r="P121" s="32"/>
      <c r="Q121" s="32"/>
      <c r="R121" s="4"/>
      <c r="S121" s="4"/>
    </row>
    <row x14ac:dyDescent="0.25" r="122" customHeight="1" ht="12.75">
      <c r="A122" s="4"/>
      <c r="B122" s="29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29"/>
      <c r="N122" s="29"/>
      <c r="O122" s="29"/>
      <c r="P122" s="32"/>
      <c r="Q122" s="32"/>
      <c r="R122" s="4"/>
      <c r="S122" s="4"/>
    </row>
    <row x14ac:dyDescent="0.25" r="123" customHeight="1" ht="12.75">
      <c r="A123" s="4"/>
      <c r="B123" s="29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29"/>
      <c r="N123" s="29"/>
      <c r="O123" s="29"/>
      <c r="P123" s="32"/>
      <c r="Q123" s="32"/>
      <c r="R123" s="4"/>
      <c r="S123" s="4"/>
    </row>
    <row x14ac:dyDescent="0.25" r="124" customHeight="1" ht="12.75">
      <c r="A124" s="4"/>
      <c r="B124" s="29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29"/>
      <c r="N124" s="29"/>
      <c r="O124" s="29"/>
      <c r="P124" s="32"/>
      <c r="Q124" s="32"/>
      <c r="R124" s="4"/>
      <c r="S124" s="4"/>
    </row>
    <row x14ac:dyDescent="0.25" r="125" customHeight="1" ht="12.75">
      <c r="A125" s="4"/>
      <c r="B125" s="29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29"/>
      <c r="N125" s="29"/>
      <c r="O125" s="29"/>
      <c r="P125" s="32"/>
      <c r="Q125" s="32"/>
      <c r="R125" s="4"/>
      <c r="S125" s="4"/>
    </row>
    <row x14ac:dyDescent="0.25" r="126" customHeight="1" ht="12.75">
      <c r="A126" s="4"/>
      <c r="B126" s="29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29"/>
      <c r="N126" s="29"/>
      <c r="O126" s="29"/>
      <c r="P126" s="32"/>
      <c r="Q126" s="32"/>
      <c r="R126" s="4"/>
      <c r="S126" s="4"/>
    </row>
    <row x14ac:dyDescent="0.25" r="127" customHeight="1" ht="12.75">
      <c r="A127" s="4"/>
      <c r="B127" s="29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29"/>
      <c r="N127" s="29"/>
      <c r="O127" s="29"/>
      <c r="P127" s="32"/>
      <c r="Q127" s="32"/>
      <c r="R127" s="4"/>
      <c r="S127" s="4"/>
    </row>
    <row x14ac:dyDescent="0.25" r="128" customHeight="1" ht="12.75">
      <c r="A128" s="4"/>
      <c r="B128" s="29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29"/>
      <c r="N128" s="29"/>
      <c r="O128" s="29"/>
      <c r="P128" s="32"/>
      <c r="Q128" s="32"/>
      <c r="R128" s="4"/>
      <c r="S128" s="4"/>
    </row>
    <row x14ac:dyDescent="0.25" r="129" customHeight="1" ht="12.75">
      <c r="A129" s="4"/>
      <c r="B129" s="29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29"/>
      <c r="N129" s="29"/>
      <c r="O129" s="29"/>
      <c r="P129" s="32"/>
      <c r="Q129" s="32"/>
      <c r="R129" s="4"/>
      <c r="S129" s="4"/>
    </row>
    <row x14ac:dyDescent="0.25" r="130" customHeight="1" ht="12.75">
      <c r="A130" s="4"/>
      <c r="B130" s="29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29"/>
      <c r="N130" s="29"/>
      <c r="O130" s="29"/>
      <c r="P130" s="32"/>
      <c r="Q130" s="32"/>
      <c r="R130" s="4"/>
      <c r="S130" s="4"/>
    </row>
    <row x14ac:dyDescent="0.25" r="131" customHeight="1" ht="12.75">
      <c r="A131" s="4"/>
      <c r="B131" s="29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29"/>
      <c r="N131" s="29"/>
      <c r="O131" s="29"/>
      <c r="P131" s="32"/>
      <c r="Q131" s="32"/>
      <c r="R131" s="4"/>
      <c r="S131" s="4"/>
    </row>
    <row x14ac:dyDescent="0.25" r="132" customHeight="1" ht="12.75">
      <c r="A132" s="4"/>
      <c r="B132" s="29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29"/>
      <c r="N132" s="29"/>
      <c r="O132" s="29"/>
      <c r="P132" s="32"/>
      <c r="Q132" s="32"/>
      <c r="R132" s="4"/>
      <c r="S132" s="4"/>
    </row>
    <row x14ac:dyDescent="0.25" r="133" customHeight="1" ht="12.75">
      <c r="A133" s="4"/>
      <c r="B133" s="29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29"/>
      <c r="N133" s="29"/>
      <c r="O133" s="29"/>
      <c r="P133" s="32"/>
      <c r="Q133" s="32"/>
      <c r="R133" s="4"/>
      <c r="S133" s="4"/>
    </row>
    <row x14ac:dyDescent="0.25" r="134" customHeight="1" ht="12.75">
      <c r="A134" s="4"/>
      <c r="B134" s="29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29"/>
      <c r="N134" s="29"/>
      <c r="O134" s="29"/>
      <c r="P134" s="32"/>
      <c r="Q134" s="32"/>
      <c r="R134" s="4"/>
      <c r="S134" s="4"/>
    </row>
    <row x14ac:dyDescent="0.25" r="135" customHeight="1" ht="12.75">
      <c r="A135" s="4"/>
      <c r="B135" s="29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29"/>
      <c r="N135" s="29"/>
      <c r="O135" s="29"/>
      <c r="P135" s="32"/>
      <c r="Q135" s="32"/>
      <c r="R135" s="4"/>
      <c r="S135" s="4"/>
    </row>
    <row x14ac:dyDescent="0.25" r="136" customHeight="1" ht="12.75">
      <c r="A136" s="4"/>
      <c r="B136" s="29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29"/>
      <c r="N136" s="29"/>
      <c r="O136" s="29"/>
      <c r="P136" s="32"/>
      <c r="Q136" s="32"/>
      <c r="R136" s="4"/>
      <c r="S136" s="4"/>
    </row>
    <row x14ac:dyDescent="0.25" r="137" customHeight="1" ht="12.75">
      <c r="A137" s="4"/>
      <c r="B137" s="29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29"/>
      <c r="N137" s="29"/>
      <c r="O137" s="29"/>
      <c r="P137" s="32"/>
      <c r="Q137" s="32"/>
      <c r="R137" s="4"/>
      <c r="S137" s="4"/>
    </row>
    <row x14ac:dyDescent="0.25" r="138" customHeight="1" ht="12.75">
      <c r="A138" s="4"/>
      <c r="B138" s="29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29"/>
      <c r="N138" s="29"/>
      <c r="O138" s="29"/>
      <c r="P138" s="32"/>
      <c r="Q138" s="32"/>
      <c r="R138" s="4"/>
      <c r="S138" s="4"/>
    </row>
    <row x14ac:dyDescent="0.25" r="139" customHeight="1" ht="12.75">
      <c r="A139" s="4"/>
      <c r="B139" s="29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29"/>
      <c r="N139" s="29"/>
      <c r="O139" s="29"/>
      <c r="P139" s="32"/>
      <c r="Q139" s="32"/>
      <c r="R139" s="4"/>
      <c r="S139" s="4"/>
    </row>
    <row x14ac:dyDescent="0.25" r="140" customHeight="1" ht="12.75">
      <c r="A140" s="4"/>
      <c r="B140" s="29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29"/>
      <c r="N140" s="29"/>
      <c r="O140" s="29"/>
      <c r="P140" s="32"/>
      <c r="Q140" s="32"/>
      <c r="R140" s="4"/>
      <c r="S140" s="4"/>
    </row>
    <row x14ac:dyDescent="0.25" r="141" customHeight="1" ht="12.75">
      <c r="A141" s="4"/>
      <c r="B141" s="29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29"/>
      <c r="N141" s="29"/>
      <c r="O141" s="29"/>
      <c r="P141" s="32"/>
      <c r="Q141" s="32"/>
      <c r="R141" s="4"/>
      <c r="S141" s="4"/>
    </row>
    <row x14ac:dyDescent="0.25" r="142" customHeight="1" ht="12.75">
      <c r="A142" s="4"/>
      <c r="B142" s="29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29"/>
      <c r="N142" s="29"/>
      <c r="O142" s="29"/>
      <c r="P142" s="32"/>
      <c r="Q142" s="32"/>
      <c r="R142" s="4"/>
      <c r="S142" s="4"/>
    </row>
    <row x14ac:dyDescent="0.25" r="143" customHeight="1" ht="12.75">
      <c r="A143" s="4"/>
      <c r="B143" s="29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29"/>
      <c r="N143" s="29"/>
      <c r="O143" s="29"/>
      <c r="P143" s="32"/>
      <c r="Q143" s="32"/>
      <c r="R143" s="4"/>
      <c r="S143" s="4"/>
    </row>
    <row x14ac:dyDescent="0.25" r="144" customHeight="1" ht="12.75">
      <c r="A144" s="4"/>
      <c r="B144" s="29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29"/>
      <c r="N144" s="29"/>
      <c r="O144" s="29"/>
      <c r="P144" s="32"/>
      <c r="Q144" s="32"/>
      <c r="R144" s="4"/>
      <c r="S144" s="4"/>
    </row>
    <row x14ac:dyDescent="0.25" r="145" customHeight="1" ht="12.75">
      <c r="A145" s="4"/>
      <c r="B145" s="29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29"/>
      <c r="N145" s="29"/>
      <c r="O145" s="29"/>
      <c r="P145" s="32"/>
      <c r="Q145" s="32"/>
      <c r="R145" s="4"/>
      <c r="S145" s="4"/>
    </row>
    <row x14ac:dyDescent="0.25" r="146" customHeight="1" ht="12.75">
      <c r="A146" s="4"/>
      <c r="B146" s="29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29"/>
      <c r="N146" s="29"/>
      <c r="O146" s="29"/>
      <c r="P146" s="32"/>
      <c r="Q146" s="32"/>
      <c r="R146" s="4"/>
      <c r="S146" s="4"/>
    </row>
    <row x14ac:dyDescent="0.25" r="147" customHeight="1" ht="12.75">
      <c r="A147" s="4"/>
      <c r="B147" s="29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29"/>
      <c r="N147" s="29"/>
      <c r="O147" s="29"/>
      <c r="P147" s="32"/>
      <c r="Q147" s="32"/>
      <c r="R147" s="4"/>
      <c r="S147" s="4"/>
    </row>
    <row x14ac:dyDescent="0.25" r="148" customHeight="1" ht="12.75">
      <c r="A148" s="4"/>
      <c r="B148" s="29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29"/>
      <c r="N148" s="29"/>
      <c r="O148" s="29"/>
      <c r="P148" s="32"/>
      <c r="Q148" s="32"/>
      <c r="R148" s="4"/>
      <c r="S148" s="4"/>
    </row>
    <row x14ac:dyDescent="0.25" r="149" customHeight="1" ht="12.75">
      <c r="A149" s="4"/>
      <c r="B149" s="29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29"/>
      <c r="N149" s="29"/>
      <c r="O149" s="29"/>
      <c r="P149" s="32"/>
      <c r="Q149" s="32"/>
      <c r="R149" s="4"/>
      <c r="S149" s="4"/>
    </row>
    <row x14ac:dyDescent="0.25" r="150" customHeight="1" ht="12.75">
      <c r="A150" s="4"/>
      <c r="B150" s="29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29"/>
      <c r="N150" s="29"/>
      <c r="O150" s="29"/>
      <c r="P150" s="32"/>
      <c r="Q150" s="32"/>
      <c r="R150" s="4"/>
      <c r="S150" s="4"/>
    </row>
    <row x14ac:dyDescent="0.25" r="151" customHeight="1" ht="12.75">
      <c r="A151" s="4"/>
      <c r="B151" s="29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29"/>
      <c r="N151" s="29"/>
      <c r="O151" s="29"/>
      <c r="P151" s="32"/>
      <c r="Q151" s="32"/>
      <c r="R151" s="4"/>
      <c r="S151" s="4"/>
    </row>
    <row x14ac:dyDescent="0.25" r="152" customHeight="1" ht="12.75">
      <c r="A152" s="4"/>
      <c r="B152" s="29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29"/>
      <c r="N152" s="29"/>
      <c r="O152" s="29"/>
      <c r="P152" s="32"/>
      <c r="Q152" s="32"/>
      <c r="R152" s="4"/>
      <c r="S152" s="4"/>
    </row>
    <row x14ac:dyDescent="0.25" r="153" customHeight="1" ht="12.75">
      <c r="A153" s="4"/>
      <c r="B153" s="29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29"/>
      <c r="N153" s="29"/>
      <c r="O153" s="29"/>
      <c r="P153" s="32"/>
      <c r="Q153" s="32"/>
      <c r="R153" s="4"/>
      <c r="S153" s="4"/>
    </row>
    <row x14ac:dyDescent="0.25" r="154" customHeight="1" ht="12.75">
      <c r="A154" s="4"/>
      <c r="B154" s="29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29"/>
      <c r="N154" s="29"/>
      <c r="O154" s="29"/>
      <c r="P154" s="32"/>
      <c r="Q154" s="32"/>
      <c r="R154" s="4"/>
      <c r="S154" s="4"/>
    </row>
    <row x14ac:dyDescent="0.25" r="155" customHeight="1" ht="12.75">
      <c r="A155" s="4"/>
      <c r="B155" s="29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29"/>
      <c r="N155" s="29"/>
      <c r="O155" s="29"/>
      <c r="P155" s="32"/>
      <c r="Q155" s="32"/>
      <c r="R155" s="4"/>
      <c r="S155" s="4"/>
    </row>
    <row x14ac:dyDescent="0.25" r="156" customHeight="1" ht="12.75">
      <c r="A156" s="4"/>
      <c r="B156" s="29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29"/>
      <c r="N156" s="29"/>
      <c r="O156" s="29"/>
      <c r="P156" s="32"/>
      <c r="Q156" s="32"/>
      <c r="R156" s="4"/>
      <c r="S156" s="4"/>
    </row>
    <row x14ac:dyDescent="0.25" r="157" customHeight="1" ht="12.75">
      <c r="A157" s="4"/>
      <c r="B157" s="29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29"/>
      <c r="N157" s="29"/>
      <c r="O157" s="29"/>
      <c r="P157" s="32"/>
      <c r="Q157" s="32"/>
      <c r="R157" s="4"/>
      <c r="S157" s="4"/>
    </row>
    <row x14ac:dyDescent="0.25" r="158" customHeight="1" ht="12.75">
      <c r="A158" s="4"/>
      <c r="B158" s="29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29"/>
      <c r="N158" s="29"/>
      <c r="O158" s="29"/>
      <c r="P158" s="32"/>
      <c r="Q158" s="32"/>
      <c r="R158" s="4"/>
      <c r="S158" s="4"/>
    </row>
    <row x14ac:dyDescent="0.25" r="159" customHeight="1" ht="12.75">
      <c r="A159" s="4"/>
      <c r="B159" s="29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29"/>
      <c r="N159" s="29"/>
      <c r="O159" s="29"/>
      <c r="P159" s="32"/>
      <c r="Q159" s="32"/>
      <c r="R159" s="4"/>
      <c r="S159" s="4"/>
    </row>
    <row x14ac:dyDescent="0.25" r="160" customHeight="1" ht="12.75">
      <c r="A160" s="4"/>
      <c r="B160" s="29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29"/>
      <c r="N160" s="29"/>
      <c r="O160" s="29"/>
      <c r="P160" s="32"/>
      <c r="Q160" s="32"/>
      <c r="R160" s="4"/>
      <c r="S160" s="4"/>
    </row>
    <row x14ac:dyDescent="0.25" r="161" customHeight="1" ht="12.75">
      <c r="A161" s="4"/>
      <c r="B161" s="29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29"/>
      <c r="N161" s="29"/>
      <c r="O161" s="29"/>
      <c r="P161" s="32"/>
      <c r="Q161" s="32"/>
      <c r="R161" s="4"/>
      <c r="S161" s="4"/>
    </row>
    <row x14ac:dyDescent="0.25" r="162" customHeight="1" ht="12.75">
      <c r="A162" s="4"/>
      <c r="B162" s="29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29"/>
      <c r="N162" s="29"/>
      <c r="O162" s="29"/>
      <c r="P162" s="32"/>
      <c r="Q162" s="32"/>
      <c r="R162" s="4"/>
      <c r="S162" s="4"/>
    </row>
    <row x14ac:dyDescent="0.25" r="163" customHeight="1" ht="12.75">
      <c r="A163" s="4"/>
      <c r="B163" s="29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29"/>
      <c r="N163" s="29"/>
      <c r="O163" s="29"/>
      <c r="P163" s="32"/>
      <c r="Q163" s="32"/>
      <c r="R163" s="4"/>
      <c r="S163" s="4"/>
    </row>
    <row x14ac:dyDescent="0.25" r="164" customHeight="1" ht="12.75">
      <c r="A164" s="4"/>
      <c r="B164" s="29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29"/>
      <c r="N164" s="29"/>
      <c r="O164" s="29"/>
      <c r="P164" s="32"/>
      <c r="Q164" s="32"/>
      <c r="R164" s="4"/>
      <c r="S164" s="4"/>
    </row>
    <row x14ac:dyDescent="0.25" r="165" customHeight="1" ht="12.75">
      <c r="A165" s="4"/>
      <c r="B165" s="29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29"/>
      <c r="N165" s="29"/>
      <c r="O165" s="29"/>
      <c r="P165" s="32"/>
      <c r="Q165" s="32"/>
      <c r="R165" s="4"/>
      <c r="S165" s="4"/>
    </row>
    <row x14ac:dyDescent="0.25" r="166" customHeight="1" ht="12.75">
      <c r="A166" s="4"/>
      <c r="B166" s="29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29"/>
      <c r="N166" s="29"/>
      <c r="O166" s="29"/>
      <c r="P166" s="32"/>
      <c r="Q166" s="32"/>
      <c r="R166" s="4"/>
      <c r="S166" s="4"/>
    </row>
    <row x14ac:dyDescent="0.25" r="167" customHeight="1" ht="12.75">
      <c r="A167" s="4"/>
      <c r="B167" s="29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29"/>
      <c r="N167" s="29"/>
      <c r="O167" s="29"/>
      <c r="P167" s="32"/>
      <c r="Q167" s="32"/>
      <c r="R167" s="4"/>
      <c r="S167" s="4"/>
    </row>
    <row x14ac:dyDescent="0.25" r="168" customHeight="1" ht="12.75">
      <c r="A168" s="4"/>
      <c r="B168" s="29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29"/>
      <c r="N168" s="29"/>
      <c r="O168" s="29"/>
      <c r="P168" s="32"/>
      <c r="Q168" s="32"/>
      <c r="R168" s="4"/>
      <c r="S168" s="4"/>
    </row>
    <row x14ac:dyDescent="0.25" r="169" customHeight="1" ht="12.75">
      <c r="A169" s="4"/>
      <c r="B169" s="29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29"/>
      <c r="N169" s="29"/>
      <c r="O169" s="29"/>
      <c r="P169" s="32"/>
      <c r="Q169" s="32"/>
      <c r="R169" s="4"/>
      <c r="S169" s="4"/>
    </row>
    <row x14ac:dyDescent="0.25" r="170" customHeight="1" ht="12.75">
      <c r="A170" s="4"/>
      <c r="B170" s="29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29"/>
      <c r="N170" s="29"/>
      <c r="O170" s="29"/>
      <c r="P170" s="32"/>
      <c r="Q170" s="32"/>
      <c r="R170" s="4"/>
      <c r="S170" s="4"/>
    </row>
    <row x14ac:dyDescent="0.25" r="171" customHeight="1" ht="12.75">
      <c r="A171" s="4"/>
      <c r="B171" s="29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29"/>
      <c r="N171" s="29"/>
      <c r="O171" s="29"/>
      <c r="P171" s="32"/>
      <c r="Q171" s="32"/>
      <c r="R171" s="4"/>
      <c r="S171" s="4"/>
    </row>
    <row x14ac:dyDescent="0.25" r="172" customHeight="1" ht="12.75">
      <c r="A172" s="4"/>
      <c r="B172" s="29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29"/>
      <c r="N172" s="29"/>
      <c r="O172" s="29"/>
      <c r="P172" s="32"/>
      <c r="Q172" s="32"/>
      <c r="R172" s="4"/>
      <c r="S172" s="4"/>
    </row>
    <row x14ac:dyDescent="0.25" r="173" customHeight="1" ht="12.75">
      <c r="A173" s="4"/>
      <c r="B173" s="29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29"/>
      <c r="N173" s="29"/>
      <c r="O173" s="29"/>
      <c r="P173" s="32"/>
      <c r="Q173" s="32"/>
      <c r="R173" s="4"/>
      <c r="S173" s="4"/>
    </row>
    <row x14ac:dyDescent="0.25" r="174" customHeight="1" ht="12.75">
      <c r="A174" s="4"/>
      <c r="B174" s="29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29"/>
      <c r="N174" s="29"/>
      <c r="O174" s="29"/>
      <c r="P174" s="32"/>
      <c r="Q174" s="32"/>
      <c r="R174" s="4"/>
      <c r="S174" s="4"/>
    </row>
    <row x14ac:dyDescent="0.25" r="175" customHeight="1" ht="12.75">
      <c r="A175" s="4"/>
      <c r="B175" s="29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29"/>
      <c r="N175" s="29"/>
      <c r="O175" s="29"/>
      <c r="P175" s="32"/>
      <c r="Q175" s="32"/>
      <c r="R175" s="4"/>
      <c r="S175" s="4"/>
    </row>
    <row x14ac:dyDescent="0.25" r="176" customHeight="1" ht="12.75">
      <c r="A176" s="4"/>
      <c r="B176" s="29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29"/>
      <c r="N176" s="29"/>
      <c r="O176" s="29"/>
      <c r="P176" s="32"/>
      <c r="Q176" s="32"/>
      <c r="R176" s="4"/>
      <c r="S176" s="4"/>
    </row>
    <row x14ac:dyDescent="0.25" r="177" customHeight="1" ht="12.75">
      <c r="A177" s="4"/>
      <c r="B177" s="29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29"/>
      <c r="N177" s="29"/>
      <c r="O177" s="29"/>
      <c r="P177" s="32"/>
      <c r="Q177" s="32"/>
      <c r="R177" s="4"/>
      <c r="S177" s="4"/>
    </row>
    <row x14ac:dyDescent="0.25" r="178" customHeight="1" ht="12.75">
      <c r="A178" s="4"/>
      <c r="B178" s="29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29"/>
      <c r="N178" s="29"/>
      <c r="O178" s="29"/>
      <c r="P178" s="32"/>
      <c r="Q178" s="32"/>
      <c r="R178" s="4"/>
      <c r="S178" s="4"/>
    </row>
    <row x14ac:dyDescent="0.25" r="179" customHeight="1" ht="12.75">
      <c r="A179" s="4"/>
      <c r="B179" s="29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29"/>
      <c r="N179" s="29"/>
      <c r="O179" s="29"/>
      <c r="P179" s="32"/>
      <c r="Q179" s="32"/>
      <c r="R179" s="4"/>
      <c r="S179" s="4"/>
    </row>
    <row x14ac:dyDescent="0.25" r="180" customHeight="1" ht="12.75">
      <c r="A180" s="4"/>
      <c r="B180" s="29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29"/>
      <c r="N180" s="29"/>
      <c r="O180" s="29"/>
      <c r="P180" s="32"/>
      <c r="Q180" s="32"/>
      <c r="R180" s="4"/>
      <c r="S180" s="4"/>
    </row>
    <row x14ac:dyDescent="0.25" r="181" customHeight="1" ht="12.75">
      <c r="A181" s="4"/>
      <c r="B181" s="29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29"/>
      <c r="N181" s="29"/>
      <c r="O181" s="29"/>
      <c r="P181" s="32"/>
      <c r="Q181" s="32"/>
      <c r="R181" s="4"/>
      <c r="S181" s="4"/>
    </row>
    <row x14ac:dyDescent="0.25" r="182" customHeight="1" ht="12.75">
      <c r="A182" s="4"/>
      <c r="B182" s="29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29"/>
      <c r="N182" s="29"/>
      <c r="O182" s="29"/>
      <c r="P182" s="32"/>
      <c r="Q182" s="32"/>
      <c r="R182" s="4"/>
      <c r="S182" s="4"/>
    </row>
    <row x14ac:dyDescent="0.25" r="183" customHeight="1" ht="12.75">
      <c r="A183" s="4"/>
      <c r="B183" s="29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29"/>
      <c r="N183" s="29"/>
      <c r="O183" s="29"/>
      <c r="P183" s="32"/>
      <c r="Q183" s="32"/>
      <c r="R183" s="4"/>
      <c r="S183" s="4"/>
    </row>
    <row x14ac:dyDescent="0.25" r="184" customHeight="1" ht="12.75">
      <c r="A184" s="4"/>
      <c r="B184" s="29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29"/>
      <c r="N184" s="29"/>
      <c r="O184" s="29"/>
      <c r="P184" s="32"/>
      <c r="Q184" s="32"/>
      <c r="R184" s="4"/>
      <c r="S184" s="4"/>
    </row>
    <row x14ac:dyDescent="0.25" r="185" customHeight="1" ht="12.75">
      <c r="A185" s="4"/>
      <c r="B185" s="29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29"/>
      <c r="N185" s="29"/>
      <c r="O185" s="29"/>
      <c r="P185" s="32"/>
      <c r="Q185" s="32"/>
      <c r="R185" s="4"/>
      <c r="S185" s="4"/>
    </row>
    <row x14ac:dyDescent="0.25" r="186" customHeight="1" ht="12.75">
      <c r="A186" s="4"/>
      <c r="B186" s="29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29"/>
      <c r="N186" s="29"/>
      <c r="O186" s="29"/>
      <c r="P186" s="32"/>
      <c r="Q186" s="32"/>
      <c r="R186" s="4"/>
      <c r="S186" s="4"/>
    </row>
    <row x14ac:dyDescent="0.25" r="187" customHeight="1" ht="12.75">
      <c r="A187" s="4"/>
      <c r="B187" s="29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29"/>
      <c r="N187" s="29"/>
      <c r="O187" s="29"/>
      <c r="P187" s="32"/>
      <c r="Q187" s="32"/>
      <c r="R187" s="4"/>
      <c r="S187" s="4"/>
    </row>
    <row x14ac:dyDescent="0.25" r="188" customHeight="1" ht="12.75">
      <c r="A188" s="4"/>
      <c r="B188" s="29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29"/>
      <c r="N188" s="29"/>
      <c r="O188" s="29"/>
      <c r="P188" s="32"/>
      <c r="Q188" s="32"/>
      <c r="R188" s="4"/>
      <c r="S188" s="4"/>
    </row>
    <row x14ac:dyDescent="0.25" r="189" customHeight="1" ht="12.75">
      <c r="A189" s="4"/>
      <c r="B189" s="29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29"/>
      <c r="N189" s="29"/>
      <c r="O189" s="29"/>
      <c r="P189" s="32"/>
      <c r="Q189" s="32"/>
      <c r="R189" s="4"/>
      <c r="S189" s="4"/>
    </row>
    <row x14ac:dyDescent="0.25" r="190" customHeight="1" ht="12.75">
      <c r="A190" s="4"/>
      <c r="B190" s="29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29"/>
      <c r="N190" s="29"/>
      <c r="O190" s="29"/>
      <c r="P190" s="32"/>
      <c r="Q190" s="32"/>
      <c r="R190" s="4"/>
      <c r="S190" s="4"/>
    </row>
    <row x14ac:dyDescent="0.25" r="191" customHeight="1" ht="12.75">
      <c r="A191" s="4"/>
      <c r="B191" s="29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29"/>
      <c r="N191" s="29"/>
      <c r="O191" s="29"/>
      <c r="P191" s="32"/>
      <c r="Q191" s="32"/>
      <c r="R191" s="4"/>
      <c r="S191" s="4"/>
    </row>
    <row x14ac:dyDescent="0.25" r="192" customHeight="1" ht="12.75">
      <c r="A192" s="4"/>
      <c r="B192" s="29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29"/>
      <c r="N192" s="29"/>
      <c r="O192" s="29"/>
      <c r="P192" s="32"/>
      <c r="Q192" s="32"/>
      <c r="R192" s="4"/>
      <c r="S192" s="4"/>
    </row>
    <row x14ac:dyDescent="0.25" r="193" customHeight="1" ht="12.75">
      <c r="A193" s="4"/>
      <c r="B193" s="29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29"/>
      <c r="N193" s="29"/>
      <c r="O193" s="29"/>
      <c r="P193" s="32"/>
      <c r="Q193" s="32"/>
      <c r="R193" s="4"/>
      <c r="S193" s="4"/>
    </row>
    <row x14ac:dyDescent="0.25" r="194" customHeight="1" ht="12.75">
      <c r="A194" s="4"/>
      <c r="B194" s="29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29"/>
      <c r="N194" s="29"/>
      <c r="O194" s="29"/>
      <c r="P194" s="32"/>
      <c r="Q194" s="32"/>
      <c r="R194" s="4"/>
      <c r="S194" s="4"/>
    </row>
    <row x14ac:dyDescent="0.25" r="195" customHeight="1" ht="12.75">
      <c r="A195" s="4"/>
      <c r="B195" s="29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29"/>
      <c r="N195" s="29"/>
      <c r="O195" s="29"/>
      <c r="P195" s="32"/>
      <c r="Q195" s="32"/>
      <c r="R195" s="4"/>
      <c r="S195" s="4"/>
    </row>
    <row x14ac:dyDescent="0.25" r="196" customHeight="1" ht="12.75">
      <c r="A196" s="4"/>
      <c r="B196" s="29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29"/>
      <c r="N196" s="29"/>
      <c r="O196" s="29"/>
      <c r="P196" s="32"/>
      <c r="Q196" s="32"/>
      <c r="R196" s="4"/>
      <c r="S196" s="4"/>
    </row>
    <row x14ac:dyDescent="0.25" r="197" customHeight="1" ht="12.75">
      <c r="A197" s="4"/>
      <c r="B197" s="29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29"/>
      <c r="N197" s="29"/>
      <c r="O197" s="29"/>
      <c r="P197" s="32"/>
      <c r="Q197" s="32"/>
      <c r="R197" s="4"/>
      <c r="S197" s="4"/>
    </row>
    <row x14ac:dyDescent="0.25" r="198" customHeight="1" ht="12.75">
      <c r="A198" s="4"/>
      <c r="B198" s="29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29"/>
      <c r="N198" s="29"/>
      <c r="O198" s="29"/>
      <c r="P198" s="32"/>
      <c r="Q198" s="32"/>
      <c r="R198" s="4"/>
      <c r="S198" s="4"/>
    </row>
    <row x14ac:dyDescent="0.25" r="199" customHeight="1" ht="12.75">
      <c r="A199" s="4"/>
      <c r="B199" s="29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29"/>
      <c r="N199" s="29"/>
      <c r="O199" s="29"/>
      <c r="P199" s="32"/>
      <c r="Q199" s="32"/>
      <c r="R199" s="4"/>
      <c r="S199" s="4"/>
    </row>
    <row x14ac:dyDescent="0.25" r="200" customHeight="1" ht="12.75">
      <c r="A200" s="4"/>
      <c r="B200" s="29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29"/>
      <c r="N200" s="29"/>
      <c r="O200" s="29"/>
      <c r="P200" s="32"/>
      <c r="Q200" s="32"/>
      <c r="R200" s="4"/>
      <c r="S200" s="4"/>
    </row>
    <row x14ac:dyDescent="0.25" r="201" customHeight="1" ht="12.75">
      <c r="A201" s="4"/>
      <c r="B201" s="29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29"/>
      <c r="N201" s="29"/>
      <c r="O201" s="29"/>
      <c r="P201" s="32"/>
      <c r="Q201" s="32"/>
      <c r="R201" s="4"/>
      <c r="S201" s="4"/>
    </row>
    <row x14ac:dyDescent="0.25" r="202" customHeight="1" ht="12.75">
      <c r="A202" s="4"/>
      <c r="B202" s="29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29"/>
      <c r="N202" s="29"/>
      <c r="O202" s="29"/>
      <c r="P202" s="32"/>
      <c r="Q202" s="32"/>
      <c r="R202" s="4"/>
      <c r="S202" s="4"/>
    </row>
    <row x14ac:dyDescent="0.25" r="203" customHeight="1" ht="12.75">
      <c r="A203" s="4"/>
      <c r="B203" s="29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29"/>
      <c r="N203" s="29"/>
      <c r="O203" s="29"/>
      <c r="P203" s="32"/>
      <c r="Q203" s="32"/>
      <c r="R203" s="4"/>
      <c r="S203" s="4"/>
    </row>
    <row x14ac:dyDescent="0.25" r="204" customHeight="1" ht="12.75">
      <c r="A204" s="4"/>
      <c r="B204" s="29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29"/>
      <c r="N204" s="29"/>
      <c r="O204" s="29"/>
      <c r="P204" s="32"/>
      <c r="Q204" s="32"/>
      <c r="R204" s="4"/>
      <c r="S204" s="4"/>
    </row>
    <row x14ac:dyDescent="0.25" r="205" customHeight="1" ht="12.75">
      <c r="A205" s="4"/>
      <c r="B205" s="29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29"/>
      <c r="N205" s="29"/>
      <c r="O205" s="29"/>
      <c r="P205" s="32"/>
      <c r="Q205" s="32"/>
      <c r="R205" s="4"/>
      <c r="S205" s="4"/>
    </row>
    <row x14ac:dyDescent="0.25" r="206" customHeight="1" ht="12.75">
      <c r="A206" s="4"/>
      <c r="B206" s="29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29"/>
      <c r="N206" s="29"/>
      <c r="O206" s="29"/>
      <c r="P206" s="32"/>
      <c r="Q206" s="32"/>
      <c r="R206" s="4"/>
      <c r="S206" s="4"/>
    </row>
    <row x14ac:dyDescent="0.25" r="207" customHeight="1" ht="12.75">
      <c r="A207" s="4"/>
      <c r="B207" s="29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29"/>
      <c r="N207" s="29"/>
      <c r="O207" s="29"/>
      <c r="P207" s="32"/>
      <c r="Q207" s="32"/>
      <c r="R207" s="4"/>
      <c r="S207" s="4"/>
    </row>
    <row x14ac:dyDescent="0.25" r="208" customHeight="1" ht="12.75">
      <c r="A208" s="4"/>
      <c r="B208" s="29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29"/>
      <c r="N208" s="29"/>
      <c r="O208" s="29"/>
      <c r="P208" s="32"/>
      <c r="Q208" s="32"/>
      <c r="R208" s="4"/>
      <c r="S208" s="4"/>
    </row>
    <row x14ac:dyDescent="0.25" r="209" customHeight="1" ht="12.75">
      <c r="A209" s="4"/>
      <c r="B209" s="29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29"/>
      <c r="N209" s="29"/>
      <c r="O209" s="29"/>
      <c r="P209" s="32"/>
      <c r="Q209" s="32"/>
      <c r="R209" s="4"/>
      <c r="S209" s="4"/>
    </row>
    <row x14ac:dyDescent="0.25" r="210" customHeight="1" ht="12.75">
      <c r="A210" s="4"/>
      <c r="B210" s="29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29"/>
      <c r="N210" s="29"/>
      <c r="O210" s="29"/>
      <c r="P210" s="32"/>
      <c r="Q210" s="32"/>
      <c r="R210" s="4"/>
      <c r="S210" s="4"/>
    </row>
    <row x14ac:dyDescent="0.25" r="211" customHeight="1" ht="12.75">
      <c r="A211" s="4"/>
      <c r="B211" s="29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29"/>
      <c r="N211" s="29"/>
      <c r="O211" s="29"/>
      <c r="P211" s="32"/>
      <c r="Q211" s="32"/>
      <c r="R211" s="4"/>
      <c r="S211" s="4"/>
    </row>
    <row x14ac:dyDescent="0.25" r="212" customHeight="1" ht="12.75">
      <c r="A212" s="4"/>
      <c r="B212" s="29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29"/>
      <c r="N212" s="29"/>
      <c r="O212" s="29"/>
      <c r="P212" s="32"/>
      <c r="Q212" s="32"/>
      <c r="R212" s="4"/>
      <c r="S212" s="4"/>
    </row>
    <row x14ac:dyDescent="0.25" r="213" customHeight="1" ht="12.75">
      <c r="A213" s="4"/>
      <c r="B213" s="29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29"/>
      <c r="N213" s="29"/>
      <c r="O213" s="29"/>
      <c r="P213" s="32"/>
      <c r="Q213" s="32"/>
      <c r="R213" s="4"/>
      <c r="S213" s="4"/>
    </row>
    <row x14ac:dyDescent="0.25" r="214" customHeight="1" ht="12.75">
      <c r="A214" s="4"/>
      <c r="B214" s="29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29"/>
      <c r="N214" s="29"/>
      <c r="O214" s="29"/>
      <c r="P214" s="32"/>
      <c r="Q214" s="32"/>
      <c r="R214" s="4"/>
      <c r="S214" s="4"/>
    </row>
    <row x14ac:dyDescent="0.25" r="215" customHeight="1" ht="12.75">
      <c r="A215" s="4"/>
      <c r="B215" s="29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29"/>
      <c r="N215" s="29"/>
      <c r="O215" s="29"/>
      <c r="P215" s="32"/>
      <c r="Q215" s="32"/>
      <c r="R215" s="4"/>
      <c r="S215" s="4"/>
    </row>
    <row x14ac:dyDescent="0.25" r="216" customHeight="1" ht="12.75">
      <c r="A216" s="4"/>
      <c r="B216" s="29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29"/>
      <c r="N216" s="29"/>
      <c r="O216" s="29"/>
      <c r="P216" s="32"/>
      <c r="Q216" s="32"/>
      <c r="R216" s="4"/>
      <c r="S216" s="4"/>
    </row>
    <row x14ac:dyDescent="0.25" r="217" customHeight="1" ht="12.75">
      <c r="A217" s="4"/>
      <c r="B217" s="29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29"/>
      <c r="N217" s="29"/>
      <c r="O217" s="29"/>
      <c r="P217" s="32"/>
      <c r="Q217" s="32"/>
      <c r="R217" s="4"/>
      <c r="S217" s="4"/>
    </row>
    <row x14ac:dyDescent="0.25" r="218" customHeight="1" ht="12.75">
      <c r="A218" s="4"/>
      <c r="B218" s="29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29"/>
      <c r="N218" s="29"/>
      <c r="O218" s="29"/>
      <c r="P218" s="32"/>
      <c r="Q218" s="32"/>
      <c r="R218" s="4"/>
      <c r="S218" s="4"/>
    </row>
    <row x14ac:dyDescent="0.25" r="219" customHeight="1" ht="12.75">
      <c r="A219" s="4"/>
      <c r="B219" s="29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29"/>
      <c r="N219" s="29"/>
      <c r="O219" s="29"/>
      <c r="P219" s="32"/>
      <c r="Q219" s="32"/>
      <c r="R219" s="4"/>
      <c r="S219" s="4"/>
    </row>
    <row x14ac:dyDescent="0.25" r="220" customHeight="1" ht="12.75">
      <c r="A220" s="4"/>
      <c r="B220" s="29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29"/>
      <c r="N220" s="29"/>
      <c r="O220" s="29"/>
      <c r="P220" s="32"/>
      <c r="Q220" s="32"/>
      <c r="R220" s="4"/>
      <c r="S220" s="4"/>
    </row>
    <row x14ac:dyDescent="0.25" r="221" customHeight="1" ht="12.75">
      <c r="A221" s="4"/>
      <c r="B221" s="29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29"/>
      <c r="N221" s="29"/>
      <c r="O221" s="29"/>
      <c r="P221" s="32"/>
      <c r="Q221" s="32"/>
      <c r="R221" s="4"/>
      <c r="S221" s="4"/>
    </row>
    <row x14ac:dyDescent="0.25" r="222" customHeight="1" ht="12.75">
      <c r="A222" s="4"/>
      <c r="B222" s="29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29"/>
      <c r="N222" s="29"/>
      <c r="O222" s="29"/>
      <c r="P222" s="32"/>
      <c r="Q222" s="32"/>
      <c r="R222" s="4"/>
      <c r="S222" s="4"/>
    </row>
    <row x14ac:dyDescent="0.25" r="223" customHeight="1" ht="12.75">
      <c r="A223" s="4"/>
      <c r="B223" s="29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29"/>
      <c r="N223" s="29"/>
      <c r="O223" s="29"/>
      <c r="P223" s="32"/>
      <c r="Q223" s="32"/>
      <c r="R223" s="4"/>
      <c r="S223" s="4"/>
    </row>
    <row x14ac:dyDescent="0.25" r="224" customHeight="1" ht="12.75">
      <c r="A224" s="4"/>
      <c r="B224" s="29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29"/>
      <c r="N224" s="29"/>
      <c r="O224" s="29"/>
      <c r="P224" s="32"/>
      <c r="Q224" s="32"/>
      <c r="R224" s="4"/>
      <c r="S224" s="4"/>
    </row>
    <row x14ac:dyDescent="0.25" r="225" customHeight="1" ht="12.75">
      <c r="A225" s="4"/>
      <c r="B225" s="29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29"/>
      <c r="N225" s="29"/>
      <c r="O225" s="29"/>
      <c r="P225" s="32"/>
      <c r="Q225" s="32"/>
      <c r="R225" s="4"/>
      <c r="S225" s="4"/>
    </row>
    <row x14ac:dyDescent="0.25" r="226" customHeight="1" ht="12.75">
      <c r="A226" s="4"/>
      <c r="B226" s="29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29"/>
      <c r="N226" s="29"/>
      <c r="O226" s="29"/>
      <c r="P226" s="32"/>
      <c r="Q226" s="32"/>
      <c r="R226" s="4"/>
      <c r="S226" s="4"/>
    </row>
    <row x14ac:dyDescent="0.25" r="227" customHeight="1" ht="12.75">
      <c r="A227" s="4"/>
      <c r="B227" s="29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29"/>
      <c r="N227" s="29"/>
      <c r="O227" s="29"/>
      <c r="P227" s="32"/>
      <c r="Q227" s="32"/>
      <c r="R227" s="4"/>
      <c r="S227" s="4"/>
    </row>
    <row x14ac:dyDescent="0.25" r="228" customHeight="1" ht="12.75">
      <c r="A228" s="4"/>
      <c r="B228" s="29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29"/>
      <c r="N228" s="29"/>
      <c r="O228" s="29"/>
      <c r="P228" s="32"/>
      <c r="Q228" s="32"/>
      <c r="R228" s="4"/>
      <c r="S228" s="4"/>
    </row>
    <row x14ac:dyDescent="0.25" r="229" customHeight="1" ht="12.75">
      <c r="A229" s="4"/>
      <c r="B229" s="29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29"/>
      <c r="N229" s="29"/>
      <c r="O229" s="29"/>
      <c r="P229" s="32"/>
      <c r="Q229" s="32"/>
      <c r="R229" s="4"/>
      <c r="S229" s="4"/>
    </row>
    <row x14ac:dyDescent="0.25" r="230" customHeight="1" ht="12.75">
      <c r="A230" s="4"/>
      <c r="B230" s="29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29"/>
      <c r="N230" s="29"/>
      <c r="O230" s="29"/>
      <c r="P230" s="32"/>
      <c r="Q230" s="32"/>
      <c r="R230" s="4"/>
      <c r="S230" s="4"/>
    </row>
    <row x14ac:dyDescent="0.25" r="231" customHeight="1" ht="12.75">
      <c r="A231" s="4"/>
      <c r="B231" s="29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29"/>
      <c r="N231" s="29"/>
      <c r="O231" s="29"/>
      <c r="P231" s="32"/>
      <c r="Q231" s="32"/>
      <c r="R231" s="4"/>
      <c r="S231" s="4"/>
    </row>
    <row x14ac:dyDescent="0.25" r="232" customHeight="1" ht="12.75">
      <c r="A232" s="4"/>
      <c r="B232" s="29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29"/>
      <c r="N232" s="29"/>
      <c r="O232" s="29"/>
      <c r="P232" s="32"/>
      <c r="Q232" s="32"/>
      <c r="R232" s="4"/>
      <c r="S232" s="4"/>
    </row>
    <row x14ac:dyDescent="0.25" r="233" customHeight="1" ht="12.75">
      <c r="A233" s="4"/>
      <c r="B233" s="29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29"/>
      <c r="N233" s="29"/>
      <c r="O233" s="29"/>
      <c r="P233" s="32"/>
      <c r="Q233" s="32"/>
      <c r="R233" s="4"/>
      <c r="S233" s="4"/>
    </row>
    <row x14ac:dyDescent="0.25" r="234" customHeight="1" ht="12.75">
      <c r="A234" s="4"/>
      <c r="B234" s="29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29"/>
      <c r="N234" s="29"/>
      <c r="O234" s="29"/>
      <c r="P234" s="32"/>
      <c r="Q234" s="32"/>
      <c r="R234" s="4"/>
      <c r="S234" s="4"/>
    </row>
    <row x14ac:dyDescent="0.25" r="235" customHeight="1" ht="12.75">
      <c r="A235" s="4"/>
      <c r="B235" s="29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29"/>
      <c r="N235" s="29"/>
      <c r="O235" s="29"/>
      <c r="P235" s="32"/>
      <c r="Q235" s="32"/>
      <c r="R235" s="4"/>
      <c r="S235" s="4"/>
    </row>
    <row x14ac:dyDescent="0.25" r="236" customHeight="1" ht="12.75">
      <c r="A236" s="4"/>
      <c r="B236" s="29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29"/>
      <c r="N236" s="29"/>
      <c r="O236" s="29"/>
      <c r="P236" s="32"/>
      <c r="Q236" s="32"/>
      <c r="R236" s="4"/>
      <c r="S236" s="4"/>
    </row>
    <row x14ac:dyDescent="0.25" r="237" customHeight="1" ht="12.75">
      <c r="A237" s="4"/>
      <c r="B237" s="29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29"/>
      <c r="N237" s="29"/>
      <c r="O237" s="29"/>
      <c r="P237" s="32"/>
      <c r="Q237" s="32"/>
      <c r="R237" s="4"/>
      <c r="S237" s="4"/>
    </row>
    <row x14ac:dyDescent="0.25" r="238" customHeight="1" ht="12.75">
      <c r="A238" s="4"/>
      <c r="B238" s="29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29"/>
      <c r="N238" s="29"/>
      <c r="O238" s="29"/>
      <c r="P238" s="32"/>
      <c r="Q238" s="32"/>
      <c r="R238" s="4"/>
      <c r="S238" s="4"/>
    </row>
    <row x14ac:dyDescent="0.25" r="239" customHeight="1" ht="12.75">
      <c r="A239" s="4"/>
      <c r="B239" s="29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29"/>
      <c r="N239" s="29"/>
      <c r="O239" s="29"/>
      <c r="P239" s="32"/>
      <c r="Q239" s="32"/>
      <c r="R239" s="4"/>
      <c r="S239" s="4"/>
    </row>
    <row x14ac:dyDescent="0.25" r="240" customHeight="1" ht="12.75">
      <c r="A240" s="4"/>
      <c r="B240" s="29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29"/>
      <c r="N240" s="29"/>
      <c r="O240" s="29"/>
      <c r="P240" s="32"/>
      <c r="Q240" s="32"/>
      <c r="R240" s="4"/>
      <c r="S240" s="4"/>
    </row>
    <row x14ac:dyDescent="0.25" r="241" customHeight="1" ht="12.75">
      <c r="A241" s="4"/>
      <c r="B241" s="29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29"/>
      <c r="N241" s="29"/>
      <c r="O241" s="29"/>
      <c r="P241" s="32"/>
      <c r="Q241" s="32"/>
      <c r="R241" s="4"/>
      <c r="S241" s="4"/>
    </row>
    <row x14ac:dyDescent="0.25" r="242" customHeight="1" ht="12.75">
      <c r="A242" s="4"/>
      <c r="B242" s="29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29"/>
      <c r="N242" s="29"/>
      <c r="O242" s="29"/>
      <c r="P242" s="32"/>
      <c r="Q242" s="32"/>
      <c r="R242" s="4"/>
      <c r="S242" s="4"/>
    </row>
    <row x14ac:dyDescent="0.25" r="243" customHeight="1" ht="12.75">
      <c r="A243" s="4"/>
      <c r="B243" s="29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29"/>
      <c r="N243" s="29"/>
      <c r="O243" s="29"/>
      <c r="P243" s="32"/>
      <c r="Q243" s="32"/>
      <c r="R243" s="4"/>
      <c r="S243" s="4"/>
    </row>
    <row x14ac:dyDescent="0.25" r="244" customHeight="1" ht="12.75">
      <c r="A244" s="4"/>
      <c r="B244" s="29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29"/>
      <c r="N244" s="29"/>
      <c r="O244" s="29"/>
      <c r="P244" s="32"/>
      <c r="Q244" s="32"/>
      <c r="R244" s="4"/>
      <c r="S244" s="4"/>
    </row>
    <row x14ac:dyDescent="0.25" r="245" customHeight="1" ht="12.75">
      <c r="A245" s="4"/>
      <c r="B245" s="29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29"/>
      <c r="N245" s="29"/>
      <c r="O245" s="29"/>
      <c r="P245" s="32"/>
      <c r="Q245" s="32"/>
      <c r="R245" s="4"/>
      <c r="S245" s="4"/>
    </row>
    <row x14ac:dyDescent="0.25" r="246" customHeight="1" ht="12.75">
      <c r="A246" s="4"/>
      <c r="B246" s="29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29"/>
      <c r="N246" s="29"/>
      <c r="O246" s="29"/>
      <c r="P246" s="32"/>
      <c r="Q246" s="32"/>
      <c r="R246" s="4"/>
      <c r="S246" s="4"/>
    </row>
    <row x14ac:dyDescent="0.25" r="247" customHeight="1" ht="12.75">
      <c r="A247" s="4"/>
      <c r="B247" s="29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29"/>
      <c r="N247" s="29"/>
      <c r="O247" s="29"/>
      <c r="P247" s="32"/>
      <c r="Q247" s="32"/>
      <c r="R247" s="4"/>
      <c r="S247" s="4"/>
    </row>
    <row x14ac:dyDescent="0.25" r="248" customHeight="1" ht="12.75">
      <c r="A248" s="4"/>
      <c r="B248" s="29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29"/>
      <c r="N248" s="29"/>
      <c r="O248" s="29"/>
      <c r="P248" s="32"/>
      <c r="Q248" s="32"/>
      <c r="R248" s="4"/>
      <c r="S248" s="4"/>
    </row>
    <row x14ac:dyDescent="0.25" r="249" customHeight="1" ht="12.75">
      <c r="A249" s="4"/>
      <c r="B249" s="29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29"/>
      <c r="N249" s="29"/>
      <c r="O249" s="29"/>
      <c r="P249" s="32"/>
      <c r="Q249" s="32"/>
      <c r="R249" s="4"/>
      <c r="S249" s="4"/>
    </row>
    <row x14ac:dyDescent="0.25" r="250" customHeight="1" ht="12.75">
      <c r="A250" s="4"/>
      <c r="B250" s="29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29"/>
      <c r="N250" s="29"/>
      <c r="O250" s="29"/>
      <c r="P250" s="32"/>
      <c r="Q250" s="32"/>
      <c r="R250" s="4"/>
      <c r="S250" s="4"/>
    </row>
    <row x14ac:dyDescent="0.25" r="251" customHeight="1" ht="12.75">
      <c r="A251" s="4"/>
      <c r="B251" s="29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29"/>
      <c r="N251" s="29"/>
      <c r="O251" s="29"/>
      <c r="P251" s="32"/>
      <c r="Q251" s="32"/>
      <c r="R251" s="4"/>
      <c r="S251" s="4"/>
    </row>
    <row x14ac:dyDescent="0.25" r="252" customHeight="1" ht="12.75">
      <c r="A252" s="4"/>
      <c r="B252" s="29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29"/>
      <c r="N252" s="29"/>
      <c r="O252" s="29"/>
      <c r="P252" s="32"/>
      <c r="Q252" s="32"/>
      <c r="R252" s="4"/>
      <c r="S252" s="4"/>
    </row>
    <row x14ac:dyDescent="0.25" r="253" customHeight="1" ht="12.75">
      <c r="A253" s="4"/>
      <c r="B253" s="29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29"/>
      <c r="N253" s="29"/>
      <c r="O253" s="29"/>
      <c r="P253" s="32"/>
      <c r="Q253" s="32"/>
      <c r="R253" s="4"/>
      <c r="S253" s="4"/>
    </row>
    <row x14ac:dyDescent="0.25" r="254" customHeight="1" ht="12.75">
      <c r="A254" s="4"/>
      <c r="B254" s="29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29"/>
      <c r="N254" s="29"/>
      <c r="O254" s="29"/>
      <c r="P254" s="32"/>
      <c r="Q254" s="32"/>
      <c r="R254" s="4"/>
      <c r="S254" s="4"/>
    </row>
    <row x14ac:dyDescent="0.25" r="255" customHeight="1" ht="12.75">
      <c r="A255" s="4"/>
      <c r="B255" s="29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29"/>
      <c r="N255" s="29"/>
      <c r="O255" s="29"/>
      <c r="P255" s="32"/>
      <c r="Q255" s="32"/>
      <c r="R255" s="4"/>
      <c r="S255" s="4"/>
    </row>
    <row x14ac:dyDescent="0.25" r="256" customHeight="1" ht="12.75">
      <c r="A256" s="4"/>
      <c r="B256" s="29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29"/>
      <c r="N256" s="29"/>
      <c r="O256" s="29"/>
      <c r="P256" s="32"/>
      <c r="Q256" s="32"/>
      <c r="R256" s="4"/>
      <c r="S256" s="4"/>
    </row>
    <row x14ac:dyDescent="0.25" r="257" customHeight="1" ht="12.75">
      <c r="A257" s="4"/>
      <c r="B257" s="29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29"/>
      <c r="N257" s="29"/>
      <c r="O257" s="29"/>
      <c r="P257" s="32"/>
      <c r="Q257" s="32"/>
      <c r="R257" s="4"/>
      <c r="S257" s="4"/>
    </row>
    <row x14ac:dyDescent="0.25" r="258" customHeight="1" ht="12.75">
      <c r="A258" s="4"/>
      <c r="B258" s="29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29"/>
      <c r="N258" s="29"/>
      <c r="O258" s="29"/>
      <c r="P258" s="32"/>
      <c r="Q258" s="32"/>
      <c r="R258" s="4"/>
      <c r="S258" s="4"/>
    </row>
    <row x14ac:dyDescent="0.25" r="259" customHeight="1" ht="12.75">
      <c r="A259" s="4"/>
      <c r="B259" s="29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29"/>
      <c r="N259" s="29"/>
      <c r="O259" s="29"/>
      <c r="P259" s="32"/>
      <c r="Q259" s="32"/>
      <c r="R259" s="4"/>
      <c r="S259" s="4"/>
    </row>
    <row x14ac:dyDescent="0.25" r="260" customHeight="1" ht="12.75">
      <c r="A260" s="4"/>
      <c r="B260" s="29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29"/>
      <c r="N260" s="29"/>
      <c r="O260" s="29"/>
      <c r="P260" s="32"/>
      <c r="Q260" s="32"/>
      <c r="R260" s="4"/>
      <c r="S260" s="4"/>
    </row>
    <row x14ac:dyDescent="0.25" r="261" customHeight="1" ht="12.75">
      <c r="A261" s="4"/>
      <c r="B261" s="29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29"/>
      <c r="N261" s="29"/>
      <c r="O261" s="29"/>
      <c r="P261" s="32"/>
      <c r="Q261" s="32"/>
      <c r="R261" s="4"/>
      <c r="S261" s="4"/>
    </row>
    <row x14ac:dyDescent="0.25" r="262" customHeight="1" ht="12.75">
      <c r="A262" s="4"/>
      <c r="B262" s="29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29"/>
      <c r="N262" s="29"/>
      <c r="O262" s="29"/>
      <c r="P262" s="32"/>
      <c r="Q262" s="32"/>
      <c r="R262" s="4"/>
      <c r="S262" s="4"/>
    </row>
    <row x14ac:dyDescent="0.25" r="263" customHeight="1" ht="12.75">
      <c r="A263" s="4"/>
      <c r="B263" s="29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29"/>
      <c r="N263" s="29"/>
      <c r="O263" s="29"/>
      <c r="P263" s="32"/>
      <c r="Q263" s="32"/>
      <c r="R263" s="4"/>
      <c r="S263" s="4"/>
    </row>
    <row x14ac:dyDescent="0.25" r="264" customHeight="1" ht="12.75">
      <c r="A264" s="4"/>
      <c r="B264" s="29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29"/>
      <c r="N264" s="29"/>
      <c r="O264" s="29"/>
      <c r="P264" s="32"/>
      <c r="Q264" s="32"/>
      <c r="R264" s="4"/>
      <c r="S264" s="4"/>
    </row>
    <row x14ac:dyDescent="0.25" r="265" customHeight="1" ht="12.75">
      <c r="A265" s="4"/>
      <c r="B265" s="29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29"/>
      <c r="N265" s="29"/>
      <c r="O265" s="29"/>
      <c r="P265" s="32"/>
      <c r="Q265" s="32"/>
      <c r="R265" s="4"/>
      <c r="S265" s="4"/>
    </row>
    <row x14ac:dyDescent="0.25" r="266" customHeight="1" ht="12.75">
      <c r="A266" s="4"/>
      <c r="B266" s="29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29"/>
      <c r="N266" s="29"/>
      <c r="O266" s="29"/>
      <c r="P266" s="32"/>
      <c r="Q266" s="32"/>
      <c r="R266" s="4"/>
      <c r="S266" s="4"/>
    </row>
    <row x14ac:dyDescent="0.25" r="267" customHeight="1" ht="12.75">
      <c r="A267" s="4"/>
      <c r="B267" s="29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29"/>
      <c r="N267" s="29"/>
      <c r="O267" s="29"/>
      <c r="P267" s="32"/>
      <c r="Q267" s="32"/>
      <c r="R267" s="4"/>
      <c r="S267" s="4"/>
    </row>
    <row x14ac:dyDescent="0.25" r="268" customHeight="1" ht="12.75">
      <c r="A268" s="4"/>
      <c r="B268" s="29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29"/>
      <c r="N268" s="29"/>
      <c r="O268" s="29"/>
      <c r="P268" s="32"/>
      <c r="Q268" s="32"/>
      <c r="R268" s="4"/>
      <c r="S268" s="4"/>
    </row>
    <row x14ac:dyDescent="0.25" r="269" customHeight="1" ht="12.75">
      <c r="A269" s="4"/>
      <c r="B269" s="29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29"/>
      <c r="N269" s="29"/>
      <c r="O269" s="29"/>
      <c r="P269" s="32"/>
      <c r="Q269" s="32"/>
      <c r="R269" s="4"/>
      <c r="S269" s="4"/>
    </row>
    <row x14ac:dyDescent="0.25" r="270" customHeight="1" ht="12.75">
      <c r="A270" s="4"/>
      <c r="B270" s="29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29"/>
      <c r="N270" s="29"/>
      <c r="O270" s="29"/>
      <c r="P270" s="32"/>
      <c r="Q270" s="32"/>
      <c r="R270" s="4"/>
      <c r="S270" s="4"/>
    </row>
    <row x14ac:dyDescent="0.25" r="271" customHeight="1" ht="12.75">
      <c r="A271" s="4"/>
      <c r="B271" s="29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29"/>
      <c r="N271" s="29"/>
      <c r="O271" s="29"/>
      <c r="P271" s="32"/>
      <c r="Q271" s="32"/>
      <c r="R271" s="4"/>
      <c r="S271" s="4"/>
    </row>
    <row x14ac:dyDescent="0.25" r="272" customHeight="1" ht="12.75">
      <c r="A272" s="4"/>
      <c r="B272" s="29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29"/>
      <c r="N272" s="29"/>
      <c r="O272" s="29"/>
      <c r="P272" s="32"/>
      <c r="Q272" s="32"/>
      <c r="R272" s="4"/>
      <c r="S272" s="4"/>
    </row>
    <row x14ac:dyDescent="0.25" r="273" customHeight="1" ht="12.75">
      <c r="A273" s="4"/>
      <c r="B273" s="29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29"/>
      <c r="N273" s="29"/>
      <c r="O273" s="29"/>
      <c r="P273" s="32"/>
      <c r="Q273" s="32"/>
      <c r="R273" s="4"/>
      <c r="S273" s="4"/>
    </row>
    <row x14ac:dyDescent="0.25" r="274" customHeight="1" ht="12.75">
      <c r="A274" s="4"/>
      <c r="B274" s="29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29"/>
      <c r="N274" s="29"/>
      <c r="O274" s="29"/>
      <c r="P274" s="32"/>
      <c r="Q274" s="32"/>
      <c r="R274" s="4"/>
      <c r="S274" s="4"/>
    </row>
    <row x14ac:dyDescent="0.25" r="275" customHeight="1" ht="12.75">
      <c r="A275" s="4"/>
      <c r="B275" s="29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29"/>
      <c r="N275" s="29"/>
      <c r="O275" s="29"/>
      <c r="P275" s="32"/>
      <c r="Q275" s="32"/>
      <c r="R275" s="4"/>
      <c r="S275" s="4"/>
    </row>
    <row x14ac:dyDescent="0.25" r="276" customHeight="1" ht="12.75">
      <c r="A276" s="4"/>
      <c r="B276" s="29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29"/>
      <c r="N276" s="29"/>
      <c r="O276" s="29"/>
      <c r="P276" s="32"/>
      <c r="Q276" s="32"/>
      <c r="R276" s="4"/>
      <c r="S276" s="4"/>
    </row>
    <row x14ac:dyDescent="0.25" r="277" customHeight="1" ht="12.75">
      <c r="A277" s="4"/>
      <c r="B277" s="29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29"/>
      <c r="N277" s="29"/>
      <c r="O277" s="29"/>
      <c r="P277" s="32"/>
      <c r="Q277" s="32"/>
      <c r="R277" s="4"/>
      <c r="S277" s="4"/>
    </row>
    <row x14ac:dyDescent="0.25" r="278" customHeight="1" ht="12.75">
      <c r="A278" s="4"/>
      <c r="B278" s="29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29"/>
      <c r="N278" s="29"/>
      <c r="O278" s="29"/>
      <c r="P278" s="32"/>
      <c r="Q278" s="32"/>
      <c r="R278" s="4"/>
      <c r="S278" s="4"/>
    </row>
    <row x14ac:dyDescent="0.25" r="279" customHeight="1" ht="12.75">
      <c r="A279" s="4"/>
      <c r="B279" s="29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29"/>
      <c r="N279" s="29"/>
      <c r="O279" s="29"/>
      <c r="P279" s="32"/>
      <c r="Q279" s="32"/>
      <c r="R279" s="4"/>
      <c r="S279" s="4"/>
    </row>
    <row x14ac:dyDescent="0.25" r="280" customHeight="1" ht="12.75">
      <c r="A280" s="4"/>
      <c r="B280" s="29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29"/>
      <c r="N280" s="29"/>
      <c r="O280" s="29"/>
      <c r="P280" s="32"/>
      <c r="Q280" s="32"/>
      <c r="R280" s="4"/>
      <c r="S280" s="4"/>
    </row>
    <row x14ac:dyDescent="0.25" r="281" customHeight="1" ht="12.75">
      <c r="A281" s="4"/>
      <c r="B281" s="29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29"/>
      <c r="N281" s="29"/>
      <c r="O281" s="29"/>
      <c r="P281" s="32"/>
      <c r="Q281" s="32"/>
      <c r="R281" s="4"/>
      <c r="S281" s="4"/>
    </row>
    <row x14ac:dyDescent="0.25" r="282" customHeight="1" ht="12.75">
      <c r="A282" s="4"/>
      <c r="B282" s="29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29"/>
      <c r="N282" s="29"/>
      <c r="O282" s="29"/>
      <c r="P282" s="32"/>
      <c r="Q282" s="32"/>
      <c r="R282" s="4"/>
      <c r="S282" s="4"/>
    </row>
    <row x14ac:dyDescent="0.25" r="283" customHeight="1" ht="12.75">
      <c r="A283" s="4"/>
      <c r="B283" s="29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29"/>
      <c r="N283" s="29"/>
      <c r="O283" s="29"/>
      <c r="P283" s="32"/>
      <c r="Q283" s="32"/>
      <c r="R283" s="4"/>
      <c r="S283" s="4"/>
    </row>
    <row x14ac:dyDescent="0.25" r="284" customHeight="1" ht="12.75">
      <c r="A284" s="4"/>
      <c r="B284" s="29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29"/>
      <c r="N284" s="29"/>
      <c r="O284" s="29"/>
      <c r="P284" s="32"/>
      <c r="Q284" s="32"/>
      <c r="R284" s="4"/>
      <c r="S284" s="4"/>
    </row>
    <row x14ac:dyDescent="0.25" r="285" customHeight="1" ht="12.75">
      <c r="A285" s="4"/>
      <c r="B285" s="29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29"/>
      <c r="N285" s="29"/>
      <c r="O285" s="29"/>
      <c r="P285" s="32"/>
      <c r="Q285" s="32"/>
      <c r="R285" s="4"/>
      <c r="S285" s="4"/>
    </row>
    <row x14ac:dyDescent="0.25" r="286" customHeight="1" ht="12.75">
      <c r="A286" s="4"/>
      <c r="B286" s="29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29"/>
      <c r="N286" s="29"/>
      <c r="O286" s="29"/>
      <c r="P286" s="32"/>
      <c r="Q286" s="32"/>
      <c r="R286" s="4"/>
      <c r="S286" s="4"/>
    </row>
    <row x14ac:dyDescent="0.25" r="287" customHeight="1" ht="12.75">
      <c r="A287" s="4"/>
      <c r="B287" s="29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29"/>
      <c r="N287" s="29"/>
      <c r="O287" s="29"/>
      <c r="P287" s="32"/>
      <c r="Q287" s="32"/>
      <c r="R287" s="4"/>
      <c r="S287" s="4"/>
    </row>
    <row x14ac:dyDescent="0.25" r="288" customHeight="1" ht="12.75">
      <c r="A288" s="4"/>
      <c r="B288" s="29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29"/>
      <c r="N288" s="29"/>
      <c r="O288" s="29"/>
      <c r="P288" s="32"/>
      <c r="Q288" s="32"/>
      <c r="R288" s="4"/>
      <c r="S288" s="4"/>
    </row>
    <row x14ac:dyDescent="0.25" r="289" customHeight="1" ht="12.75">
      <c r="A289" s="4"/>
      <c r="B289" s="29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29"/>
      <c r="N289" s="29"/>
      <c r="O289" s="29"/>
      <c r="P289" s="32"/>
      <c r="Q289" s="32"/>
      <c r="R289" s="4"/>
      <c r="S289" s="4"/>
    </row>
    <row x14ac:dyDescent="0.25" r="290" customHeight="1" ht="12.75">
      <c r="A290" s="4"/>
      <c r="B290" s="29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29"/>
      <c r="N290" s="29"/>
      <c r="O290" s="29"/>
      <c r="P290" s="32"/>
      <c r="Q290" s="32"/>
      <c r="R290" s="4"/>
      <c r="S290" s="4"/>
    </row>
    <row x14ac:dyDescent="0.25" r="291" customHeight="1" ht="12.75">
      <c r="A291" s="4"/>
      <c r="B291" s="29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29"/>
      <c r="N291" s="29"/>
      <c r="O291" s="29"/>
      <c r="P291" s="32"/>
      <c r="Q291" s="32"/>
      <c r="R291" s="4"/>
      <c r="S291" s="4"/>
    </row>
    <row x14ac:dyDescent="0.25" r="292" customHeight="1" ht="12.75">
      <c r="A292" s="4"/>
      <c r="B292" s="29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29"/>
      <c r="N292" s="29"/>
      <c r="O292" s="29"/>
      <c r="P292" s="32"/>
      <c r="Q292" s="32"/>
      <c r="R292" s="4"/>
      <c r="S292" s="4"/>
    </row>
    <row x14ac:dyDescent="0.25" r="293" customHeight="1" ht="12.75">
      <c r="A293" s="4"/>
      <c r="B293" s="29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29"/>
      <c r="N293" s="29"/>
      <c r="O293" s="29"/>
      <c r="P293" s="32"/>
      <c r="Q293" s="32"/>
      <c r="R293" s="4"/>
      <c r="S293" s="4"/>
    </row>
    <row x14ac:dyDescent="0.25" r="294" customHeight="1" ht="12.75">
      <c r="A294" s="4"/>
      <c r="B294" s="29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29"/>
      <c r="N294" s="29"/>
      <c r="O294" s="29"/>
      <c r="P294" s="32"/>
      <c r="Q294" s="32"/>
      <c r="R294" s="4"/>
      <c r="S294" s="4"/>
    </row>
    <row x14ac:dyDescent="0.25" r="295" customHeight="1" ht="12.75">
      <c r="A295" s="4"/>
      <c r="B295" s="29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29"/>
      <c r="N295" s="29"/>
      <c r="O295" s="29"/>
      <c r="P295" s="32"/>
      <c r="Q295" s="32"/>
      <c r="R295" s="4"/>
      <c r="S295" s="4"/>
    </row>
    <row x14ac:dyDescent="0.25" r="296" customHeight="1" ht="12.75">
      <c r="A296" s="4"/>
      <c r="B296" s="29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29"/>
      <c r="N296" s="29"/>
      <c r="O296" s="29"/>
      <c r="P296" s="32"/>
      <c r="Q296" s="32"/>
      <c r="R296" s="4"/>
      <c r="S296" s="4"/>
    </row>
    <row x14ac:dyDescent="0.25" r="297" customHeight="1" ht="12.75">
      <c r="A297" s="4"/>
      <c r="B297" s="29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29"/>
      <c r="N297" s="29"/>
      <c r="O297" s="29"/>
      <c r="P297" s="32"/>
      <c r="Q297" s="32"/>
      <c r="R297" s="4"/>
      <c r="S297" s="4"/>
    </row>
    <row x14ac:dyDescent="0.25" r="298" customHeight="1" ht="12.75">
      <c r="A298" s="4"/>
      <c r="B298" s="29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29"/>
      <c r="N298" s="29"/>
      <c r="O298" s="29"/>
      <c r="P298" s="32"/>
      <c r="Q298" s="32"/>
      <c r="R298" s="4"/>
      <c r="S298" s="4"/>
    </row>
    <row x14ac:dyDescent="0.25" r="299" customHeight="1" ht="12.75">
      <c r="A299" s="4"/>
      <c r="B299" s="29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29"/>
      <c r="N299" s="29"/>
      <c r="O299" s="29"/>
      <c r="P299" s="32"/>
      <c r="Q299" s="32"/>
      <c r="R299" s="4"/>
      <c r="S299" s="4"/>
    </row>
    <row x14ac:dyDescent="0.25" r="300" customHeight="1" ht="12.75">
      <c r="A300" s="4"/>
      <c r="B300" s="29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29"/>
      <c r="N300" s="29"/>
      <c r="O300" s="29"/>
      <c r="P300" s="32"/>
      <c r="Q300" s="32"/>
      <c r="R300" s="4"/>
      <c r="S300" s="4"/>
    </row>
    <row x14ac:dyDescent="0.25" r="301" customHeight="1" ht="12.75">
      <c r="A301" s="4"/>
      <c r="B301" s="29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29"/>
      <c r="N301" s="29"/>
      <c r="O301" s="29"/>
      <c r="P301" s="32"/>
      <c r="Q301" s="32"/>
      <c r="R301" s="4"/>
      <c r="S301" s="4"/>
    </row>
    <row x14ac:dyDescent="0.25" r="302" customHeight="1" ht="12.75">
      <c r="A302" s="4"/>
      <c r="B302" s="29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29"/>
      <c r="N302" s="29"/>
      <c r="O302" s="29"/>
      <c r="P302" s="32"/>
      <c r="Q302" s="32"/>
      <c r="R302" s="4"/>
      <c r="S302" s="4"/>
    </row>
    <row x14ac:dyDescent="0.25" r="303" customHeight="1" ht="12.75">
      <c r="A303" s="4"/>
      <c r="B303" s="29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29"/>
      <c r="N303" s="29"/>
      <c r="O303" s="29"/>
      <c r="P303" s="32"/>
      <c r="Q303" s="32"/>
      <c r="R303" s="4"/>
      <c r="S303" s="4"/>
    </row>
    <row x14ac:dyDescent="0.25" r="304" customHeight="1" ht="12.75">
      <c r="A304" s="4"/>
      <c r="B304" s="29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29"/>
      <c r="N304" s="29"/>
      <c r="O304" s="29"/>
      <c r="P304" s="32"/>
      <c r="Q304" s="32"/>
      <c r="R304" s="4"/>
      <c r="S304" s="4"/>
    </row>
    <row x14ac:dyDescent="0.25" r="305" customHeight="1" ht="12.75">
      <c r="A305" s="4"/>
      <c r="B305" s="29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29"/>
      <c r="N305" s="29"/>
      <c r="O305" s="29"/>
      <c r="P305" s="32"/>
      <c r="Q305" s="32"/>
      <c r="R305" s="4"/>
      <c r="S305" s="4"/>
    </row>
    <row x14ac:dyDescent="0.25" r="306" customHeight="1" ht="12.75">
      <c r="A306" s="4"/>
      <c r="B306" s="29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29"/>
      <c r="N306" s="29"/>
      <c r="O306" s="29"/>
      <c r="P306" s="32"/>
      <c r="Q306" s="32"/>
      <c r="R306" s="4"/>
      <c r="S306" s="4"/>
    </row>
    <row x14ac:dyDescent="0.25" r="307" customHeight="1" ht="12.75">
      <c r="A307" s="4"/>
      <c r="B307" s="29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29"/>
      <c r="N307" s="29"/>
      <c r="O307" s="29"/>
      <c r="P307" s="32"/>
      <c r="Q307" s="32"/>
      <c r="R307" s="4"/>
      <c r="S307" s="4"/>
    </row>
    <row x14ac:dyDescent="0.25" r="308" customHeight="1" ht="12.75">
      <c r="A308" s="4"/>
      <c r="B308" s="29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29"/>
      <c r="N308" s="29"/>
      <c r="O308" s="29"/>
      <c r="P308" s="32"/>
      <c r="Q308" s="32"/>
      <c r="R308" s="4"/>
      <c r="S308" s="4"/>
    </row>
    <row x14ac:dyDescent="0.25" r="309" customHeight="1" ht="12.75">
      <c r="A309" s="4"/>
      <c r="B309" s="29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29"/>
      <c r="N309" s="29"/>
      <c r="O309" s="29"/>
      <c r="P309" s="32"/>
      <c r="Q309" s="32"/>
      <c r="R309" s="4"/>
      <c r="S309" s="4"/>
    </row>
    <row x14ac:dyDescent="0.25" r="310" customHeight="1" ht="12.75">
      <c r="A310" s="4"/>
      <c r="B310" s="29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29"/>
      <c r="N310" s="29"/>
      <c r="O310" s="29"/>
      <c r="P310" s="32"/>
      <c r="Q310" s="32"/>
      <c r="R310" s="4"/>
      <c r="S310" s="4"/>
    </row>
    <row x14ac:dyDescent="0.25" r="311" customHeight="1" ht="12.75">
      <c r="A311" s="4"/>
      <c r="B311" s="29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29"/>
      <c r="N311" s="29"/>
      <c r="O311" s="29"/>
      <c r="P311" s="32"/>
      <c r="Q311" s="32"/>
      <c r="R311" s="4"/>
      <c r="S311" s="4"/>
    </row>
    <row x14ac:dyDescent="0.25" r="312" customHeight="1" ht="12.75">
      <c r="A312" s="4"/>
      <c r="B312" s="29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29"/>
      <c r="N312" s="29"/>
      <c r="O312" s="29"/>
      <c r="P312" s="32"/>
      <c r="Q312" s="32"/>
      <c r="R312" s="4"/>
      <c r="S312" s="4"/>
    </row>
    <row x14ac:dyDescent="0.25" r="313" customHeight="1" ht="12.75">
      <c r="A313" s="4"/>
      <c r="B313" s="29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29"/>
      <c r="N313" s="29"/>
      <c r="O313" s="29"/>
      <c r="P313" s="32"/>
      <c r="Q313" s="32"/>
      <c r="R313" s="4"/>
      <c r="S313" s="4"/>
    </row>
    <row x14ac:dyDescent="0.25" r="314" customHeight="1" ht="12.75">
      <c r="A314" s="4"/>
      <c r="B314" s="29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29"/>
      <c r="N314" s="29"/>
      <c r="O314" s="29"/>
      <c r="P314" s="32"/>
      <c r="Q314" s="32"/>
      <c r="R314" s="4"/>
      <c r="S314" s="4"/>
    </row>
    <row x14ac:dyDescent="0.25" r="315" customHeight="1" ht="12.75">
      <c r="A315" s="4"/>
      <c r="B315" s="29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29"/>
      <c r="N315" s="29"/>
      <c r="O315" s="29"/>
      <c r="P315" s="32"/>
      <c r="Q315" s="32"/>
      <c r="R315" s="4"/>
      <c r="S315" s="4"/>
    </row>
    <row x14ac:dyDescent="0.25" r="316" customHeight="1" ht="12.75">
      <c r="A316" s="4"/>
      <c r="B316" s="29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29"/>
      <c r="N316" s="29"/>
      <c r="O316" s="29"/>
      <c r="P316" s="32"/>
      <c r="Q316" s="32"/>
      <c r="R316" s="4"/>
      <c r="S316" s="4"/>
    </row>
    <row x14ac:dyDescent="0.25" r="317" customHeight="1" ht="12.75">
      <c r="A317" s="4"/>
      <c r="B317" s="29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29"/>
      <c r="N317" s="29"/>
      <c r="O317" s="29"/>
      <c r="P317" s="32"/>
      <c r="Q317" s="32"/>
      <c r="R317" s="4"/>
      <c r="S317" s="4"/>
    </row>
    <row x14ac:dyDescent="0.25" r="318" customHeight="1" ht="12.75">
      <c r="A318" s="4"/>
      <c r="B318" s="29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29"/>
      <c r="N318" s="29"/>
      <c r="O318" s="29"/>
      <c r="P318" s="32"/>
      <c r="Q318" s="32"/>
      <c r="R318" s="4"/>
      <c r="S318" s="4"/>
    </row>
    <row x14ac:dyDescent="0.25" r="319" customHeight="1" ht="12.75">
      <c r="A319" s="4"/>
      <c r="B319" s="29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29"/>
      <c r="N319" s="29"/>
      <c r="O319" s="29"/>
      <c r="P319" s="32"/>
      <c r="Q319" s="32"/>
      <c r="R319" s="4"/>
      <c r="S319" s="4"/>
    </row>
    <row x14ac:dyDescent="0.25" r="320" customHeight="1" ht="12.75">
      <c r="A320" s="4"/>
      <c r="B320" s="29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29"/>
      <c r="N320" s="29"/>
      <c r="O320" s="29"/>
      <c r="P320" s="32"/>
      <c r="Q320" s="32"/>
      <c r="R320" s="4"/>
      <c r="S320" s="4"/>
    </row>
    <row x14ac:dyDescent="0.25" r="321" customHeight="1" ht="12.75">
      <c r="A321" s="4"/>
      <c r="B321" s="29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29"/>
      <c r="N321" s="29"/>
      <c r="O321" s="29"/>
      <c r="P321" s="32"/>
      <c r="Q321" s="32"/>
      <c r="R321" s="4"/>
      <c r="S321" s="4"/>
    </row>
    <row x14ac:dyDescent="0.25" r="322" customHeight="1" ht="12.75">
      <c r="A322" s="4"/>
      <c r="B322" s="29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29"/>
      <c r="N322" s="29"/>
      <c r="O322" s="29"/>
      <c r="P322" s="32"/>
      <c r="Q322" s="32"/>
      <c r="R322" s="4"/>
      <c r="S322" s="4"/>
    </row>
    <row x14ac:dyDescent="0.25" r="323" customHeight="1" ht="12.75">
      <c r="A323" s="4"/>
      <c r="B323" s="29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29"/>
      <c r="N323" s="29"/>
      <c r="O323" s="29"/>
      <c r="P323" s="32"/>
      <c r="Q323" s="32"/>
      <c r="R323" s="4"/>
      <c r="S323" s="4"/>
    </row>
    <row x14ac:dyDescent="0.25" r="324" customHeight="1" ht="12.75">
      <c r="A324" s="4"/>
      <c r="B324" s="29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29"/>
      <c r="N324" s="29"/>
      <c r="O324" s="29"/>
      <c r="P324" s="32"/>
      <c r="Q324" s="32"/>
      <c r="R324" s="4"/>
      <c r="S324" s="4"/>
    </row>
    <row x14ac:dyDescent="0.25" r="325" customHeight="1" ht="12.75">
      <c r="A325" s="4"/>
      <c r="B325" s="29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29"/>
      <c r="N325" s="29"/>
      <c r="O325" s="29"/>
      <c r="P325" s="32"/>
      <c r="Q325" s="32"/>
      <c r="R325" s="4"/>
      <c r="S325" s="4"/>
    </row>
    <row x14ac:dyDescent="0.25" r="326" customHeight="1" ht="12.75">
      <c r="A326" s="4"/>
      <c r="B326" s="29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29"/>
      <c r="N326" s="29"/>
      <c r="O326" s="29"/>
      <c r="P326" s="32"/>
      <c r="Q326" s="32"/>
      <c r="R326" s="4"/>
      <c r="S326" s="4"/>
    </row>
    <row x14ac:dyDescent="0.25" r="327" customHeight="1" ht="12.75">
      <c r="A327" s="4"/>
      <c r="B327" s="29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29"/>
      <c r="N327" s="29"/>
      <c r="O327" s="29"/>
      <c r="P327" s="32"/>
      <c r="Q327" s="32"/>
      <c r="R327" s="4"/>
      <c r="S327" s="4"/>
    </row>
    <row x14ac:dyDescent="0.25" r="328" customHeight="1" ht="12.75">
      <c r="A328" s="4"/>
      <c r="B328" s="29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29"/>
      <c r="N328" s="29"/>
      <c r="O328" s="29"/>
      <c r="P328" s="32"/>
      <c r="Q328" s="32"/>
      <c r="R328" s="4"/>
      <c r="S328" s="4"/>
    </row>
    <row x14ac:dyDescent="0.25" r="329" customHeight="1" ht="12.75">
      <c r="A329" s="4"/>
      <c r="B329" s="29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29"/>
      <c r="N329" s="29"/>
      <c r="O329" s="29"/>
      <c r="P329" s="32"/>
      <c r="Q329" s="32"/>
      <c r="R329" s="4"/>
      <c r="S329" s="4"/>
    </row>
    <row x14ac:dyDescent="0.25" r="330" customHeight="1" ht="12.75">
      <c r="A330" s="4"/>
      <c r="B330" s="29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29"/>
      <c r="N330" s="29"/>
      <c r="O330" s="29"/>
      <c r="P330" s="32"/>
      <c r="Q330" s="32"/>
      <c r="R330" s="4"/>
      <c r="S330" s="4"/>
    </row>
    <row x14ac:dyDescent="0.25" r="331" customHeight="1" ht="12.75">
      <c r="A331" s="4"/>
      <c r="B331" s="29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29"/>
      <c r="N331" s="29"/>
      <c r="O331" s="29"/>
      <c r="P331" s="32"/>
      <c r="Q331" s="32"/>
      <c r="R331" s="4"/>
      <c r="S331" s="4"/>
    </row>
    <row x14ac:dyDescent="0.25" r="332" customHeight="1" ht="12.75">
      <c r="A332" s="4"/>
      <c r="B332" s="29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29"/>
      <c r="N332" s="29"/>
      <c r="O332" s="29"/>
      <c r="P332" s="32"/>
      <c r="Q332" s="32"/>
      <c r="R332" s="4"/>
      <c r="S332" s="4"/>
    </row>
    <row x14ac:dyDescent="0.25" r="333" customHeight="1" ht="12.75">
      <c r="A333" s="4"/>
      <c r="B333" s="29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29"/>
      <c r="N333" s="29"/>
      <c r="O333" s="29"/>
      <c r="P333" s="32"/>
      <c r="Q333" s="32"/>
      <c r="R333" s="4"/>
      <c r="S333" s="4"/>
    </row>
    <row x14ac:dyDescent="0.25" r="334" customHeight="1" ht="12.75">
      <c r="A334" s="4"/>
      <c r="B334" s="29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29"/>
      <c r="N334" s="29"/>
      <c r="O334" s="29"/>
      <c r="P334" s="32"/>
      <c r="Q334" s="32"/>
      <c r="R334" s="4"/>
      <c r="S334" s="4"/>
    </row>
    <row x14ac:dyDescent="0.25" r="335" customHeight="1" ht="12.75">
      <c r="A335" s="4"/>
      <c r="B335" s="29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29"/>
      <c r="N335" s="29"/>
      <c r="O335" s="29"/>
      <c r="P335" s="32"/>
      <c r="Q335" s="32"/>
      <c r="R335" s="4"/>
      <c r="S335" s="4"/>
    </row>
    <row x14ac:dyDescent="0.25" r="336" customHeight="1" ht="12.75">
      <c r="A336" s="4"/>
      <c r="B336" s="29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29"/>
      <c r="N336" s="29"/>
      <c r="O336" s="29"/>
      <c r="P336" s="32"/>
      <c r="Q336" s="32"/>
      <c r="R336" s="4"/>
      <c r="S336" s="4"/>
    </row>
    <row x14ac:dyDescent="0.25" r="337" customHeight="1" ht="12.75">
      <c r="A337" s="4"/>
      <c r="B337" s="29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29"/>
      <c r="N337" s="29"/>
      <c r="O337" s="29"/>
      <c r="P337" s="32"/>
      <c r="Q337" s="32"/>
      <c r="R337" s="4"/>
      <c r="S337" s="4"/>
    </row>
    <row x14ac:dyDescent="0.25" r="338" customHeight="1" ht="12.75">
      <c r="A338" s="4"/>
      <c r="B338" s="29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29"/>
      <c r="N338" s="29"/>
      <c r="O338" s="29"/>
      <c r="P338" s="32"/>
      <c r="Q338" s="32"/>
      <c r="R338" s="4"/>
      <c r="S338" s="4"/>
    </row>
    <row x14ac:dyDescent="0.25" r="339" customHeight="1" ht="12.75">
      <c r="A339" s="4"/>
      <c r="B339" s="29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29"/>
      <c r="N339" s="29"/>
      <c r="O339" s="29"/>
      <c r="P339" s="32"/>
      <c r="Q339" s="32"/>
      <c r="R339" s="4"/>
      <c r="S339" s="4"/>
    </row>
    <row x14ac:dyDescent="0.25" r="340" customHeight="1" ht="12.75">
      <c r="A340" s="4"/>
      <c r="B340" s="29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29"/>
      <c r="N340" s="29"/>
      <c r="O340" s="29"/>
      <c r="P340" s="32"/>
      <c r="Q340" s="32"/>
      <c r="R340" s="4"/>
      <c r="S340" s="4"/>
    </row>
    <row x14ac:dyDescent="0.25" r="341" customHeight="1" ht="12.75">
      <c r="A341" s="4"/>
      <c r="B341" s="29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29"/>
      <c r="N341" s="29"/>
      <c r="O341" s="29"/>
      <c r="P341" s="32"/>
      <c r="Q341" s="32"/>
      <c r="R341" s="4"/>
      <c r="S341" s="4"/>
    </row>
    <row x14ac:dyDescent="0.25" r="342" customHeight="1" ht="12.75">
      <c r="A342" s="4"/>
      <c r="B342" s="29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29"/>
      <c r="N342" s="29"/>
      <c r="O342" s="29"/>
      <c r="P342" s="32"/>
      <c r="Q342" s="32"/>
      <c r="R342" s="4"/>
      <c r="S342" s="4"/>
    </row>
    <row x14ac:dyDescent="0.25" r="343" customHeight="1" ht="12.75">
      <c r="A343" s="4"/>
      <c r="B343" s="29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29"/>
      <c r="N343" s="29"/>
      <c r="O343" s="29"/>
      <c r="P343" s="32"/>
      <c r="Q343" s="32"/>
      <c r="R343" s="4"/>
      <c r="S343" s="4"/>
    </row>
    <row x14ac:dyDescent="0.25" r="344" customHeight="1" ht="12.75">
      <c r="A344" s="4"/>
      <c r="B344" s="29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29"/>
      <c r="N344" s="29"/>
      <c r="O344" s="29"/>
      <c r="P344" s="32"/>
      <c r="Q344" s="32"/>
      <c r="R344" s="4"/>
      <c r="S344" s="4"/>
    </row>
    <row x14ac:dyDescent="0.25" r="345" customHeight="1" ht="12.75">
      <c r="A345" s="4"/>
      <c r="B345" s="29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29"/>
      <c r="N345" s="29"/>
      <c r="O345" s="29"/>
      <c r="P345" s="32"/>
      <c r="Q345" s="32"/>
      <c r="R345" s="4"/>
      <c r="S345" s="4"/>
    </row>
    <row x14ac:dyDescent="0.25" r="346" customHeight="1" ht="12.75">
      <c r="A346" s="4"/>
      <c r="B346" s="29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29"/>
      <c r="N346" s="29"/>
      <c r="O346" s="29"/>
      <c r="P346" s="32"/>
      <c r="Q346" s="32"/>
      <c r="R346" s="4"/>
      <c r="S346" s="4"/>
    </row>
    <row x14ac:dyDescent="0.25" r="347" customHeight="1" ht="12.75">
      <c r="A347" s="4"/>
      <c r="B347" s="29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29"/>
      <c r="N347" s="29"/>
      <c r="O347" s="29"/>
      <c r="P347" s="32"/>
      <c r="Q347" s="32"/>
      <c r="R347" s="4"/>
      <c r="S347" s="4"/>
    </row>
    <row x14ac:dyDescent="0.25" r="348" customHeight="1" ht="12.75">
      <c r="A348" s="4"/>
      <c r="B348" s="29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29"/>
      <c r="N348" s="29"/>
      <c r="O348" s="29"/>
      <c r="P348" s="32"/>
      <c r="Q348" s="32"/>
      <c r="R348" s="4"/>
      <c r="S348" s="4"/>
    </row>
    <row x14ac:dyDescent="0.25" r="349" customHeight="1" ht="12.75">
      <c r="A349" s="4"/>
      <c r="B349" s="29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29"/>
      <c r="N349" s="29"/>
      <c r="O349" s="29"/>
      <c r="P349" s="32"/>
      <c r="Q349" s="32"/>
      <c r="R349" s="4"/>
      <c r="S349" s="4"/>
    </row>
    <row x14ac:dyDescent="0.25" r="350" customHeight="1" ht="12.75">
      <c r="A350" s="4"/>
      <c r="B350" s="29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29"/>
      <c r="N350" s="29"/>
      <c r="O350" s="29"/>
      <c r="P350" s="32"/>
      <c r="Q350" s="32"/>
      <c r="R350" s="4"/>
      <c r="S350" s="4"/>
    </row>
    <row x14ac:dyDescent="0.25" r="351" customHeight="1" ht="12.75">
      <c r="A351" s="4"/>
      <c r="B351" s="29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29"/>
      <c r="N351" s="29"/>
      <c r="O351" s="29"/>
      <c r="P351" s="32"/>
      <c r="Q351" s="32"/>
      <c r="R351" s="4"/>
      <c r="S351" s="4"/>
    </row>
    <row x14ac:dyDescent="0.25" r="352" customHeight="1" ht="12.75">
      <c r="A352" s="4"/>
      <c r="B352" s="29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29"/>
      <c r="N352" s="29"/>
      <c r="O352" s="29"/>
      <c r="P352" s="32"/>
      <c r="Q352" s="32"/>
      <c r="R352" s="4"/>
      <c r="S352" s="4"/>
    </row>
    <row x14ac:dyDescent="0.25" r="353" customHeight="1" ht="12.75">
      <c r="A353" s="4"/>
      <c r="B353" s="29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29"/>
      <c r="N353" s="29"/>
      <c r="O353" s="29"/>
      <c r="P353" s="32"/>
      <c r="Q353" s="32"/>
      <c r="R353" s="4"/>
      <c r="S353" s="4"/>
    </row>
    <row x14ac:dyDescent="0.25" r="354" customHeight="1" ht="12.75">
      <c r="A354" s="4"/>
      <c r="B354" s="29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29"/>
      <c r="N354" s="29"/>
      <c r="O354" s="29"/>
      <c r="P354" s="32"/>
      <c r="Q354" s="32"/>
      <c r="R354" s="4"/>
      <c r="S354" s="4"/>
    </row>
    <row x14ac:dyDescent="0.25" r="355" customHeight="1" ht="12.75">
      <c r="A355" s="4"/>
      <c r="B355" s="29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29"/>
      <c r="N355" s="29"/>
      <c r="O355" s="29"/>
      <c r="P355" s="32"/>
      <c r="Q355" s="32"/>
      <c r="R355" s="4"/>
      <c r="S355" s="4"/>
    </row>
    <row x14ac:dyDescent="0.25" r="356" customHeight="1" ht="12.75">
      <c r="A356" s="4"/>
      <c r="B356" s="29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29"/>
      <c r="N356" s="29"/>
      <c r="O356" s="29"/>
      <c r="P356" s="32"/>
      <c r="Q356" s="32"/>
      <c r="R356" s="4"/>
      <c r="S356" s="4"/>
    </row>
    <row x14ac:dyDescent="0.25" r="357" customHeight="1" ht="12.75">
      <c r="A357" s="4"/>
      <c r="B357" s="29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29"/>
      <c r="N357" s="29"/>
      <c r="O357" s="29"/>
      <c r="P357" s="32"/>
      <c r="Q357" s="32"/>
      <c r="R357" s="4"/>
      <c r="S357" s="4"/>
    </row>
    <row x14ac:dyDescent="0.25" r="358" customHeight="1" ht="12.75">
      <c r="A358" s="4"/>
      <c r="B358" s="29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29"/>
      <c r="N358" s="29"/>
      <c r="O358" s="29"/>
      <c r="P358" s="32"/>
      <c r="Q358" s="32"/>
      <c r="R358" s="4"/>
      <c r="S358" s="4"/>
    </row>
    <row x14ac:dyDescent="0.25" r="359" customHeight="1" ht="12.75">
      <c r="A359" s="4"/>
      <c r="B359" s="29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29"/>
      <c r="N359" s="29"/>
      <c r="O359" s="29"/>
      <c r="P359" s="32"/>
      <c r="Q359" s="32"/>
      <c r="R359" s="4"/>
      <c r="S359" s="4"/>
    </row>
    <row x14ac:dyDescent="0.25" r="360" customHeight="1" ht="12.75">
      <c r="A360" s="4"/>
      <c r="B360" s="29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29"/>
      <c r="N360" s="29"/>
      <c r="O360" s="29"/>
      <c r="P360" s="32"/>
      <c r="Q360" s="32"/>
      <c r="R360" s="4"/>
      <c r="S360" s="4"/>
    </row>
    <row x14ac:dyDescent="0.25" r="361" customHeight="1" ht="12.75">
      <c r="A361" s="4"/>
      <c r="B361" s="29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29"/>
      <c r="N361" s="29"/>
      <c r="O361" s="29"/>
      <c r="P361" s="32"/>
      <c r="Q361" s="32"/>
      <c r="R361" s="4"/>
      <c r="S361" s="4"/>
    </row>
    <row x14ac:dyDescent="0.25" r="362" customHeight="1" ht="12.75">
      <c r="A362" s="4"/>
      <c r="B362" s="29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29"/>
      <c r="N362" s="29"/>
      <c r="O362" s="29"/>
      <c r="P362" s="32"/>
      <c r="Q362" s="32"/>
      <c r="R362" s="4"/>
      <c r="S362" s="4"/>
    </row>
    <row x14ac:dyDescent="0.25" r="363" customHeight="1" ht="12.75">
      <c r="A363" s="4"/>
      <c r="B363" s="29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29"/>
      <c r="N363" s="29"/>
      <c r="O363" s="29"/>
      <c r="P363" s="32"/>
      <c r="Q363" s="32"/>
      <c r="R363" s="4"/>
      <c r="S363" s="4"/>
    </row>
    <row x14ac:dyDescent="0.25" r="364" customHeight="1" ht="12.75">
      <c r="A364" s="4"/>
      <c r="B364" s="29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29"/>
      <c r="N364" s="29"/>
      <c r="O364" s="29"/>
      <c r="P364" s="32"/>
      <c r="Q364" s="32"/>
      <c r="R364" s="4"/>
      <c r="S364" s="4"/>
    </row>
    <row x14ac:dyDescent="0.25" r="365" customHeight="1" ht="12.75">
      <c r="A365" s="4"/>
      <c r="B365" s="29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29"/>
      <c r="N365" s="29"/>
      <c r="O365" s="29"/>
      <c r="P365" s="32"/>
      <c r="Q365" s="32"/>
      <c r="R365" s="4"/>
      <c r="S365" s="4"/>
    </row>
    <row x14ac:dyDescent="0.25" r="366" customHeight="1" ht="12.75">
      <c r="A366" s="4"/>
      <c r="B366" s="29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29"/>
      <c r="N366" s="29"/>
      <c r="O366" s="29"/>
      <c r="P366" s="32"/>
      <c r="Q366" s="32"/>
      <c r="R366" s="4"/>
      <c r="S366" s="4"/>
    </row>
    <row x14ac:dyDescent="0.25" r="367" customHeight="1" ht="12.75">
      <c r="A367" s="4"/>
      <c r="B367" s="29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29"/>
      <c r="N367" s="29"/>
      <c r="O367" s="29"/>
      <c r="P367" s="32"/>
      <c r="Q367" s="32"/>
      <c r="R367" s="4"/>
      <c r="S367" s="4"/>
    </row>
    <row x14ac:dyDescent="0.25" r="368" customHeight="1" ht="12.75">
      <c r="A368" s="4"/>
      <c r="B368" s="29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29"/>
      <c r="N368" s="29"/>
      <c r="O368" s="29"/>
      <c r="P368" s="32"/>
      <c r="Q368" s="32"/>
      <c r="R368" s="4"/>
      <c r="S368" s="4"/>
    </row>
    <row x14ac:dyDescent="0.25" r="369" customHeight="1" ht="12.75">
      <c r="A369" s="4"/>
      <c r="B369" s="29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29"/>
      <c r="N369" s="29"/>
      <c r="O369" s="29"/>
      <c r="P369" s="32"/>
      <c r="Q369" s="32"/>
      <c r="R369" s="4"/>
      <c r="S369" s="4"/>
    </row>
    <row x14ac:dyDescent="0.25" r="370" customHeight="1" ht="12.75">
      <c r="A370" s="4"/>
      <c r="B370" s="29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29"/>
      <c r="N370" s="29"/>
      <c r="O370" s="29"/>
      <c r="P370" s="32"/>
      <c r="Q370" s="32"/>
      <c r="R370" s="4"/>
      <c r="S370" s="4"/>
    </row>
    <row x14ac:dyDescent="0.25" r="371" customHeight="1" ht="12.75">
      <c r="A371" s="4"/>
      <c r="B371" s="29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29"/>
      <c r="N371" s="29"/>
      <c r="O371" s="29"/>
      <c r="P371" s="32"/>
      <c r="Q371" s="32"/>
      <c r="R371" s="4"/>
      <c r="S371" s="4"/>
    </row>
    <row x14ac:dyDescent="0.25" r="372" customHeight="1" ht="12.75">
      <c r="A372" s="4"/>
      <c r="B372" s="29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29"/>
      <c r="N372" s="29"/>
      <c r="O372" s="29"/>
      <c r="P372" s="32"/>
      <c r="Q372" s="32"/>
      <c r="R372" s="4"/>
      <c r="S372" s="4"/>
    </row>
    <row x14ac:dyDescent="0.25" r="373" customHeight="1" ht="12.75">
      <c r="A373" s="4"/>
      <c r="B373" s="29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29"/>
      <c r="N373" s="29"/>
      <c r="O373" s="29"/>
      <c r="P373" s="32"/>
      <c r="Q373" s="32"/>
      <c r="R373" s="4"/>
      <c r="S373" s="4"/>
    </row>
    <row x14ac:dyDescent="0.25" r="374" customHeight="1" ht="12.75">
      <c r="A374" s="4"/>
      <c r="B374" s="29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29"/>
      <c r="N374" s="29"/>
      <c r="O374" s="29"/>
      <c r="P374" s="32"/>
      <c r="Q374" s="32"/>
      <c r="R374" s="4"/>
      <c r="S374" s="4"/>
    </row>
    <row x14ac:dyDescent="0.25" r="375" customHeight="1" ht="12.75">
      <c r="A375" s="4"/>
      <c r="B375" s="29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29"/>
      <c r="N375" s="29"/>
      <c r="O375" s="29"/>
      <c r="P375" s="32"/>
      <c r="Q375" s="32"/>
      <c r="R375" s="4"/>
      <c r="S375" s="4"/>
    </row>
    <row x14ac:dyDescent="0.25" r="376" customHeight="1" ht="12.75">
      <c r="A376" s="4"/>
      <c r="B376" s="29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29"/>
      <c r="N376" s="29"/>
      <c r="O376" s="29"/>
      <c r="P376" s="32"/>
      <c r="Q376" s="32"/>
      <c r="R376" s="4"/>
      <c r="S376" s="4"/>
    </row>
    <row x14ac:dyDescent="0.25" r="377" customHeight="1" ht="12.75">
      <c r="A377" s="4"/>
      <c r="B377" s="29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29"/>
      <c r="N377" s="29"/>
      <c r="O377" s="29"/>
      <c r="P377" s="32"/>
      <c r="Q377" s="32"/>
      <c r="R377" s="4"/>
      <c r="S377" s="4"/>
    </row>
    <row x14ac:dyDescent="0.25" r="378" customHeight="1" ht="12.75">
      <c r="A378" s="4"/>
      <c r="B378" s="29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29"/>
      <c r="N378" s="29"/>
      <c r="O378" s="29"/>
      <c r="P378" s="32"/>
      <c r="Q378" s="32"/>
      <c r="R378" s="4"/>
      <c r="S378" s="4"/>
    </row>
    <row x14ac:dyDescent="0.25" r="379" customHeight="1" ht="12.75">
      <c r="A379" s="4"/>
      <c r="B379" s="29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29"/>
      <c r="N379" s="29"/>
      <c r="O379" s="29"/>
      <c r="P379" s="32"/>
      <c r="Q379" s="32"/>
      <c r="R379" s="4"/>
      <c r="S379" s="4"/>
    </row>
    <row x14ac:dyDescent="0.25" r="380" customHeight="1" ht="12.75">
      <c r="A380" s="4"/>
      <c r="B380" s="29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29"/>
      <c r="N380" s="29"/>
      <c r="O380" s="29"/>
      <c r="P380" s="32"/>
      <c r="Q380" s="32"/>
      <c r="R380" s="4"/>
      <c r="S380" s="4"/>
    </row>
    <row x14ac:dyDescent="0.25" r="381" customHeight="1" ht="12.75">
      <c r="A381" s="4"/>
      <c r="B381" s="29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29"/>
      <c r="N381" s="29"/>
      <c r="O381" s="29"/>
      <c r="P381" s="32"/>
      <c r="Q381" s="32"/>
      <c r="R381" s="4"/>
      <c r="S381" s="4"/>
    </row>
    <row x14ac:dyDescent="0.25" r="382" customHeight="1" ht="12.75">
      <c r="A382" s="4"/>
      <c r="B382" s="29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29"/>
      <c r="N382" s="29"/>
      <c r="O382" s="29"/>
      <c r="P382" s="32"/>
      <c r="Q382" s="32"/>
      <c r="R382" s="4"/>
      <c r="S382" s="4"/>
    </row>
    <row x14ac:dyDescent="0.25" r="383" customHeight="1" ht="12.75">
      <c r="A383" s="4"/>
      <c r="B383" s="29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29"/>
      <c r="N383" s="29"/>
      <c r="O383" s="29"/>
      <c r="P383" s="32"/>
      <c r="Q383" s="32"/>
      <c r="R383" s="4"/>
      <c r="S383" s="4"/>
    </row>
    <row x14ac:dyDescent="0.25" r="384" customHeight="1" ht="12.75">
      <c r="A384" s="4"/>
      <c r="B384" s="29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29"/>
      <c r="N384" s="29"/>
      <c r="O384" s="29"/>
      <c r="P384" s="32"/>
      <c r="Q384" s="32"/>
      <c r="R384" s="4"/>
      <c r="S384" s="4"/>
    </row>
    <row x14ac:dyDescent="0.25" r="385" customHeight="1" ht="12.75">
      <c r="A385" s="4"/>
      <c r="B385" s="29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29"/>
      <c r="N385" s="29"/>
      <c r="O385" s="29"/>
      <c r="P385" s="32"/>
      <c r="Q385" s="32"/>
      <c r="R385" s="4"/>
      <c r="S385" s="4"/>
    </row>
    <row x14ac:dyDescent="0.25" r="386" customHeight="1" ht="12.75">
      <c r="A386" s="4"/>
      <c r="B386" s="29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29"/>
      <c r="N386" s="29"/>
      <c r="O386" s="29"/>
      <c r="P386" s="32"/>
      <c r="Q386" s="32"/>
      <c r="R386" s="4"/>
      <c r="S386" s="4"/>
    </row>
    <row x14ac:dyDescent="0.25" r="387" customHeight="1" ht="12.75">
      <c r="A387" s="4"/>
      <c r="B387" s="29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29"/>
      <c r="N387" s="29"/>
      <c r="O387" s="29"/>
      <c r="P387" s="32"/>
      <c r="Q387" s="32"/>
      <c r="R387" s="4"/>
      <c r="S387" s="4"/>
    </row>
    <row x14ac:dyDescent="0.25" r="388" customHeight="1" ht="12.75">
      <c r="A388" s="4"/>
      <c r="B388" s="29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29"/>
      <c r="N388" s="29"/>
      <c r="O388" s="29"/>
      <c r="P388" s="32"/>
      <c r="Q388" s="32"/>
      <c r="R388" s="4"/>
      <c r="S388" s="4"/>
    </row>
    <row x14ac:dyDescent="0.25" r="389" customHeight="1" ht="12.75">
      <c r="A389" s="4"/>
      <c r="B389" s="29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29"/>
      <c r="N389" s="29"/>
      <c r="O389" s="29"/>
      <c r="P389" s="32"/>
      <c r="Q389" s="32"/>
      <c r="R389" s="4"/>
      <c r="S389" s="4"/>
    </row>
    <row x14ac:dyDescent="0.25" r="390" customHeight="1" ht="12.75">
      <c r="A390" s="4"/>
      <c r="B390" s="29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29"/>
      <c r="N390" s="29"/>
      <c r="O390" s="29"/>
      <c r="P390" s="32"/>
      <c r="Q390" s="32"/>
      <c r="R390" s="4"/>
      <c r="S390" s="4"/>
    </row>
    <row x14ac:dyDescent="0.25" r="391" customHeight="1" ht="12.75">
      <c r="A391" s="4"/>
      <c r="B391" s="29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29"/>
      <c r="N391" s="29"/>
      <c r="O391" s="29"/>
      <c r="P391" s="32"/>
      <c r="Q391" s="32"/>
      <c r="R391" s="4"/>
      <c r="S391" s="4"/>
    </row>
    <row x14ac:dyDescent="0.25" r="392" customHeight="1" ht="12.75">
      <c r="A392" s="4"/>
      <c r="B392" s="29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29"/>
      <c r="N392" s="29"/>
      <c r="O392" s="29"/>
      <c r="P392" s="32"/>
      <c r="Q392" s="32"/>
      <c r="R392" s="4"/>
      <c r="S392" s="4"/>
    </row>
    <row x14ac:dyDescent="0.25" r="393" customHeight="1" ht="12.75">
      <c r="A393" s="4"/>
      <c r="B393" s="29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29"/>
      <c r="N393" s="29"/>
      <c r="O393" s="29"/>
      <c r="P393" s="32"/>
      <c r="Q393" s="32"/>
      <c r="R393" s="4"/>
      <c r="S393" s="4"/>
    </row>
    <row x14ac:dyDescent="0.25" r="394" customHeight="1" ht="12.75">
      <c r="A394" s="4"/>
      <c r="B394" s="29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29"/>
      <c r="N394" s="29"/>
      <c r="O394" s="29"/>
      <c r="P394" s="32"/>
      <c r="Q394" s="32"/>
      <c r="R394" s="4"/>
      <c r="S394" s="4"/>
    </row>
    <row x14ac:dyDescent="0.25" r="395" customHeight="1" ht="12.75">
      <c r="A395" s="4"/>
      <c r="B395" s="29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29"/>
      <c r="N395" s="29"/>
      <c r="O395" s="29"/>
      <c r="P395" s="32"/>
      <c r="Q395" s="32"/>
      <c r="R395" s="4"/>
      <c r="S395" s="4"/>
    </row>
    <row x14ac:dyDescent="0.25" r="396" customHeight="1" ht="12.75">
      <c r="A396" s="4"/>
      <c r="B396" s="29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29"/>
      <c r="N396" s="29"/>
      <c r="O396" s="29"/>
      <c r="P396" s="32"/>
      <c r="Q396" s="32"/>
      <c r="R396" s="4"/>
      <c r="S396" s="4"/>
    </row>
    <row x14ac:dyDescent="0.25" r="397" customHeight="1" ht="12.75">
      <c r="A397" s="4"/>
      <c r="B397" s="29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29"/>
      <c r="N397" s="29"/>
      <c r="O397" s="29"/>
      <c r="P397" s="32"/>
      <c r="Q397" s="32"/>
      <c r="R397" s="4"/>
      <c r="S397" s="4"/>
    </row>
    <row x14ac:dyDescent="0.25" r="398" customHeight="1" ht="12.75">
      <c r="A398" s="4"/>
      <c r="B398" s="29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29"/>
      <c r="N398" s="29"/>
      <c r="O398" s="29"/>
      <c r="P398" s="32"/>
      <c r="Q398" s="32"/>
      <c r="R398" s="4"/>
      <c r="S398" s="4"/>
    </row>
    <row x14ac:dyDescent="0.25" r="399" customHeight="1" ht="12.75">
      <c r="A399" s="4"/>
      <c r="B399" s="29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29"/>
      <c r="N399" s="29"/>
      <c r="O399" s="29"/>
      <c r="P399" s="32"/>
      <c r="Q399" s="32"/>
      <c r="R399" s="4"/>
      <c r="S399" s="4"/>
    </row>
    <row x14ac:dyDescent="0.25" r="400" customHeight="1" ht="12.75">
      <c r="A400" s="4"/>
      <c r="B400" s="29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29"/>
      <c r="N400" s="29"/>
      <c r="O400" s="29"/>
      <c r="P400" s="32"/>
      <c r="Q400" s="32"/>
      <c r="R400" s="4"/>
      <c r="S400" s="4"/>
    </row>
    <row x14ac:dyDescent="0.25" r="401" customHeight="1" ht="12.75">
      <c r="A401" s="4"/>
      <c r="B401" s="29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29"/>
      <c r="N401" s="29"/>
      <c r="O401" s="29"/>
      <c r="P401" s="32"/>
      <c r="Q401" s="32"/>
      <c r="R401" s="4"/>
      <c r="S401" s="4"/>
    </row>
    <row x14ac:dyDescent="0.25" r="402" customHeight="1" ht="12.75">
      <c r="A402" s="4"/>
      <c r="B402" s="29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29"/>
      <c r="N402" s="29"/>
      <c r="O402" s="29"/>
      <c r="P402" s="32"/>
      <c r="Q402" s="32"/>
      <c r="R402" s="4"/>
      <c r="S402" s="4"/>
    </row>
    <row x14ac:dyDescent="0.25" r="403" customHeight="1" ht="12.75">
      <c r="A403" s="4"/>
      <c r="B403" s="29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29"/>
      <c r="N403" s="29"/>
      <c r="O403" s="29"/>
      <c r="P403" s="32"/>
      <c r="Q403" s="32"/>
      <c r="R403" s="4"/>
      <c r="S403" s="4"/>
    </row>
    <row x14ac:dyDescent="0.25" r="404" customHeight="1" ht="12.75">
      <c r="A404" s="4"/>
      <c r="B404" s="29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29"/>
      <c r="N404" s="29"/>
      <c r="O404" s="29"/>
      <c r="P404" s="32"/>
      <c r="Q404" s="32"/>
      <c r="R404" s="4"/>
      <c r="S404" s="4"/>
    </row>
    <row x14ac:dyDescent="0.25" r="405" customHeight="1" ht="12.75">
      <c r="A405" s="4"/>
      <c r="B405" s="29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29"/>
      <c r="N405" s="29"/>
      <c r="O405" s="29"/>
      <c r="P405" s="32"/>
      <c r="Q405" s="32"/>
      <c r="R405" s="4"/>
      <c r="S405" s="4"/>
    </row>
    <row x14ac:dyDescent="0.25" r="406" customHeight="1" ht="12.75">
      <c r="A406" s="4"/>
      <c r="B406" s="29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29"/>
      <c r="N406" s="29"/>
      <c r="O406" s="29"/>
      <c r="P406" s="32"/>
      <c r="Q406" s="32"/>
      <c r="R406" s="4"/>
      <c r="S406" s="4"/>
    </row>
    <row x14ac:dyDescent="0.25" r="407" customHeight="1" ht="12.75">
      <c r="A407" s="4"/>
      <c r="B407" s="29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29"/>
      <c r="N407" s="29"/>
      <c r="O407" s="29"/>
      <c r="P407" s="32"/>
      <c r="Q407" s="32"/>
      <c r="R407" s="4"/>
      <c r="S407" s="4"/>
    </row>
    <row x14ac:dyDescent="0.25" r="408" customHeight="1" ht="12.75">
      <c r="A408" s="4"/>
      <c r="B408" s="29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29"/>
      <c r="N408" s="29"/>
      <c r="O408" s="29"/>
      <c r="P408" s="32"/>
      <c r="Q408" s="32"/>
      <c r="R408" s="4"/>
      <c r="S408" s="4"/>
    </row>
    <row x14ac:dyDescent="0.25" r="409" customHeight="1" ht="12.75">
      <c r="A409" s="4"/>
      <c r="B409" s="29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29"/>
      <c r="N409" s="29"/>
      <c r="O409" s="29"/>
      <c r="P409" s="32"/>
      <c r="Q409" s="32"/>
      <c r="R409" s="4"/>
      <c r="S409" s="4"/>
    </row>
    <row x14ac:dyDescent="0.25" r="410" customHeight="1" ht="12.75">
      <c r="A410" s="4"/>
      <c r="B410" s="29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29"/>
      <c r="N410" s="29"/>
      <c r="O410" s="29"/>
      <c r="P410" s="32"/>
      <c r="Q410" s="32"/>
      <c r="R410" s="4"/>
      <c r="S410" s="4"/>
    </row>
    <row x14ac:dyDescent="0.25" r="411" customHeight="1" ht="12.75">
      <c r="A411" s="4"/>
      <c r="B411" s="29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29"/>
      <c r="N411" s="29"/>
      <c r="O411" s="29"/>
      <c r="P411" s="32"/>
      <c r="Q411" s="32"/>
      <c r="R411" s="4"/>
      <c r="S411" s="4"/>
    </row>
    <row x14ac:dyDescent="0.25" r="412" customHeight="1" ht="12.75">
      <c r="A412" s="4"/>
      <c r="B412" s="29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29"/>
      <c r="N412" s="29"/>
      <c r="O412" s="29"/>
      <c r="P412" s="32"/>
      <c r="Q412" s="32"/>
      <c r="R412" s="4"/>
      <c r="S412" s="4"/>
    </row>
    <row x14ac:dyDescent="0.25" r="413" customHeight="1" ht="12.75">
      <c r="A413" s="4"/>
      <c r="B413" s="29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29"/>
      <c r="N413" s="29"/>
      <c r="O413" s="29"/>
      <c r="P413" s="32"/>
      <c r="Q413" s="32"/>
      <c r="R413" s="4"/>
      <c r="S413" s="4"/>
    </row>
    <row x14ac:dyDescent="0.25" r="414" customHeight="1" ht="12.75">
      <c r="A414" s="4"/>
      <c r="B414" s="29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29"/>
      <c r="N414" s="29"/>
      <c r="O414" s="29"/>
      <c r="P414" s="32"/>
      <c r="Q414" s="32"/>
      <c r="R414" s="4"/>
      <c r="S414" s="4"/>
    </row>
    <row x14ac:dyDescent="0.25" r="415" customHeight="1" ht="12.75">
      <c r="A415" s="4"/>
      <c r="B415" s="29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29"/>
      <c r="N415" s="29"/>
      <c r="O415" s="29"/>
      <c r="P415" s="32"/>
      <c r="Q415" s="32"/>
      <c r="R415" s="4"/>
      <c r="S415" s="4"/>
    </row>
    <row x14ac:dyDescent="0.25" r="416" customHeight="1" ht="12.75">
      <c r="A416" s="4"/>
      <c r="B416" s="29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29"/>
      <c r="N416" s="29"/>
      <c r="O416" s="29"/>
      <c r="P416" s="32"/>
      <c r="Q416" s="32"/>
      <c r="R416" s="4"/>
      <c r="S416" s="4"/>
    </row>
    <row x14ac:dyDescent="0.25" r="417" customHeight="1" ht="12.75">
      <c r="A417" s="4"/>
      <c r="B417" s="29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29"/>
      <c r="N417" s="29"/>
      <c r="O417" s="29"/>
      <c r="P417" s="32"/>
      <c r="Q417" s="32"/>
      <c r="R417" s="4"/>
      <c r="S417" s="4"/>
    </row>
    <row x14ac:dyDescent="0.25" r="418" customHeight="1" ht="12.75">
      <c r="A418" s="4"/>
      <c r="B418" s="29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29"/>
      <c r="N418" s="29"/>
      <c r="O418" s="29"/>
      <c r="P418" s="32"/>
      <c r="Q418" s="32"/>
      <c r="R418" s="4"/>
      <c r="S418" s="4"/>
    </row>
    <row x14ac:dyDescent="0.25" r="419" customHeight="1" ht="12.75">
      <c r="A419" s="4"/>
      <c r="B419" s="29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29"/>
      <c r="N419" s="29"/>
      <c r="O419" s="29"/>
      <c r="P419" s="32"/>
      <c r="Q419" s="32"/>
      <c r="R419" s="4"/>
      <c r="S419" s="4"/>
    </row>
    <row x14ac:dyDescent="0.25" r="420" customHeight="1" ht="12.75">
      <c r="A420" s="4"/>
      <c r="B420" s="29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29"/>
      <c r="N420" s="29"/>
      <c r="O420" s="29"/>
      <c r="P420" s="32"/>
      <c r="Q420" s="32"/>
      <c r="R420" s="4"/>
      <c r="S420" s="4"/>
    </row>
    <row x14ac:dyDescent="0.25" r="421" customHeight="1" ht="12.75">
      <c r="A421" s="4"/>
      <c r="B421" s="29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29"/>
      <c r="N421" s="29"/>
      <c r="O421" s="29"/>
      <c r="P421" s="32"/>
      <c r="Q421" s="32"/>
      <c r="R421" s="4"/>
      <c r="S421" s="4"/>
    </row>
    <row x14ac:dyDescent="0.25" r="422" customHeight="1" ht="12.75">
      <c r="A422" s="4"/>
      <c r="B422" s="29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29"/>
      <c r="N422" s="29"/>
      <c r="O422" s="29"/>
      <c r="P422" s="32"/>
      <c r="Q422" s="32"/>
      <c r="R422" s="4"/>
      <c r="S422" s="4"/>
    </row>
    <row x14ac:dyDescent="0.25" r="423" customHeight="1" ht="12.75">
      <c r="A423" s="4"/>
      <c r="B423" s="29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29"/>
      <c r="N423" s="29"/>
      <c r="O423" s="29"/>
      <c r="P423" s="32"/>
      <c r="Q423" s="32"/>
      <c r="R423" s="4"/>
      <c r="S423" s="4"/>
    </row>
    <row x14ac:dyDescent="0.25" r="424" customHeight="1" ht="12.75">
      <c r="A424" s="4"/>
      <c r="B424" s="29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29"/>
      <c r="N424" s="29"/>
      <c r="O424" s="29"/>
      <c r="P424" s="32"/>
      <c r="Q424" s="32"/>
      <c r="R424" s="4"/>
      <c r="S424" s="4"/>
    </row>
    <row x14ac:dyDescent="0.25" r="425" customHeight="1" ht="12.75">
      <c r="A425" s="4"/>
      <c r="B425" s="29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29"/>
      <c r="N425" s="29"/>
      <c r="O425" s="29"/>
      <c r="P425" s="32"/>
      <c r="Q425" s="32"/>
      <c r="R425" s="4"/>
      <c r="S425" s="4"/>
    </row>
    <row x14ac:dyDescent="0.25" r="426" customHeight="1" ht="12.75">
      <c r="A426" s="4"/>
      <c r="B426" s="29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29"/>
      <c r="N426" s="29"/>
      <c r="O426" s="29"/>
      <c r="P426" s="32"/>
      <c r="Q426" s="32"/>
      <c r="R426" s="4"/>
      <c r="S426" s="4"/>
    </row>
    <row x14ac:dyDescent="0.25" r="427" customHeight="1" ht="12.75">
      <c r="A427" s="4"/>
      <c r="B427" s="29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29"/>
      <c r="N427" s="29"/>
      <c r="O427" s="29"/>
      <c r="P427" s="32"/>
      <c r="Q427" s="32"/>
      <c r="R427" s="4"/>
      <c r="S427" s="4"/>
    </row>
    <row x14ac:dyDescent="0.25" r="428" customHeight="1" ht="12.75">
      <c r="A428" s="4"/>
      <c r="B428" s="29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29"/>
      <c r="N428" s="29"/>
      <c r="O428" s="29"/>
      <c r="P428" s="32"/>
      <c r="Q428" s="32"/>
      <c r="R428" s="4"/>
      <c r="S428" s="4"/>
    </row>
    <row x14ac:dyDescent="0.25" r="429" customHeight="1" ht="12.75">
      <c r="A429" s="4"/>
      <c r="B429" s="29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29"/>
      <c r="N429" s="29"/>
      <c r="O429" s="29"/>
      <c r="P429" s="32"/>
      <c r="Q429" s="32"/>
      <c r="R429" s="4"/>
      <c r="S429" s="4"/>
    </row>
    <row x14ac:dyDescent="0.25" r="430" customHeight="1" ht="12.75">
      <c r="A430" s="4"/>
      <c r="B430" s="29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29"/>
      <c r="N430" s="29"/>
      <c r="O430" s="29"/>
      <c r="P430" s="32"/>
      <c r="Q430" s="32"/>
      <c r="R430" s="4"/>
      <c r="S430" s="4"/>
    </row>
    <row x14ac:dyDescent="0.25" r="431" customHeight="1" ht="12.75">
      <c r="A431" s="4"/>
      <c r="B431" s="29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29"/>
      <c r="N431" s="29"/>
      <c r="O431" s="29"/>
      <c r="P431" s="32"/>
      <c r="Q431" s="32"/>
      <c r="R431" s="4"/>
      <c r="S431" s="4"/>
    </row>
    <row x14ac:dyDescent="0.25" r="432" customHeight="1" ht="12.75">
      <c r="A432" s="4"/>
      <c r="B432" s="29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29"/>
      <c r="N432" s="29"/>
      <c r="O432" s="29"/>
      <c r="P432" s="32"/>
      <c r="Q432" s="32"/>
      <c r="R432" s="4"/>
      <c r="S432" s="4"/>
    </row>
    <row x14ac:dyDescent="0.25" r="433" customHeight="1" ht="12.75">
      <c r="A433" s="4"/>
      <c r="B433" s="29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29"/>
      <c r="N433" s="29"/>
      <c r="O433" s="29"/>
      <c r="P433" s="32"/>
      <c r="Q433" s="32"/>
      <c r="R433" s="4"/>
      <c r="S433" s="4"/>
    </row>
    <row x14ac:dyDescent="0.25" r="434" customHeight="1" ht="12.75">
      <c r="A434" s="4"/>
      <c r="B434" s="29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29"/>
      <c r="N434" s="29"/>
      <c r="O434" s="29"/>
      <c r="P434" s="32"/>
      <c r="Q434" s="32"/>
      <c r="R434" s="4"/>
      <c r="S434" s="4"/>
    </row>
    <row x14ac:dyDescent="0.25" r="435" customHeight="1" ht="12.75">
      <c r="A435" s="4"/>
      <c r="B435" s="29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29"/>
      <c r="N435" s="29"/>
      <c r="O435" s="29"/>
      <c r="P435" s="32"/>
      <c r="Q435" s="32"/>
      <c r="R435" s="4"/>
      <c r="S435" s="4"/>
    </row>
    <row x14ac:dyDescent="0.25" r="436" customHeight="1" ht="12.75">
      <c r="A436" s="4"/>
      <c r="B436" s="29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29"/>
      <c r="N436" s="29"/>
      <c r="O436" s="29"/>
      <c r="P436" s="32"/>
      <c r="Q436" s="32"/>
      <c r="R436" s="4"/>
      <c r="S436" s="4"/>
    </row>
    <row x14ac:dyDescent="0.25" r="437" customHeight="1" ht="12.75">
      <c r="A437" s="4"/>
      <c r="B437" s="29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29"/>
      <c r="N437" s="29"/>
      <c r="O437" s="29"/>
      <c r="P437" s="32"/>
      <c r="Q437" s="32"/>
      <c r="R437" s="4"/>
      <c r="S437" s="4"/>
    </row>
    <row x14ac:dyDescent="0.25" r="438" customHeight="1" ht="12.75">
      <c r="A438" s="4"/>
      <c r="B438" s="29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29"/>
      <c r="N438" s="29"/>
      <c r="O438" s="29"/>
      <c r="P438" s="32"/>
      <c r="Q438" s="32"/>
      <c r="R438" s="4"/>
      <c r="S438" s="4"/>
    </row>
    <row x14ac:dyDescent="0.25" r="439" customHeight="1" ht="12.75">
      <c r="A439" s="4"/>
      <c r="B439" s="29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29"/>
      <c r="N439" s="29"/>
      <c r="O439" s="29"/>
      <c r="P439" s="32"/>
      <c r="Q439" s="32"/>
      <c r="R439" s="4"/>
      <c r="S439" s="4"/>
    </row>
    <row x14ac:dyDescent="0.25" r="440" customHeight="1" ht="12.75">
      <c r="A440" s="4"/>
      <c r="B440" s="29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29"/>
      <c r="N440" s="29"/>
      <c r="O440" s="29"/>
      <c r="P440" s="32"/>
      <c r="Q440" s="32"/>
      <c r="R440" s="4"/>
      <c r="S440" s="4"/>
    </row>
    <row x14ac:dyDescent="0.25" r="441" customHeight="1" ht="12.75">
      <c r="A441" s="4"/>
      <c r="B441" s="29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29"/>
      <c r="N441" s="29"/>
      <c r="O441" s="29"/>
      <c r="P441" s="32"/>
      <c r="Q441" s="32"/>
      <c r="R441" s="4"/>
      <c r="S441" s="4"/>
    </row>
    <row x14ac:dyDescent="0.25" r="442" customHeight="1" ht="12.75">
      <c r="A442" s="4"/>
      <c r="B442" s="29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29"/>
      <c r="N442" s="29"/>
      <c r="O442" s="29"/>
      <c r="P442" s="32"/>
      <c r="Q442" s="32"/>
      <c r="R442" s="4"/>
      <c r="S442" s="4"/>
    </row>
    <row x14ac:dyDescent="0.25" r="443" customHeight="1" ht="12.75">
      <c r="A443" s="4"/>
      <c r="B443" s="29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29"/>
      <c r="N443" s="29"/>
      <c r="O443" s="29"/>
      <c r="P443" s="32"/>
      <c r="Q443" s="32"/>
      <c r="R443" s="4"/>
      <c r="S443" s="4"/>
    </row>
    <row x14ac:dyDescent="0.25" r="444" customHeight="1" ht="12.75">
      <c r="A444" s="4"/>
      <c r="B444" s="29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29"/>
      <c r="N444" s="29"/>
      <c r="O444" s="29"/>
      <c r="P444" s="32"/>
      <c r="Q444" s="32"/>
      <c r="R444" s="4"/>
      <c r="S444" s="4"/>
    </row>
    <row x14ac:dyDescent="0.25" r="445" customHeight="1" ht="12.75">
      <c r="A445" s="4"/>
      <c r="B445" s="29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29"/>
      <c r="N445" s="29"/>
      <c r="O445" s="29"/>
      <c r="P445" s="32"/>
      <c r="Q445" s="32"/>
      <c r="R445" s="4"/>
      <c r="S445" s="4"/>
    </row>
    <row x14ac:dyDescent="0.25" r="446" customHeight="1" ht="12.75">
      <c r="A446" s="4"/>
      <c r="B446" s="29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29"/>
      <c r="N446" s="29"/>
      <c r="O446" s="29"/>
      <c r="P446" s="32"/>
      <c r="Q446" s="32"/>
      <c r="R446" s="4"/>
      <c r="S446" s="4"/>
    </row>
    <row x14ac:dyDescent="0.25" r="447" customHeight="1" ht="12.75">
      <c r="A447" s="4"/>
      <c r="B447" s="29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29"/>
      <c r="N447" s="29"/>
      <c r="O447" s="29"/>
      <c r="P447" s="32"/>
      <c r="Q447" s="32"/>
      <c r="R447" s="4"/>
      <c r="S447" s="4"/>
    </row>
    <row x14ac:dyDescent="0.25" r="448" customHeight="1" ht="12.75">
      <c r="A448" s="4"/>
      <c r="B448" s="29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29"/>
      <c r="N448" s="29"/>
      <c r="O448" s="29"/>
      <c r="P448" s="32"/>
      <c r="Q448" s="32"/>
      <c r="R448" s="4"/>
      <c r="S448" s="4"/>
    </row>
    <row x14ac:dyDescent="0.25" r="449" customHeight="1" ht="12.75">
      <c r="A449" s="4"/>
      <c r="B449" s="29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29"/>
      <c r="N449" s="29"/>
      <c r="O449" s="29"/>
      <c r="P449" s="32"/>
      <c r="Q449" s="32"/>
      <c r="R449" s="4"/>
      <c r="S449" s="4"/>
    </row>
    <row x14ac:dyDescent="0.25" r="450" customHeight="1" ht="12.75">
      <c r="A450" s="4"/>
      <c r="B450" s="29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29"/>
      <c r="N450" s="29"/>
      <c r="O450" s="29"/>
      <c r="P450" s="32"/>
      <c r="Q450" s="32"/>
      <c r="R450" s="4"/>
      <c r="S450" s="4"/>
    </row>
    <row x14ac:dyDescent="0.25" r="451" customHeight="1" ht="12.75">
      <c r="A451" s="4"/>
      <c r="B451" s="29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29"/>
      <c r="N451" s="29"/>
      <c r="O451" s="29"/>
      <c r="P451" s="32"/>
      <c r="Q451" s="32"/>
      <c r="R451" s="4"/>
      <c r="S451" s="4"/>
    </row>
    <row x14ac:dyDescent="0.25" r="452" customHeight="1" ht="12.75">
      <c r="A452" s="4"/>
      <c r="B452" s="29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29"/>
      <c r="N452" s="29"/>
      <c r="O452" s="29"/>
      <c r="P452" s="32"/>
      <c r="Q452" s="32"/>
      <c r="R452" s="4"/>
      <c r="S452" s="4"/>
    </row>
    <row x14ac:dyDescent="0.25" r="453" customHeight="1" ht="12.75">
      <c r="A453" s="4"/>
      <c r="B453" s="29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29"/>
      <c r="N453" s="29"/>
      <c r="O453" s="29"/>
      <c r="P453" s="32"/>
      <c r="Q453" s="32"/>
      <c r="R453" s="4"/>
      <c r="S453" s="4"/>
    </row>
    <row x14ac:dyDescent="0.25" r="454" customHeight="1" ht="12.75">
      <c r="A454" s="4"/>
      <c r="B454" s="29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29"/>
      <c r="N454" s="29"/>
      <c r="O454" s="29"/>
      <c r="P454" s="32"/>
      <c r="Q454" s="32"/>
      <c r="R454" s="4"/>
      <c r="S454" s="4"/>
    </row>
    <row x14ac:dyDescent="0.25" r="455" customHeight="1" ht="12.75">
      <c r="A455" s="4"/>
      <c r="B455" s="29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29"/>
      <c r="N455" s="29"/>
      <c r="O455" s="29"/>
      <c r="P455" s="32"/>
      <c r="Q455" s="32"/>
      <c r="R455" s="4"/>
      <c r="S455" s="4"/>
    </row>
    <row x14ac:dyDescent="0.25" r="456" customHeight="1" ht="12.75">
      <c r="A456" s="4"/>
      <c r="B456" s="29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29"/>
      <c r="N456" s="29"/>
      <c r="O456" s="29"/>
      <c r="P456" s="32"/>
      <c r="Q456" s="32"/>
      <c r="R456" s="4"/>
      <c r="S456" s="4"/>
    </row>
    <row x14ac:dyDescent="0.25" r="457" customHeight="1" ht="12.75">
      <c r="A457" s="4"/>
      <c r="B457" s="29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29"/>
      <c r="N457" s="29"/>
      <c r="O457" s="29"/>
      <c r="P457" s="32"/>
      <c r="Q457" s="32"/>
      <c r="R457" s="4"/>
      <c r="S457" s="4"/>
    </row>
    <row x14ac:dyDescent="0.25" r="458" customHeight="1" ht="12.75">
      <c r="A458" s="4"/>
      <c r="B458" s="29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29"/>
      <c r="N458" s="29"/>
      <c r="O458" s="29"/>
      <c r="P458" s="32"/>
      <c r="Q458" s="32"/>
      <c r="R458" s="4"/>
      <c r="S458" s="4"/>
    </row>
    <row x14ac:dyDescent="0.25" r="459" customHeight="1" ht="12.75">
      <c r="A459" s="4"/>
      <c r="B459" s="29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29"/>
      <c r="N459" s="29"/>
      <c r="O459" s="29"/>
      <c r="P459" s="32"/>
      <c r="Q459" s="32"/>
      <c r="R459" s="4"/>
      <c r="S459" s="4"/>
    </row>
    <row x14ac:dyDescent="0.25" r="460" customHeight="1" ht="12.75">
      <c r="A460" s="4"/>
      <c r="B460" s="29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29"/>
      <c r="N460" s="29"/>
      <c r="O460" s="29"/>
      <c r="P460" s="32"/>
      <c r="Q460" s="32"/>
      <c r="R460" s="4"/>
      <c r="S460" s="4"/>
    </row>
    <row x14ac:dyDescent="0.25" r="461" customHeight="1" ht="12.75">
      <c r="A461" s="4"/>
      <c r="B461" s="29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29"/>
      <c r="N461" s="29"/>
      <c r="O461" s="29"/>
      <c r="P461" s="32"/>
      <c r="Q461" s="32"/>
      <c r="R461" s="4"/>
      <c r="S461" s="4"/>
    </row>
    <row x14ac:dyDescent="0.25" r="462" customHeight="1" ht="12.75">
      <c r="A462" s="4"/>
      <c r="B462" s="29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29"/>
      <c r="N462" s="29"/>
      <c r="O462" s="29"/>
      <c r="P462" s="32"/>
      <c r="Q462" s="32"/>
      <c r="R462" s="4"/>
      <c r="S462" s="4"/>
    </row>
    <row x14ac:dyDescent="0.25" r="463" customHeight="1" ht="12.75">
      <c r="A463" s="4"/>
      <c r="B463" s="29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29"/>
      <c r="N463" s="29"/>
      <c r="O463" s="29"/>
      <c r="P463" s="32"/>
      <c r="Q463" s="32"/>
      <c r="R463" s="4"/>
      <c r="S463" s="4"/>
    </row>
    <row x14ac:dyDescent="0.25" r="464" customHeight="1" ht="12.75">
      <c r="A464" s="4"/>
      <c r="B464" s="29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29"/>
      <c r="N464" s="29"/>
      <c r="O464" s="29"/>
      <c r="P464" s="32"/>
      <c r="Q464" s="32"/>
      <c r="R464" s="4"/>
      <c r="S464" s="4"/>
    </row>
    <row x14ac:dyDescent="0.25" r="465" customHeight="1" ht="12.75">
      <c r="A465" s="4"/>
      <c r="B465" s="29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29"/>
      <c r="N465" s="29"/>
      <c r="O465" s="29"/>
      <c r="P465" s="32"/>
      <c r="Q465" s="32"/>
      <c r="R465" s="4"/>
      <c r="S465" s="4"/>
    </row>
    <row x14ac:dyDescent="0.25" r="466" customHeight="1" ht="12.75">
      <c r="A466" s="4"/>
      <c r="B466" s="29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29"/>
      <c r="N466" s="29"/>
      <c r="O466" s="29"/>
      <c r="P466" s="32"/>
      <c r="Q466" s="32"/>
      <c r="R466" s="4"/>
      <c r="S466" s="4"/>
    </row>
    <row x14ac:dyDescent="0.25" r="467" customHeight="1" ht="12.75">
      <c r="A467" s="4"/>
      <c r="B467" s="29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29"/>
      <c r="N467" s="29"/>
      <c r="O467" s="29"/>
      <c r="P467" s="32"/>
      <c r="Q467" s="32"/>
      <c r="R467" s="4"/>
      <c r="S467" s="4"/>
    </row>
    <row x14ac:dyDescent="0.25" r="468" customHeight="1" ht="12.75">
      <c r="A468" s="4"/>
      <c r="B468" s="29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29"/>
      <c r="N468" s="29"/>
      <c r="O468" s="29"/>
      <c r="P468" s="32"/>
      <c r="Q468" s="32"/>
      <c r="R468" s="4"/>
      <c r="S468" s="4"/>
    </row>
    <row x14ac:dyDescent="0.25" r="469" customHeight="1" ht="12.75">
      <c r="A469" s="4"/>
      <c r="B469" s="29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29"/>
      <c r="N469" s="29"/>
      <c r="O469" s="29"/>
      <c r="P469" s="32"/>
      <c r="Q469" s="32"/>
      <c r="R469" s="4"/>
      <c r="S469" s="4"/>
    </row>
    <row x14ac:dyDescent="0.25" r="470" customHeight="1" ht="12.75">
      <c r="A470" s="4"/>
      <c r="B470" s="29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29"/>
      <c r="N470" s="29"/>
      <c r="O470" s="29"/>
      <c r="P470" s="32"/>
      <c r="Q470" s="32"/>
      <c r="R470" s="4"/>
      <c r="S470" s="4"/>
    </row>
    <row x14ac:dyDescent="0.25" r="471" customHeight="1" ht="12.75">
      <c r="A471" s="4"/>
      <c r="B471" s="29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29"/>
      <c r="N471" s="29"/>
      <c r="O471" s="29"/>
      <c r="P471" s="32"/>
      <c r="Q471" s="32"/>
      <c r="R471" s="4"/>
      <c r="S471" s="4"/>
    </row>
    <row x14ac:dyDescent="0.25" r="472" customHeight="1" ht="12.75">
      <c r="A472" s="4"/>
      <c r="B472" s="29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29"/>
      <c r="N472" s="29"/>
      <c r="O472" s="29"/>
      <c r="P472" s="32"/>
      <c r="Q472" s="32"/>
      <c r="R472" s="4"/>
      <c r="S472" s="4"/>
    </row>
    <row x14ac:dyDescent="0.25" r="473" customHeight="1" ht="12.75">
      <c r="A473" s="4"/>
      <c r="B473" s="29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29"/>
      <c r="N473" s="29"/>
      <c r="O473" s="29"/>
      <c r="P473" s="32"/>
      <c r="Q473" s="32"/>
      <c r="R473" s="4"/>
      <c r="S473" s="4"/>
    </row>
    <row x14ac:dyDescent="0.25" r="474" customHeight="1" ht="12.75">
      <c r="A474" s="4"/>
      <c r="B474" s="29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29"/>
      <c r="N474" s="29"/>
      <c r="O474" s="29"/>
      <c r="P474" s="32"/>
      <c r="Q474" s="32"/>
      <c r="R474" s="4"/>
      <c r="S474" s="4"/>
    </row>
    <row x14ac:dyDescent="0.25" r="475" customHeight="1" ht="12.75">
      <c r="A475" s="4"/>
      <c r="B475" s="29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29"/>
      <c r="N475" s="29"/>
      <c r="O475" s="29"/>
      <c r="P475" s="32"/>
      <c r="Q475" s="32"/>
      <c r="R475" s="4"/>
      <c r="S475" s="4"/>
    </row>
    <row x14ac:dyDescent="0.25" r="476" customHeight="1" ht="12.75">
      <c r="A476" s="4"/>
      <c r="B476" s="29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29"/>
      <c r="N476" s="29"/>
      <c r="O476" s="29"/>
      <c r="P476" s="32"/>
      <c r="Q476" s="32"/>
      <c r="R476" s="4"/>
      <c r="S476" s="4"/>
    </row>
    <row x14ac:dyDescent="0.25" r="477" customHeight="1" ht="12.75">
      <c r="A477" s="4"/>
      <c r="B477" s="29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29"/>
      <c r="N477" s="29"/>
      <c r="O477" s="29"/>
      <c r="P477" s="32"/>
      <c r="Q477" s="32"/>
      <c r="R477" s="4"/>
      <c r="S477" s="4"/>
    </row>
    <row x14ac:dyDescent="0.25" r="478" customHeight="1" ht="12.75">
      <c r="A478" s="4"/>
      <c r="B478" s="29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29"/>
      <c r="N478" s="29"/>
      <c r="O478" s="29"/>
      <c r="P478" s="32"/>
      <c r="Q478" s="32"/>
      <c r="R478" s="4"/>
      <c r="S478" s="4"/>
    </row>
    <row x14ac:dyDescent="0.25" r="479" customHeight="1" ht="12.75">
      <c r="A479" s="4"/>
      <c r="B479" s="29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29"/>
      <c r="N479" s="29"/>
      <c r="O479" s="29"/>
      <c r="P479" s="32"/>
      <c r="Q479" s="32"/>
      <c r="R479" s="4"/>
      <c r="S479" s="4"/>
    </row>
    <row x14ac:dyDescent="0.25" r="480" customHeight="1" ht="12.75">
      <c r="A480" s="4"/>
      <c r="B480" s="29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29"/>
      <c r="N480" s="29"/>
      <c r="O480" s="29"/>
      <c r="P480" s="32"/>
      <c r="Q480" s="32"/>
      <c r="R480" s="4"/>
      <c r="S480" s="4"/>
    </row>
    <row x14ac:dyDescent="0.25" r="481" customHeight="1" ht="12.75">
      <c r="A481" s="4"/>
      <c r="B481" s="29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29"/>
      <c r="N481" s="29"/>
      <c r="O481" s="29"/>
      <c r="P481" s="32"/>
      <c r="Q481" s="32"/>
      <c r="R481" s="4"/>
      <c r="S481" s="4"/>
    </row>
    <row x14ac:dyDescent="0.25" r="482" customHeight="1" ht="12.75">
      <c r="A482" s="4"/>
      <c r="B482" s="29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29"/>
      <c r="N482" s="29"/>
      <c r="O482" s="29"/>
      <c r="P482" s="32"/>
      <c r="Q482" s="32"/>
      <c r="R482" s="4"/>
      <c r="S482" s="4"/>
    </row>
    <row x14ac:dyDescent="0.25" r="483" customHeight="1" ht="12.75">
      <c r="A483" s="4"/>
      <c r="B483" s="29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29"/>
      <c r="N483" s="29"/>
      <c r="O483" s="29"/>
      <c r="P483" s="32"/>
      <c r="Q483" s="32"/>
      <c r="R483" s="4"/>
      <c r="S483" s="4"/>
    </row>
    <row x14ac:dyDescent="0.25" r="484" customHeight="1" ht="12.75">
      <c r="A484" s="4"/>
      <c r="B484" s="29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29"/>
      <c r="N484" s="29"/>
      <c r="O484" s="29"/>
      <c r="P484" s="32"/>
      <c r="Q484" s="32"/>
      <c r="R484" s="4"/>
      <c r="S484" s="4"/>
    </row>
    <row x14ac:dyDescent="0.25" r="485" customHeight="1" ht="12.75">
      <c r="A485" s="4"/>
      <c r="B485" s="29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29"/>
      <c r="N485" s="29"/>
      <c r="O485" s="29"/>
      <c r="P485" s="32"/>
      <c r="Q485" s="32"/>
      <c r="R485" s="4"/>
      <c r="S485" s="4"/>
    </row>
    <row x14ac:dyDescent="0.25" r="486" customHeight="1" ht="12.75">
      <c r="A486" s="4"/>
      <c r="B486" s="29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29"/>
      <c r="N486" s="29"/>
      <c r="O486" s="29"/>
      <c r="P486" s="32"/>
      <c r="Q486" s="32"/>
      <c r="R486" s="4"/>
      <c r="S486" s="4"/>
    </row>
    <row x14ac:dyDescent="0.25" r="487" customHeight="1" ht="12.75">
      <c r="A487" s="4"/>
      <c r="B487" s="29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29"/>
      <c r="N487" s="29"/>
      <c r="O487" s="29"/>
      <c r="P487" s="32"/>
      <c r="Q487" s="32"/>
      <c r="R487" s="4"/>
      <c r="S487" s="4"/>
    </row>
    <row x14ac:dyDescent="0.25" r="488" customHeight="1" ht="12.75">
      <c r="A488" s="4"/>
      <c r="B488" s="29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29"/>
      <c r="N488" s="29"/>
      <c r="O488" s="29"/>
      <c r="P488" s="32"/>
      <c r="Q488" s="32"/>
      <c r="R488" s="4"/>
      <c r="S488" s="4"/>
    </row>
    <row x14ac:dyDescent="0.25" r="489" customHeight="1" ht="12.75">
      <c r="A489" s="4"/>
      <c r="B489" s="29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29"/>
      <c r="N489" s="29"/>
      <c r="O489" s="29"/>
      <c r="P489" s="32"/>
      <c r="Q489" s="32"/>
      <c r="R489" s="4"/>
      <c r="S489" s="4"/>
    </row>
    <row x14ac:dyDescent="0.25" r="490" customHeight="1" ht="12.75">
      <c r="A490" s="4"/>
      <c r="B490" s="29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29"/>
      <c r="N490" s="29"/>
      <c r="O490" s="29"/>
      <c r="P490" s="32"/>
      <c r="Q490" s="32"/>
      <c r="R490" s="4"/>
      <c r="S490" s="4"/>
    </row>
    <row x14ac:dyDescent="0.25" r="491" customHeight="1" ht="12.75">
      <c r="A491" s="4"/>
      <c r="B491" s="29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29"/>
      <c r="N491" s="29"/>
      <c r="O491" s="29"/>
      <c r="P491" s="32"/>
      <c r="Q491" s="32"/>
      <c r="R491" s="4"/>
      <c r="S491" s="4"/>
    </row>
    <row x14ac:dyDescent="0.25" r="492" customHeight="1" ht="12.75">
      <c r="A492" s="4"/>
      <c r="B492" s="29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29"/>
      <c r="N492" s="29"/>
      <c r="O492" s="29"/>
      <c r="P492" s="32"/>
      <c r="Q492" s="32"/>
      <c r="R492" s="4"/>
      <c r="S492" s="4"/>
    </row>
    <row x14ac:dyDescent="0.25" r="493" customHeight="1" ht="12.75">
      <c r="A493" s="4"/>
      <c r="B493" s="29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29"/>
      <c r="N493" s="29"/>
      <c r="O493" s="29"/>
      <c r="P493" s="32"/>
      <c r="Q493" s="32"/>
      <c r="R493" s="4"/>
      <c r="S493" s="4"/>
    </row>
    <row x14ac:dyDescent="0.25" r="494" customHeight="1" ht="12.75">
      <c r="A494" s="4"/>
      <c r="B494" s="29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29"/>
      <c r="N494" s="29"/>
      <c r="O494" s="29"/>
      <c r="P494" s="32"/>
      <c r="Q494" s="32"/>
      <c r="R494" s="4"/>
      <c r="S494" s="4"/>
    </row>
    <row x14ac:dyDescent="0.25" r="495" customHeight="1" ht="12.75">
      <c r="A495" s="4"/>
      <c r="B495" s="29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29"/>
      <c r="N495" s="29"/>
      <c r="O495" s="29"/>
      <c r="P495" s="32"/>
      <c r="Q495" s="32"/>
      <c r="R495" s="4"/>
      <c r="S495" s="4"/>
    </row>
    <row x14ac:dyDescent="0.25" r="496" customHeight="1" ht="12.75">
      <c r="A496" s="4"/>
      <c r="B496" s="29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29"/>
      <c r="N496" s="29"/>
      <c r="O496" s="29"/>
      <c r="P496" s="32"/>
      <c r="Q496" s="32"/>
      <c r="R496" s="4"/>
      <c r="S496" s="4"/>
    </row>
    <row x14ac:dyDescent="0.25" r="497" customHeight="1" ht="12.75">
      <c r="A497" s="4"/>
      <c r="B497" s="29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29"/>
      <c r="N497" s="29"/>
      <c r="O497" s="29"/>
      <c r="P497" s="32"/>
      <c r="Q497" s="32"/>
      <c r="R497" s="4"/>
      <c r="S497" s="4"/>
    </row>
    <row x14ac:dyDescent="0.25" r="498" customHeight="1" ht="12.75">
      <c r="A498" s="4"/>
      <c r="B498" s="29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29"/>
      <c r="N498" s="29"/>
      <c r="O498" s="29"/>
      <c r="P498" s="32"/>
      <c r="Q498" s="32"/>
      <c r="R498" s="4"/>
      <c r="S498" s="4"/>
    </row>
    <row x14ac:dyDescent="0.25" r="499" customHeight="1" ht="12.75">
      <c r="A499" s="4"/>
      <c r="B499" s="29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29"/>
      <c r="N499" s="29"/>
      <c r="O499" s="29"/>
      <c r="P499" s="32"/>
      <c r="Q499" s="32"/>
      <c r="R499" s="4"/>
      <c r="S499" s="4"/>
    </row>
    <row x14ac:dyDescent="0.25" r="500" customHeight="1" ht="12.75">
      <c r="A500" s="4"/>
      <c r="B500" s="29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29"/>
      <c r="N500" s="29"/>
      <c r="O500" s="29"/>
      <c r="P500" s="32"/>
      <c r="Q500" s="32"/>
      <c r="R500" s="4"/>
      <c r="S500" s="4"/>
    </row>
    <row x14ac:dyDescent="0.25" r="501" customHeight="1" ht="12.75">
      <c r="A501" s="4"/>
      <c r="B501" s="29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29"/>
      <c r="N501" s="29"/>
      <c r="O501" s="29"/>
      <c r="P501" s="32"/>
      <c r="Q501" s="32"/>
      <c r="R501" s="4"/>
      <c r="S501" s="4"/>
    </row>
    <row x14ac:dyDescent="0.25" r="502" customHeight="1" ht="12.75">
      <c r="A502" s="4"/>
      <c r="B502" s="29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29"/>
      <c r="N502" s="29"/>
      <c r="O502" s="29"/>
      <c r="P502" s="32"/>
      <c r="Q502" s="32"/>
      <c r="R502" s="4"/>
      <c r="S502" s="4"/>
    </row>
    <row x14ac:dyDescent="0.25" r="503" customHeight="1" ht="12.75">
      <c r="A503" s="4"/>
      <c r="B503" s="29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29"/>
      <c r="N503" s="29"/>
      <c r="O503" s="29"/>
      <c r="P503" s="32"/>
      <c r="Q503" s="32"/>
      <c r="R503" s="4"/>
      <c r="S503" s="4"/>
    </row>
    <row x14ac:dyDescent="0.25" r="504" customHeight="1" ht="12.75">
      <c r="A504" s="4"/>
      <c r="B504" s="29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29"/>
      <c r="N504" s="29"/>
      <c r="O504" s="29"/>
      <c r="P504" s="32"/>
      <c r="Q504" s="32"/>
      <c r="R504" s="4"/>
      <c r="S504" s="4"/>
    </row>
    <row x14ac:dyDescent="0.25" r="505" customHeight="1" ht="12.75">
      <c r="A505" s="4"/>
      <c r="B505" s="29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29"/>
      <c r="N505" s="29"/>
      <c r="O505" s="29"/>
      <c r="P505" s="32"/>
      <c r="Q505" s="32"/>
      <c r="R505" s="4"/>
      <c r="S505" s="4"/>
    </row>
    <row x14ac:dyDescent="0.25" r="506" customHeight="1" ht="12.75">
      <c r="A506" s="4"/>
      <c r="B506" s="29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29"/>
      <c r="N506" s="29"/>
      <c r="O506" s="29"/>
      <c r="P506" s="32"/>
      <c r="Q506" s="32"/>
      <c r="R506" s="4"/>
      <c r="S506" s="4"/>
    </row>
    <row x14ac:dyDescent="0.25" r="507" customHeight="1" ht="12.75">
      <c r="A507" s="4"/>
      <c r="B507" s="29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29"/>
      <c r="N507" s="29"/>
      <c r="O507" s="29"/>
      <c r="P507" s="32"/>
      <c r="Q507" s="32"/>
      <c r="R507" s="4"/>
      <c r="S507" s="4"/>
    </row>
    <row x14ac:dyDescent="0.25" r="508" customHeight="1" ht="12.75">
      <c r="A508" s="4"/>
      <c r="B508" s="29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29"/>
      <c r="N508" s="29"/>
      <c r="O508" s="29"/>
      <c r="P508" s="32"/>
      <c r="Q508" s="32"/>
      <c r="R508" s="4"/>
      <c r="S508" s="4"/>
    </row>
    <row x14ac:dyDescent="0.25" r="509" customHeight="1" ht="12.75">
      <c r="A509" s="4"/>
      <c r="B509" s="29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29"/>
      <c r="N509" s="29"/>
      <c r="O509" s="29"/>
      <c r="P509" s="32"/>
      <c r="Q509" s="32"/>
      <c r="R509" s="4"/>
      <c r="S509" s="4"/>
    </row>
    <row x14ac:dyDescent="0.25" r="510" customHeight="1" ht="12.75">
      <c r="A510" s="4"/>
      <c r="B510" s="29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29"/>
      <c r="N510" s="29"/>
      <c r="O510" s="29"/>
      <c r="P510" s="32"/>
      <c r="Q510" s="32"/>
      <c r="R510" s="4"/>
      <c r="S510" s="4"/>
    </row>
    <row x14ac:dyDescent="0.25" r="511" customHeight="1" ht="12.75">
      <c r="A511" s="4"/>
      <c r="B511" s="29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29"/>
      <c r="N511" s="29"/>
      <c r="O511" s="29"/>
      <c r="P511" s="32"/>
      <c r="Q511" s="32"/>
      <c r="R511" s="4"/>
      <c r="S511" s="4"/>
    </row>
    <row x14ac:dyDescent="0.25" r="512" customHeight="1" ht="12.75">
      <c r="A512" s="4"/>
      <c r="B512" s="29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29"/>
      <c r="N512" s="29"/>
      <c r="O512" s="29"/>
      <c r="P512" s="32"/>
      <c r="Q512" s="32"/>
      <c r="R512" s="4"/>
      <c r="S512" s="4"/>
    </row>
    <row x14ac:dyDescent="0.25" r="513" customHeight="1" ht="12.75">
      <c r="A513" s="4"/>
      <c r="B513" s="29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29"/>
      <c r="N513" s="29"/>
      <c r="O513" s="29"/>
      <c r="P513" s="32"/>
      <c r="Q513" s="32"/>
      <c r="R513" s="4"/>
      <c r="S513" s="4"/>
    </row>
    <row x14ac:dyDescent="0.25" r="514" customHeight="1" ht="12.75">
      <c r="A514" s="4"/>
      <c r="B514" s="29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29"/>
      <c r="N514" s="29"/>
      <c r="O514" s="29"/>
      <c r="P514" s="32"/>
      <c r="Q514" s="32"/>
      <c r="R514" s="4"/>
      <c r="S514" s="4"/>
    </row>
    <row x14ac:dyDescent="0.25" r="515" customHeight="1" ht="12.75">
      <c r="A515" s="4"/>
      <c r="B515" s="29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29"/>
      <c r="N515" s="29"/>
      <c r="O515" s="29"/>
      <c r="P515" s="32"/>
      <c r="Q515" s="32"/>
      <c r="R515" s="4"/>
      <c r="S515" s="4"/>
    </row>
    <row x14ac:dyDescent="0.25" r="516" customHeight="1" ht="12.75">
      <c r="A516" s="4"/>
      <c r="B516" s="29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29"/>
      <c r="N516" s="29"/>
      <c r="O516" s="29"/>
      <c r="P516" s="32"/>
      <c r="Q516" s="32"/>
      <c r="R516" s="4"/>
      <c r="S516" s="4"/>
    </row>
    <row x14ac:dyDescent="0.25" r="517" customHeight="1" ht="12.75">
      <c r="A517" s="4"/>
      <c r="B517" s="29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29"/>
      <c r="N517" s="29"/>
      <c r="O517" s="29"/>
      <c r="P517" s="32"/>
      <c r="Q517" s="32"/>
      <c r="R517" s="4"/>
      <c r="S517" s="4"/>
    </row>
    <row x14ac:dyDescent="0.25" r="518" customHeight="1" ht="12.75">
      <c r="A518" s="4"/>
      <c r="B518" s="29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29"/>
      <c r="N518" s="29"/>
      <c r="O518" s="29"/>
      <c r="P518" s="32"/>
      <c r="Q518" s="32"/>
      <c r="R518" s="4"/>
      <c r="S518" s="4"/>
    </row>
    <row x14ac:dyDescent="0.25" r="519" customHeight="1" ht="12.75">
      <c r="A519" s="4"/>
      <c r="B519" s="29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29"/>
      <c r="N519" s="29"/>
      <c r="O519" s="29"/>
      <c r="P519" s="32"/>
      <c r="Q519" s="32"/>
      <c r="R519" s="4"/>
      <c r="S519" s="4"/>
    </row>
    <row x14ac:dyDescent="0.25" r="520" customHeight="1" ht="12.75">
      <c r="A520" s="4"/>
      <c r="B520" s="29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29"/>
      <c r="N520" s="29"/>
      <c r="O520" s="29"/>
      <c r="P520" s="32"/>
      <c r="Q520" s="32"/>
      <c r="R520" s="4"/>
      <c r="S520" s="4"/>
    </row>
    <row x14ac:dyDescent="0.25" r="521" customHeight="1" ht="12.75">
      <c r="A521" s="4"/>
      <c r="B521" s="29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29"/>
      <c r="N521" s="29"/>
      <c r="O521" s="29"/>
      <c r="P521" s="32"/>
      <c r="Q521" s="32"/>
      <c r="R521" s="4"/>
      <c r="S521" s="4"/>
    </row>
    <row x14ac:dyDescent="0.25" r="522" customHeight="1" ht="12.75">
      <c r="A522" s="4"/>
      <c r="B522" s="29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29"/>
      <c r="N522" s="29"/>
      <c r="O522" s="29"/>
      <c r="P522" s="32"/>
      <c r="Q522" s="32"/>
      <c r="R522" s="4"/>
      <c r="S522" s="4"/>
    </row>
    <row x14ac:dyDescent="0.25" r="523" customHeight="1" ht="12.75">
      <c r="A523" s="4"/>
      <c r="B523" s="29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29"/>
      <c r="N523" s="29"/>
      <c r="O523" s="29"/>
      <c r="P523" s="32"/>
      <c r="Q523" s="32"/>
      <c r="R523" s="4"/>
      <c r="S523" s="4"/>
    </row>
    <row x14ac:dyDescent="0.25" r="524" customHeight="1" ht="12.75">
      <c r="A524" s="4"/>
      <c r="B524" s="29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29"/>
      <c r="N524" s="29"/>
      <c r="O524" s="29"/>
      <c r="P524" s="32"/>
      <c r="Q524" s="32"/>
      <c r="R524" s="4"/>
      <c r="S524" s="4"/>
    </row>
    <row x14ac:dyDescent="0.25" r="525" customHeight="1" ht="12.75">
      <c r="A525" s="4"/>
      <c r="B525" s="29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29"/>
      <c r="N525" s="29"/>
      <c r="O525" s="29"/>
      <c r="P525" s="32"/>
      <c r="Q525" s="32"/>
      <c r="R525" s="4"/>
      <c r="S525" s="4"/>
    </row>
    <row x14ac:dyDescent="0.25" r="526" customHeight="1" ht="12.75">
      <c r="A526" s="4"/>
      <c r="B526" s="29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29"/>
      <c r="N526" s="29"/>
      <c r="O526" s="29"/>
      <c r="P526" s="32"/>
      <c r="Q526" s="32"/>
      <c r="R526" s="4"/>
      <c r="S526" s="4"/>
    </row>
    <row x14ac:dyDescent="0.25" r="527" customHeight="1" ht="12.75">
      <c r="A527" s="4"/>
      <c r="B527" s="29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29"/>
      <c r="N527" s="29"/>
      <c r="O527" s="29"/>
      <c r="P527" s="32"/>
      <c r="Q527" s="32"/>
      <c r="R527" s="4"/>
      <c r="S527" s="4"/>
    </row>
    <row x14ac:dyDescent="0.25" r="528" customHeight="1" ht="12.75">
      <c r="A528" s="4"/>
      <c r="B528" s="29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29"/>
      <c r="N528" s="29"/>
      <c r="O528" s="29"/>
      <c r="P528" s="32"/>
      <c r="Q528" s="32"/>
      <c r="R528" s="4"/>
      <c r="S528" s="4"/>
    </row>
    <row x14ac:dyDescent="0.25" r="529" customHeight="1" ht="12.75">
      <c r="A529" s="4"/>
      <c r="B529" s="29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29"/>
      <c r="N529" s="29"/>
      <c r="O529" s="29"/>
      <c r="P529" s="32"/>
      <c r="Q529" s="32"/>
      <c r="R529" s="4"/>
      <c r="S529" s="4"/>
    </row>
    <row x14ac:dyDescent="0.25" r="530" customHeight="1" ht="12.75">
      <c r="A530" s="4"/>
      <c r="B530" s="29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29"/>
      <c r="N530" s="29"/>
      <c r="O530" s="29"/>
      <c r="P530" s="32"/>
      <c r="Q530" s="32"/>
      <c r="R530" s="4"/>
      <c r="S530" s="4"/>
    </row>
    <row x14ac:dyDescent="0.25" r="531" customHeight="1" ht="12.75">
      <c r="A531" s="4"/>
      <c r="B531" s="29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29"/>
      <c r="N531" s="29"/>
      <c r="O531" s="29"/>
      <c r="P531" s="32"/>
      <c r="Q531" s="32"/>
      <c r="R531" s="4"/>
      <c r="S531" s="4"/>
    </row>
    <row x14ac:dyDescent="0.25" r="532" customHeight="1" ht="12.75">
      <c r="A532" s="4"/>
      <c r="B532" s="29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29"/>
      <c r="N532" s="29"/>
      <c r="O532" s="29"/>
      <c r="P532" s="32"/>
      <c r="Q532" s="32"/>
      <c r="R532" s="4"/>
      <c r="S532" s="4"/>
    </row>
    <row x14ac:dyDescent="0.25" r="533" customHeight="1" ht="12.75">
      <c r="A533" s="4"/>
      <c r="B533" s="29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29"/>
      <c r="N533" s="29"/>
      <c r="O533" s="29"/>
      <c r="P533" s="32"/>
      <c r="Q533" s="32"/>
      <c r="R533" s="4"/>
      <c r="S533" s="4"/>
    </row>
    <row x14ac:dyDescent="0.25" r="534" customHeight="1" ht="12.75">
      <c r="A534" s="4"/>
      <c r="B534" s="29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29"/>
      <c r="N534" s="29"/>
      <c r="O534" s="29"/>
      <c r="P534" s="32"/>
      <c r="Q534" s="32"/>
      <c r="R534" s="4"/>
      <c r="S534" s="4"/>
    </row>
    <row x14ac:dyDescent="0.25" r="535" customHeight="1" ht="12.75">
      <c r="A535" s="4"/>
      <c r="B535" s="29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29"/>
      <c r="N535" s="29"/>
      <c r="O535" s="29"/>
      <c r="P535" s="32"/>
      <c r="Q535" s="32"/>
      <c r="R535" s="4"/>
      <c r="S535" s="4"/>
    </row>
    <row x14ac:dyDescent="0.25" r="536" customHeight="1" ht="12.75">
      <c r="A536" s="4"/>
      <c r="B536" s="29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29"/>
      <c r="N536" s="29"/>
      <c r="O536" s="29"/>
      <c r="P536" s="32"/>
      <c r="Q536" s="32"/>
      <c r="R536" s="4"/>
      <c r="S536" s="4"/>
    </row>
    <row x14ac:dyDescent="0.25" r="537" customHeight="1" ht="12.75">
      <c r="A537" s="4"/>
      <c r="B537" s="29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29"/>
      <c r="N537" s="29"/>
      <c r="O537" s="29"/>
      <c r="P537" s="32"/>
      <c r="Q537" s="32"/>
      <c r="R537" s="4"/>
      <c r="S537" s="4"/>
    </row>
    <row x14ac:dyDescent="0.25" r="538" customHeight="1" ht="12.75">
      <c r="A538" s="4"/>
      <c r="B538" s="29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29"/>
      <c r="N538" s="29"/>
      <c r="O538" s="29"/>
      <c r="P538" s="32"/>
      <c r="Q538" s="32"/>
      <c r="R538" s="4"/>
      <c r="S538" s="4"/>
    </row>
    <row x14ac:dyDescent="0.25" r="539" customHeight="1" ht="12.75">
      <c r="A539" s="4"/>
      <c r="B539" s="29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29"/>
      <c r="N539" s="29"/>
      <c r="O539" s="29"/>
      <c r="P539" s="32"/>
      <c r="Q539" s="32"/>
      <c r="R539" s="4"/>
      <c r="S539" s="4"/>
    </row>
    <row x14ac:dyDescent="0.25" r="540" customHeight="1" ht="12.75">
      <c r="A540" s="4"/>
      <c r="B540" s="29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29"/>
      <c r="N540" s="29"/>
      <c r="O540" s="29"/>
      <c r="P540" s="32"/>
      <c r="Q540" s="32"/>
      <c r="R540" s="4"/>
      <c r="S540" s="4"/>
    </row>
    <row x14ac:dyDescent="0.25" r="541" customHeight="1" ht="12.75">
      <c r="A541" s="4"/>
      <c r="B541" s="29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29"/>
      <c r="N541" s="29"/>
      <c r="O541" s="29"/>
      <c r="P541" s="32"/>
      <c r="Q541" s="32"/>
      <c r="R541" s="4"/>
      <c r="S541" s="4"/>
    </row>
    <row x14ac:dyDescent="0.25" r="542" customHeight="1" ht="12.75">
      <c r="A542" s="4"/>
      <c r="B542" s="29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29"/>
      <c r="N542" s="29"/>
      <c r="O542" s="29"/>
      <c r="P542" s="32"/>
      <c r="Q542" s="32"/>
      <c r="R542" s="4"/>
      <c r="S542" s="4"/>
    </row>
    <row x14ac:dyDescent="0.25" r="543" customHeight="1" ht="12.75">
      <c r="A543" s="4"/>
      <c r="B543" s="29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29"/>
      <c r="N543" s="29"/>
      <c r="O543" s="29"/>
      <c r="P543" s="32"/>
      <c r="Q543" s="32"/>
      <c r="R543" s="4"/>
      <c r="S543" s="4"/>
    </row>
    <row x14ac:dyDescent="0.25" r="544" customHeight="1" ht="12.75">
      <c r="A544" s="4"/>
      <c r="B544" s="29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29"/>
      <c r="N544" s="29"/>
      <c r="O544" s="29"/>
      <c r="P544" s="32"/>
      <c r="Q544" s="32"/>
      <c r="R544" s="4"/>
      <c r="S544" s="4"/>
    </row>
    <row x14ac:dyDescent="0.25" r="545" customHeight="1" ht="12.75">
      <c r="A545" s="4"/>
      <c r="B545" s="29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29"/>
      <c r="N545" s="29"/>
      <c r="O545" s="29"/>
      <c r="P545" s="32"/>
      <c r="Q545" s="32"/>
      <c r="R545" s="4"/>
      <c r="S545" s="4"/>
    </row>
    <row x14ac:dyDescent="0.25" r="546" customHeight="1" ht="12.75">
      <c r="A546" s="4"/>
      <c r="B546" s="29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29"/>
      <c r="N546" s="29"/>
      <c r="O546" s="29"/>
      <c r="P546" s="32"/>
      <c r="Q546" s="32"/>
      <c r="R546" s="4"/>
      <c r="S546" s="4"/>
    </row>
    <row x14ac:dyDescent="0.25" r="547" customHeight="1" ht="12.75">
      <c r="A547" s="4"/>
      <c r="B547" s="29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29"/>
      <c r="N547" s="29"/>
      <c r="O547" s="29"/>
      <c r="P547" s="32"/>
      <c r="Q547" s="32"/>
      <c r="R547" s="4"/>
      <c r="S547" s="4"/>
    </row>
    <row x14ac:dyDescent="0.25" r="548" customHeight="1" ht="12.75">
      <c r="A548" s="4"/>
      <c r="B548" s="29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29"/>
      <c r="N548" s="29"/>
      <c r="O548" s="29"/>
      <c r="P548" s="32"/>
      <c r="Q548" s="32"/>
      <c r="R548" s="4"/>
      <c r="S548" s="4"/>
    </row>
    <row x14ac:dyDescent="0.25" r="549" customHeight="1" ht="12.75">
      <c r="A549" s="4"/>
      <c r="B549" s="29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29"/>
      <c r="N549" s="29"/>
      <c r="O549" s="29"/>
      <c r="P549" s="32"/>
      <c r="Q549" s="32"/>
      <c r="R549" s="4"/>
      <c r="S549" s="4"/>
    </row>
    <row x14ac:dyDescent="0.25" r="550" customHeight="1" ht="12.75">
      <c r="A550" s="4"/>
      <c r="B550" s="29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29"/>
      <c r="N550" s="29"/>
      <c r="O550" s="29"/>
      <c r="P550" s="32"/>
      <c r="Q550" s="32"/>
      <c r="R550" s="4"/>
      <c r="S550" s="4"/>
    </row>
    <row x14ac:dyDescent="0.25" r="551" customHeight="1" ht="12.75">
      <c r="A551" s="4"/>
      <c r="B551" s="29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29"/>
      <c r="N551" s="29"/>
      <c r="O551" s="29"/>
      <c r="P551" s="32"/>
      <c r="Q551" s="32"/>
      <c r="R551" s="4"/>
      <c r="S551" s="4"/>
    </row>
    <row x14ac:dyDescent="0.25" r="552" customHeight="1" ht="12.75">
      <c r="A552" s="4"/>
      <c r="B552" s="29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29"/>
      <c r="N552" s="29"/>
      <c r="O552" s="29"/>
      <c r="P552" s="32"/>
      <c r="Q552" s="32"/>
      <c r="R552" s="4"/>
      <c r="S552" s="4"/>
    </row>
    <row x14ac:dyDescent="0.25" r="553" customHeight="1" ht="12.75">
      <c r="A553" s="4"/>
      <c r="B553" s="29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29"/>
      <c r="N553" s="29"/>
      <c r="O553" s="29"/>
      <c r="P553" s="32"/>
      <c r="Q553" s="32"/>
      <c r="R553" s="4"/>
      <c r="S553" s="4"/>
    </row>
    <row x14ac:dyDescent="0.25" r="554" customHeight="1" ht="12.75">
      <c r="A554" s="4"/>
      <c r="B554" s="29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29"/>
      <c r="N554" s="29"/>
      <c r="O554" s="29"/>
      <c r="P554" s="32"/>
      <c r="Q554" s="32"/>
      <c r="R554" s="4"/>
      <c r="S554" s="4"/>
    </row>
    <row x14ac:dyDescent="0.25" r="555" customHeight="1" ht="12.75">
      <c r="A555" s="4"/>
      <c r="B555" s="29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29"/>
      <c r="N555" s="29"/>
      <c r="O555" s="29"/>
      <c r="P555" s="32"/>
      <c r="Q555" s="32"/>
      <c r="R555" s="4"/>
      <c r="S555" s="4"/>
    </row>
    <row x14ac:dyDescent="0.25" r="556" customHeight="1" ht="12.75">
      <c r="A556" s="4"/>
      <c r="B556" s="29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29"/>
      <c r="N556" s="29"/>
      <c r="O556" s="29"/>
      <c r="P556" s="32"/>
      <c r="Q556" s="32"/>
      <c r="R556" s="4"/>
      <c r="S556" s="4"/>
    </row>
    <row x14ac:dyDescent="0.25" r="557" customHeight="1" ht="12.75">
      <c r="A557" s="4"/>
      <c r="B557" s="29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29"/>
      <c r="N557" s="29"/>
      <c r="O557" s="29"/>
      <c r="P557" s="32"/>
      <c r="Q557" s="32"/>
      <c r="R557" s="4"/>
      <c r="S557" s="4"/>
    </row>
    <row x14ac:dyDescent="0.25" r="558" customHeight="1" ht="12.75">
      <c r="A558" s="4"/>
      <c r="B558" s="29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29"/>
      <c r="N558" s="29"/>
      <c r="O558" s="29"/>
      <c r="P558" s="32"/>
      <c r="Q558" s="32"/>
      <c r="R558" s="4"/>
      <c r="S558" s="4"/>
    </row>
    <row x14ac:dyDescent="0.25" r="559" customHeight="1" ht="12.75">
      <c r="A559" s="4"/>
      <c r="B559" s="29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29"/>
      <c r="N559" s="29"/>
      <c r="O559" s="29"/>
      <c r="P559" s="32"/>
      <c r="Q559" s="32"/>
      <c r="R559" s="4"/>
      <c r="S559" s="4"/>
    </row>
    <row x14ac:dyDescent="0.25" r="560" customHeight="1" ht="12.75">
      <c r="A560" s="4"/>
      <c r="B560" s="29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29"/>
      <c r="N560" s="29"/>
      <c r="O560" s="29"/>
      <c r="P560" s="32"/>
      <c r="Q560" s="32"/>
      <c r="R560" s="4"/>
      <c r="S560" s="4"/>
    </row>
    <row x14ac:dyDescent="0.25" r="561" customHeight="1" ht="12.75">
      <c r="A561" s="4"/>
      <c r="B561" s="29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29"/>
      <c r="N561" s="29"/>
      <c r="O561" s="29"/>
      <c r="P561" s="32"/>
      <c r="Q561" s="32"/>
      <c r="R561" s="4"/>
      <c r="S561" s="4"/>
    </row>
    <row x14ac:dyDescent="0.25" r="562" customHeight="1" ht="12.75">
      <c r="A562" s="4"/>
      <c r="B562" s="29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29"/>
      <c r="N562" s="29"/>
      <c r="O562" s="29"/>
      <c r="P562" s="32"/>
      <c r="Q562" s="32"/>
      <c r="R562" s="4"/>
      <c r="S562" s="4"/>
    </row>
    <row x14ac:dyDescent="0.25" r="563" customHeight="1" ht="12.75">
      <c r="A563" s="4"/>
      <c r="B563" s="29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29"/>
      <c r="N563" s="29"/>
      <c r="O563" s="29"/>
      <c r="P563" s="32"/>
      <c r="Q563" s="32"/>
      <c r="R563" s="4"/>
      <c r="S563" s="4"/>
    </row>
    <row x14ac:dyDescent="0.25" r="564" customHeight="1" ht="12.75">
      <c r="A564" s="4"/>
      <c r="B564" s="29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29"/>
      <c r="N564" s="29"/>
      <c r="O564" s="29"/>
      <c r="P564" s="32"/>
      <c r="Q564" s="32"/>
      <c r="R564" s="4"/>
      <c r="S564" s="4"/>
    </row>
    <row x14ac:dyDescent="0.25" r="565" customHeight="1" ht="12.75">
      <c r="A565" s="4"/>
      <c r="B565" s="29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29"/>
      <c r="N565" s="29"/>
      <c r="O565" s="29"/>
      <c r="P565" s="32"/>
      <c r="Q565" s="32"/>
      <c r="R565" s="4"/>
      <c r="S565" s="4"/>
    </row>
    <row x14ac:dyDescent="0.25" r="566" customHeight="1" ht="12.75">
      <c r="A566" s="4"/>
      <c r="B566" s="29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29"/>
      <c r="N566" s="29"/>
      <c r="O566" s="29"/>
      <c r="P566" s="32"/>
      <c r="Q566" s="32"/>
      <c r="R566" s="4"/>
      <c r="S566" s="4"/>
    </row>
    <row x14ac:dyDescent="0.25" r="567" customHeight="1" ht="12.75">
      <c r="A567" s="4"/>
      <c r="B567" s="29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29"/>
      <c r="N567" s="29"/>
      <c r="O567" s="29"/>
      <c r="P567" s="32"/>
      <c r="Q567" s="32"/>
      <c r="R567" s="4"/>
      <c r="S567" s="4"/>
    </row>
    <row x14ac:dyDescent="0.25" r="568" customHeight="1" ht="12.75">
      <c r="A568" s="4"/>
      <c r="B568" s="29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29"/>
      <c r="N568" s="29"/>
      <c r="O568" s="29"/>
      <c r="P568" s="32"/>
      <c r="Q568" s="32"/>
      <c r="R568" s="4"/>
      <c r="S568" s="4"/>
    </row>
    <row x14ac:dyDescent="0.25" r="569" customHeight="1" ht="12.75">
      <c r="A569" s="4"/>
      <c r="B569" s="29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29"/>
      <c r="N569" s="29"/>
      <c r="O569" s="29"/>
      <c r="P569" s="32"/>
      <c r="Q569" s="32"/>
      <c r="R569" s="4"/>
      <c r="S569" s="4"/>
    </row>
    <row x14ac:dyDescent="0.25" r="570" customHeight="1" ht="12.75">
      <c r="A570" s="4"/>
      <c r="B570" s="29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29"/>
      <c r="N570" s="29"/>
      <c r="O570" s="29"/>
      <c r="P570" s="32"/>
      <c r="Q570" s="32"/>
      <c r="R570" s="4"/>
      <c r="S570" s="4"/>
    </row>
    <row x14ac:dyDescent="0.25" r="571" customHeight="1" ht="12.75">
      <c r="A571" s="4"/>
      <c r="B571" s="29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29"/>
      <c r="N571" s="29"/>
      <c r="O571" s="29"/>
      <c r="P571" s="32"/>
      <c r="Q571" s="32"/>
      <c r="R571" s="4"/>
      <c r="S571" s="4"/>
    </row>
    <row x14ac:dyDescent="0.25" r="572" customHeight="1" ht="12.75">
      <c r="A572" s="4"/>
      <c r="B572" s="29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29"/>
      <c r="N572" s="29"/>
      <c r="O572" s="29"/>
      <c r="P572" s="32"/>
      <c r="Q572" s="32"/>
      <c r="R572" s="4"/>
      <c r="S572" s="4"/>
    </row>
    <row x14ac:dyDescent="0.25" r="573" customHeight="1" ht="12.75">
      <c r="A573" s="4"/>
      <c r="B573" s="29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29"/>
      <c r="N573" s="29"/>
      <c r="O573" s="29"/>
      <c r="P573" s="32"/>
      <c r="Q573" s="32"/>
      <c r="R573" s="4"/>
      <c r="S573" s="4"/>
    </row>
    <row x14ac:dyDescent="0.25" r="574" customHeight="1" ht="12.75">
      <c r="A574" s="4"/>
      <c r="B574" s="29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29"/>
      <c r="N574" s="29"/>
      <c r="O574" s="29"/>
      <c r="P574" s="32"/>
      <c r="Q574" s="32"/>
      <c r="R574" s="4"/>
      <c r="S574" s="4"/>
    </row>
    <row x14ac:dyDescent="0.25" r="575" customHeight="1" ht="12.75">
      <c r="A575" s="4"/>
      <c r="B575" s="29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29"/>
      <c r="N575" s="29"/>
      <c r="O575" s="29"/>
      <c r="P575" s="32"/>
      <c r="Q575" s="32"/>
      <c r="R575" s="4"/>
      <c r="S575" s="4"/>
    </row>
    <row x14ac:dyDescent="0.25" r="576" customHeight="1" ht="12.75">
      <c r="A576" s="4"/>
      <c r="B576" s="29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29"/>
      <c r="N576" s="29"/>
      <c r="O576" s="29"/>
      <c r="P576" s="32"/>
      <c r="Q576" s="32"/>
      <c r="R576" s="4"/>
      <c r="S576" s="4"/>
    </row>
    <row x14ac:dyDescent="0.25" r="577" customHeight="1" ht="12.75">
      <c r="A577" s="4"/>
      <c r="B577" s="29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29"/>
      <c r="N577" s="29"/>
      <c r="O577" s="29"/>
      <c r="P577" s="32"/>
      <c r="Q577" s="32"/>
      <c r="R577" s="4"/>
      <c r="S577" s="4"/>
    </row>
    <row x14ac:dyDescent="0.25" r="578" customHeight="1" ht="12.75">
      <c r="A578" s="4"/>
      <c r="B578" s="29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29"/>
      <c r="N578" s="29"/>
      <c r="O578" s="29"/>
      <c r="P578" s="32"/>
      <c r="Q578" s="32"/>
      <c r="R578" s="4"/>
      <c r="S578" s="4"/>
    </row>
    <row x14ac:dyDescent="0.25" r="579" customHeight="1" ht="12.75">
      <c r="A579" s="4"/>
      <c r="B579" s="29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29"/>
      <c r="N579" s="29"/>
      <c r="O579" s="29"/>
      <c r="P579" s="32"/>
      <c r="Q579" s="32"/>
      <c r="R579" s="4"/>
      <c r="S579" s="4"/>
    </row>
    <row x14ac:dyDescent="0.25" r="580" customHeight="1" ht="12.75">
      <c r="A580" s="4"/>
      <c r="B580" s="29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29"/>
      <c r="N580" s="29"/>
      <c r="O580" s="29"/>
      <c r="P580" s="32"/>
      <c r="Q580" s="32"/>
      <c r="R580" s="4"/>
      <c r="S580" s="4"/>
    </row>
    <row x14ac:dyDescent="0.25" r="581" customHeight="1" ht="12.75">
      <c r="A581" s="4"/>
      <c r="B581" s="29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29"/>
      <c r="N581" s="29"/>
      <c r="O581" s="29"/>
      <c r="P581" s="32"/>
      <c r="Q581" s="32"/>
      <c r="R581" s="4"/>
      <c r="S581" s="4"/>
    </row>
    <row x14ac:dyDescent="0.25" r="582" customHeight="1" ht="12.75">
      <c r="A582" s="4"/>
      <c r="B582" s="29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29"/>
      <c r="N582" s="29"/>
      <c r="O582" s="29"/>
      <c r="P582" s="32"/>
      <c r="Q582" s="32"/>
      <c r="R582" s="4"/>
      <c r="S582" s="4"/>
    </row>
    <row x14ac:dyDescent="0.25" r="583" customHeight="1" ht="12.75">
      <c r="A583" s="4"/>
      <c r="B583" s="29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29"/>
      <c r="N583" s="29"/>
      <c r="O583" s="29"/>
      <c r="P583" s="32"/>
      <c r="Q583" s="32"/>
      <c r="R583" s="4"/>
      <c r="S583" s="4"/>
    </row>
    <row x14ac:dyDescent="0.25" r="584" customHeight="1" ht="12.75">
      <c r="A584" s="4"/>
      <c r="B584" s="29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29"/>
      <c r="N584" s="29"/>
      <c r="O584" s="29"/>
      <c r="P584" s="32"/>
      <c r="Q584" s="32"/>
      <c r="R584" s="4"/>
      <c r="S584" s="4"/>
    </row>
    <row x14ac:dyDescent="0.25" r="585" customHeight="1" ht="12.75">
      <c r="A585" s="4"/>
      <c r="B585" s="29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29"/>
      <c r="N585" s="29"/>
      <c r="O585" s="29"/>
      <c r="P585" s="32"/>
      <c r="Q585" s="32"/>
      <c r="R585" s="4"/>
      <c r="S585" s="4"/>
    </row>
    <row x14ac:dyDescent="0.25" r="586" customHeight="1" ht="12.75">
      <c r="A586" s="4"/>
      <c r="B586" s="29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29"/>
      <c r="N586" s="29"/>
      <c r="O586" s="29"/>
      <c r="P586" s="32"/>
      <c r="Q586" s="32"/>
      <c r="R586" s="4"/>
      <c r="S586" s="4"/>
    </row>
    <row x14ac:dyDescent="0.25" r="587" customHeight="1" ht="12.75">
      <c r="A587" s="4"/>
      <c r="B587" s="29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29"/>
      <c r="N587" s="29"/>
      <c r="O587" s="29"/>
      <c r="P587" s="32"/>
      <c r="Q587" s="32"/>
      <c r="R587" s="4"/>
      <c r="S587" s="4"/>
    </row>
    <row x14ac:dyDescent="0.25" r="588" customHeight="1" ht="12.75">
      <c r="A588" s="4"/>
      <c r="B588" s="29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29"/>
      <c r="N588" s="29"/>
      <c r="O588" s="29"/>
      <c r="P588" s="32"/>
      <c r="Q588" s="32"/>
      <c r="R588" s="4"/>
      <c r="S588" s="4"/>
    </row>
    <row x14ac:dyDescent="0.25" r="589" customHeight="1" ht="12.75">
      <c r="A589" s="4"/>
      <c r="B589" s="29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29"/>
      <c r="N589" s="29"/>
      <c r="O589" s="29"/>
      <c r="P589" s="32"/>
      <c r="Q589" s="32"/>
      <c r="R589" s="4"/>
      <c r="S589" s="4"/>
    </row>
    <row x14ac:dyDescent="0.25" r="590" customHeight="1" ht="12.75">
      <c r="A590" s="4"/>
      <c r="B590" s="29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29"/>
      <c r="N590" s="29"/>
      <c r="O590" s="29"/>
      <c r="P590" s="32"/>
      <c r="Q590" s="32"/>
      <c r="R590" s="4"/>
      <c r="S590" s="4"/>
    </row>
    <row x14ac:dyDescent="0.25" r="591" customHeight="1" ht="12.75">
      <c r="A591" s="4"/>
      <c r="B591" s="29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29"/>
      <c r="N591" s="29"/>
      <c r="O591" s="29"/>
      <c r="P591" s="32"/>
      <c r="Q591" s="32"/>
      <c r="R591" s="4"/>
      <c r="S591" s="4"/>
    </row>
    <row x14ac:dyDescent="0.25" r="592" customHeight="1" ht="12.75">
      <c r="A592" s="4"/>
      <c r="B592" s="29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29"/>
      <c r="N592" s="29"/>
      <c r="O592" s="29"/>
      <c r="P592" s="32"/>
      <c r="Q592" s="32"/>
      <c r="R592" s="4"/>
      <c r="S592" s="4"/>
    </row>
    <row x14ac:dyDescent="0.25" r="593" customHeight="1" ht="12.75">
      <c r="A593" s="4"/>
      <c r="B593" s="29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29"/>
      <c r="N593" s="29"/>
      <c r="O593" s="29"/>
      <c r="P593" s="32"/>
      <c r="Q593" s="32"/>
      <c r="R593" s="4"/>
      <c r="S593" s="4"/>
    </row>
    <row x14ac:dyDescent="0.25" r="594" customHeight="1" ht="12.75">
      <c r="A594" s="4"/>
      <c r="B594" s="29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29"/>
      <c r="N594" s="29"/>
      <c r="O594" s="29"/>
      <c r="P594" s="32"/>
      <c r="Q594" s="32"/>
      <c r="R594" s="4"/>
      <c r="S594" s="4"/>
    </row>
    <row x14ac:dyDescent="0.25" r="595" customHeight="1" ht="12.75">
      <c r="A595" s="4"/>
      <c r="B595" s="29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29"/>
      <c r="N595" s="29"/>
      <c r="O595" s="29"/>
      <c r="P595" s="32"/>
      <c r="Q595" s="32"/>
      <c r="R595" s="4"/>
      <c r="S595" s="4"/>
    </row>
    <row x14ac:dyDescent="0.25" r="596" customHeight="1" ht="12.75">
      <c r="A596" s="4"/>
      <c r="B596" s="29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29"/>
      <c r="N596" s="29"/>
      <c r="O596" s="29"/>
      <c r="P596" s="32"/>
      <c r="Q596" s="32"/>
      <c r="R596" s="4"/>
      <c r="S596" s="4"/>
    </row>
    <row x14ac:dyDescent="0.25" r="597" customHeight="1" ht="12.75">
      <c r="A597" s="4"/>
      <c r="B597" s="29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29"/>
      <c r="N597" s="29"/>
      <c r="O597" s="29"/>
      <c r="P597" s="32"/>
      <c r="Q597" s="32"/>
      <c r="R597" s="4"/>
      <c r="S597" s="4"/>
    </row>
    <row x14ac:dyDescent="0.25" r="598" customHeight="1" ht="12.75">
      <c r="A598" s="4"/>
      <c r="B598" s="29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29"/>
      <c r="N598" s="29"/>
      <c r="O598" s="29"/>
      <c r="P598" s="32"/>
      <c r="Q598" s="32"/>
      <c r="R598" s="4"/>
      <c r="S598" s="4"/>
    </row>
    <row x14ac:dyDescent="0.25" r="599" customHeight="1" ht="12.75">
      <c r="A599" s="4"/>
      <c r="B599" s="29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29"/>
      <c r="N599" s="29"/>
      <c r="O599" s="29"/>
      <c r="P599" s="32"/>
      <c r="Q599" s="32"/>
      <c r="R599" s="4"/>
      <c r="S599" s="4"/>
    </row>
    <row x14ac:dyDescent="0.25" r="600" customHeight="1" ht="12.75">
      <c r="A600" s="4"/>
      <c r="B600" s="29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29"/>
      <c r="N600" s="29"/>
      <c r="O600" s="29"/>
      <c r="P600" s="32"/>
      <c r="Q600" s="32"/>
      <c r="R600" s="4"/>
      <c r="S600" s="4"/>
    </row>
    <row x14ac:dyDescent="0.25" r="601" customHeight="1" ht="12.75">
      <c r="A601" s="4"/>
      <c r="B601" s="29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29"/>
      <c r="N601" s="29"/>
      <c r="O601" s="29"/>
      <c r="P601" s="32"/>
      <c r="Q601" s="32"/>
      <c r="R601" s="4"/>
      <c r="S601" s="4"/>
    </row>
    <row x14ac:dyDescent="0.25" r="602" customHeight="1" ht="12.75">
      <c r="A602" s="4"/>
      <c r="B602" s="29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29"/>
      <c r="N602" s="29"/>
      <c r="O602" s="29"/>
      <c r="P602" s="32"/>
      <c r="Q602" s="32"/>
      <c r="R602" s="4"/>
      <c r="S602" s="4"/>
    </row>
    <row x14ac:dyDescent="0.25" r="603" customHeight="1" ht="12.75">
      <c r="A603" s="4"/>
      <c r="B603" s="29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29"/>
      <c r="N603" s="29"/>
      <c r="O603" s="29"/>
      <c r="P603" s="32"/>
      <c r="Q603" s="32"/>
      <c r="R603" s="4"/>
      <c r="S603" s="4"/>
    </row>
    <row x14ac:dyDescent="0.25" r="604" customHeight="1" ht="12.75">
      <c r="A604" s="4"/>
      <c r="B604" s="29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29"/>
      <c r="N604" s="29"/>
      <c r="O604" s="29"/>
      <c r="P604" s="32"/>
      <c r="Q604" s="32"/>
      <c r="R604" s="4"/>
      <c r="S604" s="4"/>
    </row>
    <row x14ac:dyDescent="0.25" r="605" customHeight="1" ht="12.75">
      <c r="A605" s="4"/>
      <c r="B605" s="29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29"/>
      <c r="N605" s="29"/>
      <c r="O605" s="29"/>
      <c r="P605" s="32"/>
      <c r="Q605" s="32"/>
      <c r="R605" s="4"/>
      <c r="S605" s="4"/>
    </row>
    <row x14ac:dyDescent="0.25" r="606" customHeight="1" ht="12.75">
      <c r="A606" s="4"/>
      <c r="B606" s="29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29"/>
      <c r="N606" s="29"/>
      <c r="O606" s="29"/>
      <c r="P606" s="32"/>
      <c r="Q606" s="32"/>
      <c r="R606" s="4"/>
      <c r="S606" s="4"/>
    </row>
    <row x14ac:dyDescent="0.25" r="607" customHeight="1" ht="12.75">
      <c r="A607" s="4"/>
      <c r="B607" s="29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29"/>
      <c r="N607" s="29"/>
      <c r="O607" s="29"/>
      <c r="P607" s="32"/>
      <c r="Q607" s="32"/>
      <c r="R607" s="4"/>
      <c r="S607" s="4"/>
    </row>
    <row x14ac:dyDescent="0.25" r="608" customHeight="1" ht="12.75">
      <c r="A608" s="4"/>
      <c r="B608" s="29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29"/>
      <c r="N608" s="29"/>
      <c r="O608" s="29"/>
      <c r="P608" s="32"/>
      <c r="Q608" s="32"/>
      <c r="R608" s="4"/>
      <c r="S608" s="4"/>
    </row>
    <row x14ac:dyDescent="0.25" r="609" customHeight="1" ht="12.75">
      <c r="A609" s="4"/>
      <c r="B609" s="29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29"/>
      <c r="N609" s="29"/>
      <c r="O609" s="29"/>
      <c r="P609" s="32"/>
      <c r="Q609" s="32"/>
      <c r="R609" s="4"/>
      <c r="S609" s="4"/>
    </row>
    <row x14ac:dyDescent="0.25" r="610" customHeight="1" ht="12.75">
      <c r="A610" s="4"/>
      <c r="B610" s="29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29"/>
      <c r="N610" s="29"/>
      <c r="O610" s="29"/>
      <c r="P610" s="32"/>
      <c r="Q610" s="32"/>
      <c r="R610" s="4"/>
      <c r="S610" s="4"/>
    </row>
    <row x14ac:dyDescent="0.25" r="611" customHeight="1" ht="12.75">
      <c r="A611" s="4"/>
      <c r="B611" s="29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29"/>
      <c r="N611" s="29"/>
      <c r="O611" s="29"/>
      <c r="P611" s="32"/>
      <c r="Q611" s="32"/>
      <c r="R611" s="4"/>
      <c r="S611" s="4"/>
    </row>
    <row x14ac:dyDescent="0.25" r="612" customHeight="1" ht="12.75">
      <c r="A612" s="4"/>
      <c r="B612" s="29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29"/>
      <c r="N612" s="29"/>
      <c r="O612" s="29"/>
      <c r="P612" s="32"/>
      <c r="Q612" s="32"/>
      <c r="R612" s="4"/>
      <c r="S612" s="4"/>
    </row>
    <row x14ac:dyDescent="0.25" r="613" customHeight="1" ht="12.75">
      <c r="A613" s="4"/>
      <c r="B613" s="29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29"/>
      <c r="N613" s="29"/>
      <c r="O613" s="29"/>
      <c r="P613" s="32"/>
      <c r="Q613" s="32"/>
      <c r="R613" s="4"/>
      <c r="S613" s="4"/>
    </row>
    <row x14ac:dyDescent="0.25" r="614" customHeight="1" ht="12.75">
      <c r="A614" s="4"/>
      <c r="B614" s="29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29"/>
      <c r="N614" s="29"/>
      <c r="O614" s="29"/>
      <c r="P614" s="32"/>
      <c r="Q614" s="32"/>
      <c r="R614" s="4"/>
      <c r="S614" s="4"/>
    </row>
    <row x14ac:dyDescent="0.25" r="615" customHeight="1" ht="12.75">
      <c r="A615" s="4"/>
      <c r="B615" s="29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29"/>
      <c r="N615" s="29"/>
      <c r="O615" s="29"/>
      <c r="P615" s="32"/>
      <c r="Q615" s="32"/>
      <c r="R615" s="4"/>
      <c r="S615" s="4"/>
    </row>
    <row x14ac:dyDescent="0.25" r="616" customHeight="1" ht="12.75">
      <c r="A616" s="4"/>
      <c r="B616" s="29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29"/>
      <c r="N616" s="29"/>
      <c r="O616" s="29"/>
      <c r="P616" s="32"/>
      <c r="Q616" s="32"/>
      <c r="R616" s="4"/>
      <c r="S616" s="4"/>
    </row>
    <row x14ac:dyDescent="0.25" r="617" customHeight="1" ht="12.75">
      <c r="A617" s="4"/>
      <c r="B617" s="29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29"/>
      <c r="N617" s="29"/>
      <c r="O617" s="29"/>
      <c r="P617" s="32"/>
      <c r="Q617" s="32"/>
      <c r="R617" s="4"/>
      <c r="S617" s="4"/>
    </row>
    <row x14ac:dyDescent="0.25" r="618" customHeight="1" ht="12.75">
      <c r="A618" s="4"/>
      <c r="B618" s="29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29"/>
      <c r="N618" s="29"/>
      <c r="O618" s="29"/>
      <c r="P618" s="32"/>
      <c r="Q618" s="32"/>
      <c r="R618" s="4"/>
      <c r="S618" s="4"/>
    </row>
    <row x14ac:dyDescent="0.25" r="619" customHeight="1" ht="12.75">
      <c r="A619" s="4"/>
      <c r="B619" s="29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29"/>
      <c r="N619" s="29"/>
      <c r="O619" s="29"/>
      <c r="P619" s="32"/>
      <c r="Q619" s="32"/>
      <c r="R619" s="4"/>
      <c r="S619" s="4"/>
    </row>
    <row x14ac:dyDescent="0.25" r="620" customHeight="1" ht="12.75">
      <c r="A620" s="4"/>
      <c r="B620" s="29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29"/>
      <c r="N620" s="29"/>
      <c r="O620" s="29"/>
      <c r="P620" s="32"/>
      <c r="Q620" s="32"/>
      <c r="R620" s="4"/>
      <c r="S620" s="4"/>
    </row>
    <row x14ac:dyDescent="0.25" r="621" customHeight="1" ht="12.75">
      <c r="A621" s="4"/>
      <c r="B621" s="29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29"/>
      <c r="N621" s="29"/>
      <c r="O621" s="29"/>
      <c r="P621" s="32"/>
      <c r="Q621" s="32"/>
      <c r="R621" s="4"/>
      <c r="S621" s="4"/>
    </row>
    <row x14ac:dyDescent="0.25" r="622" customHeight="1" ht="12.75">
      <c r="A622" s="4"/>
      <c r="B622" s="29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29"/>
      <c r="N622" s="29"/>
      <c r="O622" s="29"/>
      <c r="P622" s="32"/>
      <c r="Q622" s="32"/>
      <c r="R622" s="4"/>
      <c r="S622" s="4"/>
    </row>
    <row x14ac:dyDescent="0.25" r="623" customHeight="1" ht="12.75">
      <c r="A623" s="4"/>
      <c r="B623" s="29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29"/>
      <c r="N623" s="29"/>
      <c r="O623" s="29"/>
      <c r="P623" s="32"/>
      <c r="Q623" s="32"/>
      <c r="R623" s="4"/>
      <c r="S623" s="4"/>
    </row>
    <row x14ac:dyDescent="0.25" r="624" customHeight="1" ht="12.75">
      <c r="A624" s="4"/>
      <c r="B624" s="29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29"/>
      <c r="N624" s="29"/>
      <c r="O624" s="29"/>
      <c r="P624" s="32"/>
      <c r="Q624" s="32"/>
      <c r="R624" s="4"/>
      <c r="S624" s="4"/>
    </row>
    <row x14ac:dyDescent="0.25" r="625" customHeight="1" ht="12.75">
      <c r="A625" s="4"/>
      <c r="B625" s="29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29"/>
      <c r="N625" s="29"/>
      <c r="O625" s="29"/>
      <c r="P625" s="32"/>
      <c r="Q625" s="32"/>
      <c r="R625" s="4"/>
      <c r="S625" s="4"/>
    </row>
    <row x14ac:dyDescent="0.25" r="626" customHeight="1" ht="12.75">
      <c r="A626" s="4"/>
      <c r="B626" s="29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29"/>
      <c r="N626" s="29"/>
      <c r="O626" s="29"/>
      <c r="P626" s="32"/>
      <c r="Q626" s="32"/>
      <c r="R626" s="4"/>
      <c r="S626" s="4"/>
    </row>
    <row x14ac:dyDescent="0.25" r="627" customHeight="1" ht="12.75">
      <c r="A627" s="4"/>
      <c r="B627" s="29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29"/>
      <c r="N627" s="29"/>
      <c r="O627" s="29"/>
      <c r="P627" s="32"/>
      <c r="Q627" s="32"/>
      <c r="R627" s="4"/>
      <c r="S627" s="4"/>
    </row>
    <row x14ac:dyDescent="0.25" r="628" customHeight="1" ht="12.75">
      <c r="A628" s="4"/>
      <c r="B628" s="29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29"/>
      <c r="N628" s="29"/>
      <c r="O628" s="29"/>
      <c r="P628" s="32"/>
      <c r="Q628" s="32"/>
      <c r="R628" s="4"/>
      <c r="S628" s="4"/>
    </row>
    <row x14ac:dyDescent="0.25" r="629" customHeight="1" ht="12.75">
      <c r="A629" s="4"/>
      <c r="B629" s="29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29"/>
      <c r="N629" s="29"/>
      <c r="O629" s="29"/>
      <c r="P629" s="32"/>
      <c r="Q629" s="32"/>
      <c r="R629" s="4"/>
      <c r="S629" s="4"/>
    </row>
    <row x14ac:dyDescent="0.25" r="630" customHeight="1" ht="12.75">
      <c r="A630" s="4"/>
      <c r="B630" s="29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29"/>
      <c r="N630" s="29"/>
      <c r="O630" s="29"/>
      <c r="P630" s="32"/>
      <c r="Q630" s="32"/>
      <c r="R630" s="4"/>
      <c r="S630" s="4"/>
    </row>
    <row x14ac:dyDescent="0.25" r="631" customHeight="1" ht="12.75">
      <c r="A631" s="4"/>
      <c r="B631" s="29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29"/>
      <c r="N631" s="29"/>
      <c r="O631" s="29"/>
      <c r="P631" s="32"/>
      <c r="Q631" s="32"/>
      <c r="R631" s="4"/>
      <c r="S631" s="4"/>
    </row>
    <row x14ac:dyDescent="0.25" r="632" customHeight="1" ht="12.75">
      <c r="A632" s="4"/>
      <c r="B632" s="29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29"/>
      <c r="N632" s="29"/>
      <c r="O632" s="29"/>
      <c r="P632" s="32"/>
      <c r="Q632" s="32"/>
      <c r="R632" s="4"/>
      <c r="S632" s="4"/>
    </row>
    <row x14ac:dyDescent="0.25" r="633" customHeight="1" ht="12.75">
      <c r="A633" s="4"/>
      <c r="B633" s="29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29"/>
      <c r="N633" s="29"/>
      <c r="O633" s="29"/>
      <c r="P633" s="32"/>
      <c r="Q633" s="32"/>
      <c r="R633" s="4"/>
      <c r="S633" s="4"/>
    </row>
    <row x14ac:dyDescent="0.25" r="634" customHeight="1" ht="12.75">
      <c r="A634" s="4"/>
      <c r="B634" s="29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29"/>
      <c r="N634" s="29"/>
      <c r="O634" s="29"/>
      <c r="P634" s="32"/>
      <c r="Q634" s="32"/>
      <c r="R634" s="4"/>
      <c r="S634" s="4"/>
    </row>
    <row x14ac:dyDescent="0.25" r="635" customHeight="1" ht="12.75">
      <c r="A635" s="4"/>
      <c r="B635" s="29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29"/>
      <c r="N635" s="29"/>
      <c r="O635" s="29"/>
      <c r="P635" s="32"/>
      <c r="Q635" s="32"/>
      <c r="R635" s="4"/>
      <c r="S635" s="4"/>
    </row>
    <row x14ac:dyDescent="0.25" r="636" customHeight="1" ht="12.75">
      <c r="A636" s="4"/>
      <c r="B636" s="29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29"/>
      <c r="N636" s="29"/>
      <c r="O636" s="29"/>
      <c r="P636" s="32"/>
      <c r="Q636" s="32"/>
      <c r="R636" s="4"/>
      <c r="S636" s="4"/>
    </row>
    <row x14ac:dyDescent="0.25" r="637" customHeight="1" ht="12.75">
      <c r="A637" s="4"/>
      <c r="B637" s="29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29"/>
      <c r="N637" s="29"/>
      <c r="O637" s="29"/>
      <c r="P637" s="32"/>
      <c r="Q637" s="32"/>
      <c r="R637" s="4"/>
      <c r="S637" s="4"/>
    </row>
    <row x14ac:dyDescent="0.25" r="638" customHeight="1" ht="12.75">
      <c r="A638" s="4"/>
      <c r="B638" s="29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29"/>
      <c r="N638" s="29"/>
      <c r="O638" s="29"/>
      <c r="P638" s="32"/>
      <c r="Q638" s="32"/>
      <c r="R638" s="4"/>
      <c r="S638" s="4"/>
    </row>
    <row x14ac:dyDescent="0.25" r="639" customHeight="1" ht="12.75">
      <c r="A639" s="4"/>
      <c r="B639" s="29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29"/>
      <c r="N639" s="29"/>
      <c r="O639" s="29"/>
      <c r="P639" s="32"/>
      <c r="Q639" s="32"/>
      <c r="R639" s="4"/>
      <c r="S639" s="4"/>
    </row>
    <row x14ac:dyDescent="0.25" r="640" customHeight="1" ht="12.75">
      <c r="A640" s="4"/>
      <c r="B640" s="29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29"/>
      <c r="N640" s="29"/>
      <c r="O640" s="29"/>
      <c r="P640" s="32"/>
      <c r="Q640" s="32"/>
      <c r="R640" s="4"/>
      <c r="S640" s="4"/>
    </row>
    <row x14ac:dyDescent="0.25" r="641" customHeight="1" ht="12.75">
      <c r="A641" s="4"/>
      <c r="B641" s="29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29"/>
      <c r="N641" s="29"/>
      <c r="O641" s="29"/>
      <c r="P641" s="32"/>
      <c r="Q641" s="32"/>
      <c r="R641" s="4"/>
      <c r="S641" s="4"/>
    </row>
    <row x14ac:dyDescent="0.25" r="642" customHeight="1" ht="12.75">
      <c r="A642" s="4"/>
      <c r="B642" s="29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29"/>
      <c r="N642" s="29"/>
      <c r="O642" s="29"/>
      <c r="P642" s="32"/>
      <c r="Q642" s="32"/>
      <c r="R642" s="4"/>
      <c r="S642" s="4"/>
    </row>
    <row x14ac:dyDescent="0.25" r="643" customHeight="1" ht="12.75">
      <c r="A643" s="4"/>
      <c r="B643" s="29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29"/>
      <c r="N643" s="29"/>
      <c r="O643" s="29"/>
      <c r="P643" s="32"/>
      <c r="Q643" s="32"/>
      <c r="R643" s="4"/>
      <c r="S643" s="4"/>
    </row>
    <row x14ac:dyDescent="0.25" r="644" customHeight="1" ht="12.75">
      <c r="A644" s="4"/>
      <c r="B644" s="29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29"/>
      <c r="N644" s="29"/>
      <c r="O644" s="29"/>
      <c r="P644" s="32"/>
      <c r="Q644" s="32"/>
      <c r="R644" s="4"/>
      <c r="S644" s="4"/>
    </row>
    <row x14ac:dyDescent="0.25" r="645" customHeight="1" ht="12.75">
      <c r="A645" s="4"/>
      <c r="B645" s="29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29"/>
      <c r="N645" s="29"/>
      <c r="O645" s="29"/>
      <c r="P645" s="32"/>
      <c r="Q645" s="32"/>
      <c r="R645" s="4"/>
      <c r="S645" s="4"/>
    </row>
    <row x14ac:dyDescent="0.25" r="646" customHeight="1" ht="12.75">
      <c r="A646" s="4"/>
      <c r="B646" s="29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29"/>
      <c r="N646" s="29"/>
      <c r="O646" s="29"/>
      <c r="P646" s="32"/>
      <c r="Q646" s="32"/>
      <c r="R646" s="4"/>
      <c r="S646" s="4"/>
    </row>
    <row x14ac:dyDescent="0.25" r="647" customHeight="1" ht="12.75">
      <c r="A647" s="4"/>
      <c r="B647" s="29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29"/>
      <c r="N647" s="29"/>
      <c r="O647" s="29"/>
      <c r="P647" s="32"/>
      <c r="Q647" s="32"/>
      <c r="R647" s="4"/>
      <c r="S647" s="4"/>
    </row>
    <row x14ac:dyDescent="0.25" r="648" customHeight="1" ht="12.75">
      <c r="A648" s="4"/>
      <c r="B648" s="29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29"/>
      <c r="N648" s="29"/>
      <c r="O648" s="29"/>
      <c r="P648" s="32"/>
      <c r="Q648" s="32"/>
      <c r="R648" s="4"/>
      <c r="S648" s="4"/>
    </row>
    <row x14ac:dyDescent="0.25" r="649" customHeight="1" ht="12.75">
      <c r="A649" s="4"/>
      <c r="B649" s="29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29"/>
      <c r="N649" s="29"/>
      <c r="O649" s="29"/>
      <c r="P649" s="32"/>
      <c r="Q649" s="32"/>
      <c r="R649" s="4"/>
      <c r="S649" s="4"/>
    </row>
    <row x14ac:dyDescent="0.25" r="650" customHeight="1" ht="12.75">
      <c r="A650" s="4"/>
      <c r="B650" s="29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29"/>
      <c r="N650" s="29"/>
      <c r="O650" s="29"/>
      <c r="P650" s="32"/>
      <c r="Q650" s="32"/>
      <c r="R650" s="4"/>
      <c r="S650" s="4"/>
    </row>
    <row x14ac:dyDescent="0.25" r="651" customHeight="1" ht="12.75">
      <c r="A651" s="4"/>
      <c r="B651" s="29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29"/>
      <c r="N651" s="29"/>
      <c r="O651" s="29"/>
      <c r="P651" s="32"/>
      <c r="Q651" s="32"/>
      <c r="R651" s="4"/>
      <c r="S651" s="4"/>
    </row>
    <row x14ac:dyDescent="0.25" r="652" customHeight="1" ht="12.75">
      <c r="A652" s="4"/>
      <c r="B652" s="29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29"/>
      <c r="N652" s="29"/>
      <c r="O652" s="29"/>
      <c r="P652" s="32"/>
      <c r="Q652" s="32"/>
      <c r="R652" s="4"/>
      <c r="S652" s="4"/>
    </row>
    <row x14ac:dyDescent="0.25" r="653" customHeight="1" ht="12.75">
      <c r="A653" s="4"/>
      <c r="B653" s="29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29"/>
      <c r="N653" s="29"/>
      <c r="O653" s="29"/>
      <c r="P653" s="32"/>
      <c r="Q653" s="32"/>
      <c r="R653" s="4"/>
      <c r="S653" s="4"/>
    </row>
    <row x14ac:dyDescent="0.25" r="654" customHeight="1" ht="12.75">
      <c r="A654" s="4"/>
      <c r="B654" s="29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29"/>
      <c r="N654" s="29"/>
      <c r="O654" s="29"/>
      <c r="P654" s="32"/>
      <c r="Q654" s="32"/>
      <c r="R654" s="4"/>
      <c r="S654" s="4"/>
    </row>
    <row x14ac:dyDescent="0.25" r="655" customHeight="1" ht="12.75">
      <c r="A655" s="4"/>
      <c r="B655" s="29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29"/>
      <c r="N655" s="29"/>
      <c r="O655" s="29"/>
      <c r="P655" s="32"/>
      <c r="Q655" s="32"/>
      <c r="R655" s="4"/>
      <c r="S655" s="4"/>
    </row>
    <row x14ac:dyDescent="0.25" r="656" customHeight="1" ht="12.75">
      <c r="A656" s="4"/>
      <c r="B656" s="29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29"/>
      <c r="N656" s="29"/>
      <c r="O656" s="29"/>
      <c r="P656" s="32"/>
      <c r="Q656" s="32"/>
      <c r="R656" s="4"/>
      <c r="S656" s="4"/>
    </row>
    <row x14ac:dyDescent="0.25" r="657" customHeight="1" ht="12.75">
      <c r="A657" s="4"/>
      <c r="B657" s="29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29"/>
      <c r="N657" s="29"/>
      <c r="O657" s="29"/>
      <c r="P657" s="32"/>
      <c r="Q657" s="32"/>
      <c r="R657" s="4"/>
      <c r="S657" s="4"/>
    </row>
    <row x14ac:dyDescent="0.25" r="658" customHeight="1" ht="12.75">
      <c r="A658" s="4"/>
      <c r="B658" s="29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29"/>
      <c r="N658" s="29"/>
      <c r="O658" s="29"/>
      <c r="P658" s="32"/>
      <c r="Q658" s="32"/>
      <c r="R658" s="4"/>
      <c r="S658" s="4"/>
    </row>
    <row x14ac:dyDescent="0.25" r="659" customHeight="1" ht="12.75">
      <c r="A659" s="4"/>
      <c r="B659" s="29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29"/>
      <c r="N659" s="29"/>
      <c r="O659" s="29"/>
      <c r="P659" s="32"/>
      <c r="Q659" s="32"/>
      <c r="R659" s="4"/>
      <c r="S659" s="4"/>
    </row>
    <row x14ac:dyDescent="0.25" r="660" customHeight="1" ht="12.75">
      <c r="A660" s="4"/>
      <c r="B660" s="29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29"/>
      <c r="N660" s="29"/>
      <c r="O660" s="29"/>
      <c r="P660" s="32"/>
      <c r="Q660" s="32"/>
      <c r="R660" s="4"/>
      <c r="S660" s="4"/>
    </row>
    <row x14ac:dyDescent="0.25" r="661" customHeight="1" ht="12.75">
      <c r="A661" s="4"/>
      <c r="B661" s="29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29"/>
      <c r="N661" s="29"/>
      <c r="O661" s="29"/>
      <c r="P661" s="32"/>
      <c r="Q661" s="32"/>
      <c r="R661" s="4"/>
      <c r="S661" s="4"/>
    </row>
    <row x14ac:dyDescent="0.25" r="662" customHeight="1" ht="12.75">
      <c r="A662" s="4"/>
      <c r="B662" s="29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29"/>
      <c r="N662" s="29"/>
      <c r="O662" s="29"/>
      <c r="P662" s="32"/>
      <c r="Q662" s="32"/>
      <c r="R662" s="4"/>
      <c r="S662" s="4"/>
    </row>
    <row x14ac:dyDescent="0.25" r="663" customHeight="1" ht="12.75">
      <c r="A663" s="4"/>
      <c r="B663" s="29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29"/>
      <c r="N663" s="29"/>
      <c r="O663" s="29"/>
      <c r="P663" s="32"/>
      <c r="Q663" s="32"/>
      <c r="R663" s="4"/>
      <c r="S663" s="4"/>
    </row>
    <row x14ac:dyDescent="0.25" r="664" customHeight="1" ht="12.75">
      <c r="A664" s="4"/>
      <c r="B664" s="29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29"/>
      <c r="N664" s="29"/>
      <c r="O664" s="29"/>
      <c r="P664" s="32"/>
      <c r="Q664" s="32"/>
      <c r="R664" s="4"/>
      <c r="S664" s="4"/>
    </row>
    <row x14ac:dyDescent="0.25" r="665" customHeight="1" ht="12.75">
      <c r="A665" s="4"/>
      <c r="B665" s="29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29"/>
      <c r="N665" s="29"/>
      <c r="O665" s="29"/>
      <c r="P665" s="32"/>
      <c r="Q665" s="32"/>
      <c r="R665" s="4"/>
      <c r="S665" s="4"/>
    </row>
    <row x14ac:dyDescent="0.25" r="666" customHeight="1" ht="12.75">
      <c r="A666" s="4"/>
      <c r="B666" s="29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29"/>
      <c r="N666" s="29"/>
      <c r="O666" s="29"/>
      <c r="P666" s="32"/>
      <c r="Q666" s="32"/>
      <c r="R666" s="4"/>
      <c r="S666" s="4"/>
    </row>
    <row x14ac:dyDescent="0.25" r="667" customHeight="1" ht="12.75">
      <c r="A667" s="4"/>
      <c r="B667" s="29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29"/>
      <c r="N667" s="29"/>
      <c r="O667" s="29"/>
      <c r="P667" s="32"/>
      <c r="Q667" s="32"/>
      <c r="R667" s="4"/>
      <c r="S667" s="4"/>
    </row>
    <row x14ac:dyDescent="0.25" r="668" customHeight="1" ht="12.75">
      <c r="A668" s="4"/>
      <c r="B668" s="29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29"/>
      <c r="N668" s="29"/>
      <c r="O668" s="29"/>
      <c r="P668" s="32"/>
      <c r="Q668" s="32"/>
      <c r="R668" s="4"/>
      <c r="S668" s="4"/>
    </row>
    <row x14ac:dyDescent="0.25" r="669" customHeight="1" ht="12.75">
      <c r="A669" s="4"/>
      <c r="B669" s="29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29"/>
      <c r="N669" s="29"/>
      <c r="O669" s="29"/>
      <c r="P669" s="32"/>
      <c r="Q669" s="32"/>
      <c r="R669" s="4"/>
      <c r="S669" s="4"/>
    </row>
    <row x14ac:dyDescent="0.25" r="670" customHeight="1" ht="12.75">
      <c r="A670" s="4"/>
      <c r="B670" s="29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29"/>
      <c r="N670" s="29"/>
      <c r="O670" s="29"/>
      <c r="P670" s="32"/>
      <c r="Q670" s="32"/>
      <c r="R670" s="4"/>
      <c r="S670" s="4"/>
    </row>
    <row x14ac:dyDescent="0.25" r="671" customHeight="1" ht="12.75">
      <c r="A671" s="4"/>
      <c r="B671" s="29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29"/>
      <c r="N671" s="29"/>
      <c r="O671" s="29"/>
      <c r="P671" s="32"/>
      <c r="Q671" s="32"/>
      <c r="R671" s="4"/>
      <c r="S671" s="4"/>
    </row>
    <row x14ac:dyDescent="0.25" r="672" customHeight="1" ht="12.75">
      <c r="A672" s="4"/>
      <c r="B672" s="29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29"/>
      <c r="N672" s="29"/>
      <c r="O672" s="29"/>
      <c r="P672" s="32"/>
      <c r="Q672" s="32"/>
      <c r="R672" s="4"/>
      <c r="S672" s="4"/>
    </row>
    <row x14ac:dyDescent="0.25" r="673" customHeight="1" ht="12.75">
      <c r="A673" s="4"/>
      <c r="B673" s="29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29"/>
      <c r="N673" s="29"/>
      <c r="O673" s="29"/>
      <c r="P673" s="32"/>
      <c r="Q673" s="32"/>
      <c r="R673" s="4"/>
      <c r="S673" s="4"/>
    </row>
    <row x14ac:dyDescent="0.25" r="674" customHeight="1" ht="12.75">
      <c r="A674" s="4"/>
      <c r="B674" s="29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29"/>
      <c r="N674" s="29"/>
      <c r="O674" s="29"/>
      <c r="P674" s="32"/>
      <c r="Q674" s="32"/>
      <c r="R674" s="4"/>
      <c r="S674" s="4"/>
    </row>
    <row x14ac:dyDescent="0.25" r="675" customHeight="1" ht="12.75">
      <c r="A675" s="4"/>
      <c r="B675" s="29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29"/>
      <c r="N675" s="29"/>
      <c r="O675" s="29"/>
      <c r="P675" s="32"/>
      <c r="Q675" s="32"/>
      <c r="R675" s="4"/>
      <c r="S675" s="4"/>
    </row>
    <row x14ac:dyDescent="0.25" r="676" customHeight="1" ht="12.75">
      <c r="A676" s="4"/>
      <c r="B676" s="29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29"/>
      <c r="N676" s="29"/>
      <c r="O676" s="29"/>
      <c r="P676" s="32"/>
      <c r="Q676" s="32"/>
      <c r="R676" s="4"/>
      <c r="S676" s="4"/>
    </row>
    <row x14ac:dyDescent="0.25" r="677" customHeight="1" ht="12.75">
      <c r="A677" s="4"/>
      <c r="B677" s="29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29"/>
      <c r="N677" s="29"/>
      <c r="O677" s="29"/>
      <c r="P677" s="32"/>
      <c r="Q677" s="32"/>
      <c r="R677" s="4"/>
      <c r="S677" s="4"/>
    </row>
    <row x14ac:dyDescent="0.25" r="678" customHeight="1" ht="12.75">
      <c r="A678" s="4"/>
      <c r="B678" s="29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29"/>
      <c r="N678" s="29"/>
      <c r="O678" s="29"/>
      <c r="P678" s="32"/>
      <c r="Q678" s="32"/>
      <c r="R678" s="4"/>
      <c r="S678" s="4"/>
    </row>
    <row x14ac:dyDescent="0.25" r="679" customHeight="1" ht="12.75">
      <c r="A679" s="4"/>
      <c r="B679" s="29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29"/>
      <c r="N679" s="29"/>
      <c r="O679" s="29"/>
      <c r="P679" s="32"/>
      <c r="Q679" s="32"/>
      <c r="R679" s="4"/>
      <c r="S679" s="4"/>
    </row>
    <row x14ac:dyDescent="0.25" r="680" customHeight="1" ht="12.75">
      <c r="A680" s="4"/>
      <c r="B680" s="29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29"/>
      <c r="N680" s="29"/>
      <c r="O680" s="29"/>
      <c r="P680" s="32"/>
      <c r="Q680" s="32"/>
      <c r="R680" s="4"/>
      <c r="S680" s="4"/>
    </row>
    <row x14ac:dyDescent="0.25" r="681" customHeight="1" ht="12.75">
      <c r="A681" s="4"/>
      <c r="B681" s="29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29"/>
      <c r="N681" s="29"/>
      <c r="O681" s="29"/>
      <c r="P681" s="32"/>
      <c r="Q681" s="32"/>
      <c r="R681" s="4"/>
      <c r="S681" s="4"/>
    </row>
    <row x14ac:dyDescent="0.25" r="682" customHeight="1" ht="12.75">
      <c r="A682" s="4"/>
      <c r="B682" s="29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29"/>
      <c r="N682" s="29"/>
      <c r="O682" s="29"/>
      <c r="P682" s="32"/>
      <c r="Q682" s="32"/>
      <c r="R682" s="4"/>
      <c r="S682" s="4"/>
    </row>
    <row x14ac:dyDescent="0.25" r="683" customHeight="1" ht="12.75">
      <c r="A683" s="4"/>
      <c r="B683" s="29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29"/>
      <c r="N683" s="29"/>
      <c r="O683" s="29"/>
      <c r="P683" s="32"/>
      <c r="Q683" s="32"/>
      <c r="R683" s="4"/>
      <c r="S683" s="4"/>
    </row>
    <row x14ac:dyDescent="0.25" r="684" customHeight="1" ht="12.75">
      <c r="A684" s="4"/>
      <c r="B684" s="29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29"/>
      <c r="N684" s="29"/>
      <c r="O684" s="29"/>
      <c r="P684" s="32"/>
      <c r="Q684" s="32"/>
      <c r="R684" s="4"/>
      <c r="S684" s="4"/>
    </row>
    <row x14ac:dyDescent="0.25" r="685" customHeight="1" ht="12.75">
      <c r="A685" s="4"/>
      <c r="B685" s="29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29"/>
      <c r="N685" s="29"/>
      <c r="O685" s="29"/>
      <c r="P685" s="32"/>
      <c r="Q685" s="32"/>
      <c r="R685" s="4"/>
      <c r="S685" s="4"/>
    </row>
    <row x14ac:dyDescent="0.25" r="686" customHeight="1" ht="12.75">
      <c r="A686" s="4"/>
      <c r="B686" s="29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29"/>
      <c r="N686" s="29"/>
      <c r="O686" s="29"/>
      <c r="P686" s="32"/>
      <c r="Q686" s="32"/>
      <c r="R686" s="4"/>
      <c r="S686" s="4"/>
    </row>
    <row x14ac:dyDescent="0.25" r="687" customHeight="1" ht="12.75">
      <c r="A687" s="4"/>
      <c r="B687" s="29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29"/>
      <c r="N687" s="29"/>
      <c r="O687" s="29"/>
      <c r="P687" s="32"/>
      <c r="Q687" s="32"/>
      <c r="R687" s="4"/>
      <c r="S687" s="4"/>
    </row>
    <row x14ac:dyDescent="0.25" r="688" customHeight="1" ht="12.75">
      <c r="A688" s="4"/>
      <c r="B688" s="29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29"/>
      <c r="N688" s="29"/>
      <c r="O688" s="29"/>
      <c r="P688" s="32"/>
      <c r="Q688" s="32"/>
      <c r="R688" s="4"/>
      <c r="S688" s="4"/>
    </row>
    <row x14ac:dyDescent="0.25" r="689" customHeight="1" ht="12.75">
      <c r="A689" s="4"/>
      <c r="B689" s="29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29"/>
      <c r="N689" s="29"/>
      <c r="O689" s="29"/>
      <c r="P689" s="32"/>
      <c r="Q689" s="32"/>
      <c r="R689" s="4"/>
      <c r="S689" s="4"/>
    </row>
    <row x14ac:dyDescent="0.25" r="690" customHeight="1" ht="12.75">
      <c r="A690" s="4"/>
      <c r="B690" s="29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29"/>
      <c r="N690" s="29"/>
      <c r="O690" s="29"/>
      <c r="P690" s="32"/>
      <c r="Q690" s="32"/>
      <c r="R690" s="4"/>
      <c r="S690" s="4"/>
    </row>
    <row x14ac:dyDescent="0.25" r="691" customHeight="1" ht="12.75">
      <c r="A691" s="4"/>
      <c r="B691" s="29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29"/>
      <c r="N691" s="29"/>
      <c r="O691" s="29"/>
      <c r="P691" s="32"/>
      <c r="Q691" s="32"/>
      <c r="R691" s="4"/>
      <c r="S691" s="4"/>
    </row>
    <row x14ac:dyDescent="0.25" r="692" customHeight="1" ht="12.75">
      <c r="A692" s="4"/>
      <c r="B692" s="29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29"/>
      <c r="N692" s="29"/>
      <c r="O692" s="29"/>
      <c r="P692" s="32"/>
      <c r="Q692" s="32"/>
      <c r="R692" s="4"/>
      <c r="S692" s="4"/>
    </row>
    <row x14ac:dyDescent="0.25" r="693" customHeight="1" ht="12.75">
      <c r="A693" s="4"/>
      <c r="B693" s="29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29"/>
      <c r="N693" s="29"/>
      <c r="O693" s="29"/>
      <c r="P693" s="32"/>
      <c r="Q693" s="32"/>
      <c r="R693" s="4"/>
      <c r="S693" s="4"/>
    </row>
    <row x14ac:dyDescent="0.25" r="694" customHeight="1" ht="12.75">
      <c r="A694" s="4"/>
      <c r="B694" s="29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29"/>
      <c r="N694" s="29"/>
      <c r="O694" s="29"/>
      <c r="P694" s="32"/>
      <c r="Q694" s="32"/>
      <c r="R694" s="4"/>
      <c r="S694" s="4"/>
    </row>
    <row x14ac:dyDescent="0.25" r="695" customHeight="1" ht="12.75">
      <c r="A695" s="4"/>
      <c r="B695" s="29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29"/>
      <c r="N695" s="29"/>
      <c r="O695" s="29"/>
      <c r="P695" s="32"/>
      <c r="Q695" s="32"/>
      <c r="R695" s="4"/>
      <c r="S695" s="4"/>
    </row>
    <row x14ac:dyDescent="0.25" r="696" customHeight="1" ht="12.75">
      <c r="A696" s="4"/>
      <c r="B696" s="29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29"/>
      <c r="N696" s="29"/>
      <c r="O696" s="29"/>
      <c r="P696" s="32"/>
      <c r="Q696" s="32"/>
      <c r="R696" s="4"/>
      <c r="S696" s="4"/>
    </row>
    <row x14ac:dyDescent="0.25" r="697" customHeight="1" ht="12.75">
      <c r="A697" s="4"/>
      <c r="B697" s="29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29"/>
      <c r="N697" s="29"/>
      <c r="O697" s="29"/>
      <c r="P697" s="32"/>
      <c r="Q697" s="32"/>
      <c r="R697" s="4"/>
      <c r="S697" s="4"/>
    </row>
    <row x14ac:dyDescent="0.25" r="698" customHeight="1" ht="12.75">
      <c r="A698" s="4"/>
      <c r="B698" s="29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29"/>
      <c r="N698" s="29"/>
      <c r="O698" s="29"/>
      <c r="P698" s="32"/>
      <c r="Q698" s="32"/>
      <c r="R698" s="4"/>
      <c r="S698" s="4"/>
    </row>
    <row x14ac:dyDescent="0.25" r="699" customHeight="1" ht="12.75">
      <c r="A699" s="4"/>
      <c r="B699" s="29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29"/>
      <c r="N699" s="29"/>
      <c r="O699" s="29"/>
      <c r="P699" s="32"/>
      <c r="Q699" s="32"/>
      <c r="R699" s="4"/>
      <c r="S699" s="4"/>
    </row>
    <row x14ac:dyDescent="0.25" r="700" customHeight="1" ht="12.75">
      <c r="A700" s="4"/>
      <c r="B700" s="29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29"/>
      <c r="N700" s="29"/>
      <c r="O700" s="29"/>
      <c r="P700" s="32"/>
      <c r="Q700" s="32"/>
      <c r="R700" s="4"/>
      <c r="S700" s="4"/>
    </row>
    <row x14ac:dyDescent="0.25" r="701" customHeight="1" ht="12.75">
      <c r="A701" s="4"/>
      <c r="B701" s="29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29"/>
      <c r="N701" s="29"/>
      <c r="O701" s="29"/>
      <c r="P701" s="32"/>
      <c r="Q701" s="32"/>
      <c r="R701" s="4"/>
      <c r="S701" s="4"/>
    </row>
    <row x14ac:dyDescent="0.25" r="702" customHeight="1" ht="12.75">
      <c r="A702" s="4"/>
      <c r="B702" s="29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29"/>
      <c r="N702" s="29"/>
      <c r="O702" s="29"/>
      <c r="P702" s="32"/>
      <c r="Q702" s="32"/>
      <c r="R702" s="4"/>
      <c r="S702" s="4"/>
    </row>
    <row x14ac:dyDescent="0.25" r="703" customHeight="1" ht="12.75">
      <c r="A703" s="4"/>
      <c r="B703" s="29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29"/>
      <c r="N703" s="29"/>
      <c r="O703" s="29"/>
      <c r="P703" s="32"/>
      <c r="Q703" s="32"/>
      <c r="R703" s="4"/>
      <c r="S703" s="4"/>
    </row>
    <row x14ac:dyDescent="0.25" r="704" customHeight="1" ht="12.75">
      <c r="A704" s="4"/>
      <c r="B704" s="29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29"/>
      <c r="N704" s="29"/>
      <c r="O704" s="29"/>
      <c r="P704" s="32"/>
      <c r="Q704" s="32"/>
      <c r="R704" s="4"/>
      <c r="S704" s="4"/>
    </row>
    <row x14ac:dyDescent="0.25" r="705" customHeight="1" ht="12.75">
      <c r="A705" s="4"/>
      <c r="B705" s="29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29"/>
      <c r="N705" s="29"/>
      <c r="O705" s="29"/>
      <c r="P705" s="32"/>
      <c r="Q705" s="32"/>
      <c r="R705" s="4"/>
      <c r="S705" s="4"/>
    </row>
    <row x14ac:dyDescent="0.25" r="706" customHeight="1" ht="12.75">
      <c r="A706" s="4"/>
      <c r="B706" s="29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29"/>
      <c r="N706" s="29"/>
      <c r="O706" s="29"/>
      <c r="P706" s="32"/>
      <c r="Q706" s="32"/>
      <c r="R706" s="4"/>
      <c r="S706" s="4"/>
    </row>
    <row x14ac:dyDescent="0.25" r="707" customHeight="1" ht="12.75">
      <c r="A707" s="4"/>
      <c r="B707" s="29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29"/>
      <c r="N707" s="29"/>
      <c r="O707" s="29"/>
      <c r="P707" s="32"/>
      <c r="Q707" s="32"/>
      <c r="R707" s="4"/>
      <c r="S707" s="4"/>
    </row>
    <row x14ac:dyDescent="0.25" r="708" customHeight="1" ht="12.75">
      <c r="A708" s="4"/>
      <c r="B708" s="29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29"/>
      <c r="N708" s="29"/>
      <c r="O708" s="29"/>
      <c r="P708" s="32"/>
      <c r="Q708" s="32"/>
      <c r="R708" s="4"/>
      <c r="S708" s="4"/>
    </row>
    <row x14ac:dyDescent="0.25" r="709" customHeight="1" ht="12.75">
      <c r="A709" s="4"/>
      <c r="B709" s="29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29"/>
      <c r="N709" s="29"/>
      <c r="O709" s="29"/>
      <c r="P709" s="32"/>
      <c r="Q709" s="32"/>
      <c r="R709" s="4"/>
      <c r="S709" s="4"/>
    </row>
    <row x14ac:dyDescent="0.25" r="710" customHeight="1" ht="12.75">
      <c r="A710" s="4"/>
      <c r="B710" s="29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29"/>
      <c r="N710" s="29"/>
      <c r="O710" s="29"/>
      <c r="P710" s="32"/>
      <c r="Q710" s="32"/>
      <c r="R710" s="4"/>
      <c r="S710" s="4"/>
    </row>
    <row x14ac:dyDescent="0.25" r="711" customHeight="1" ht="12.75">
      <c r="A711" s="4"/>
      <c r="B711" s="29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29"/>
      <c r="N711" s="29"/>
      <c r="O711" s="29"/>
      <c r="P711" s="32"/>
      <c r="Q711" s="32"/>
      <c r="R711" s="4"/>
      <c r="S711" s="4"/>
    </row>
    <row x14ac:dyDescent="0.25" r="712" customHeight="1" ht="12.75">
      <c r="A712" s="4"/>
      <c r="B712" s="29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29"/>
      <c r="N712" s="29"/>
      <c r="O712" s="29"/>
      <c r="P712" s="32"/>
      <c r="Q712" s="32"/>
      <c r="R712" s="4"/>
      <c r="S712" s="4"/>
    </row>
    <row x14ac:dyDescent="0.25" r="713" customHeight="1" ht="12.75">
      <c r="A713" s="4"/>
      <c r="B713" s="29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29"/>
      <c r="N713" s="29"/>
      <c r="O713" s="29"/>
      <c r="P713" s="32"/>
      <c r="Q713" s="32"/>
      <c r="R713" s="4"/>
      <c r="S713" s="4"/>
    </row>
    <row x14ac:dyDescent="0.25" r="714" customHeight="1" ht="12.75">
      <c r="A714" s="4"/>
      <c r="B714" s="29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29"/>
      <c r="N714" s="29"/>
      <c r="O714" s="29"/>
      <c r="P714" s="32"/>
      <c r="Q714" s="32"/>
      <c r="R714" s="4"/>
      <c r="S714" s="4"/>
    </row>
    <row x14ac:dyDescent="0.25" r="715" customHeight="1" ht="12.75">
      <c r="A715" s="4"/>
      <c r="B715" s="29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29"/>
      <c r="N715" s="29"/>
      <c r="O715" s="29"/>
      <c r="P715" s="32"/>
      <c r="Q715" s="32"/>
      <c r="R715" s="4"/>
      <c r="S715" s="4"/>
    </row>
    <row x14ac:dyDescent="0.25" r="716" customHeight="1" ht="12.75">
      <c r="A716" s="4"/>
      <c r="B716" s="29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29"/>
      <c r="N716" s="29"/>
      <c r="O716" s="29"/>
      <c r="P716" s="32"/>
      <c r="Q716" s="32"/>
      <c r="R716" s="4"/>
      <c r="S716" s="4"/>
    </row>
    <row x14ac:dyDescent="0.25" r="717" customHeight="1" ht="12.75">
      <c r="A717" s="4"/>
      <c r="B717" s="29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29"/>
      <c r="N717" s="29"/>
      <c r="O717" s="29"/>
      <c r="P717" s="32"/>
      <c r="Q717" s="32"/>
      <c r="R717" s="4"/>
      <c r="S717" s="4"/>
    </row>
    <row x14ac:dyDescent="0.25" r="718" customHeight="1" ht="12.75">
      <c r="A718" s="4"/>
      <c r="B718" s="29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29"/>
      <c r="N718" s="29"/>
      <c r="O718" s="29"/>
      <c r="P718" s="32"/>
      <c r="Q718" s="32"/>
      <c r="R718" s="4"/>
      <c r="S718" s="4"/>
    </row>
    <row x14ac:dyDescent="0.25" r="719" customHeight="1" ht="12.75">
      <c r="A719" s="4"/>
      <c r="B719" s="29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29"/>
      <c r="N719" s="29"/>
      <c r="O719" s="29"/>
      <c r="P719" s="32"/>
      <c r="Q719" s="32"/>
      <c r="R719" s="4"/>
      <c r="S719" s="4"/>
    </row>
    <row x14ac:dyDescent="0.25" r="720" customHeight="1" ht="12.75">
      <c r="A720" s="4"/>
      <c r="B720" s="29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29"/>
      <c r="N720" s="29"/>
      <c r="O720" s="29"/>
      <c r="P720" s="32"/>
      <c r="Q720" s="32"/>
      <c r="R720" s="4"/>
      <c r="S720" s="4"/>
    </row>
    <row x14ac:dyDescent="0.25" r="721" customHeight="1" ht="12.75">
      <c r="A721" s="4"/>
      <c r="B721" s="29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29"/>
      <c r="N721" s="29"/>
      <c r="O721" s="29"/>
      <c r="P721" s="32"/>
      <c r="Q721" s="32"/>
      <c r="R721" s="4"/>
      <c r="S721" s="4"/>
    </row>
    <row x14ac:dyDescent="0.25" r="722" customHeight="1" ht="12.75">
      <c r="A722" s="4"/>
      <c r="B722" s="29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29"/>
      <c r="N722" s="29"/>
      <c r="O722" s="29"/>
      <c r="P722" s="32"/>
      <c r="Q722" s="32"/>
      <c r="R722" s="4"/>
      <c r="S722" s="4"/>
    </row>
    <row x14ac:dyDescent="0.25" r="723" customHeight="1" ht="12.75">
      <c r="A723" s="4"/>
      <c r="B723" s="29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29"/>
      <c r="N723" s="29"/>
      <c r="O723" s="29"/>
      <c r="P723" s="32"/>
      <c r="Q723" s="32"/>
      <c r="R723" s="4"/>
      <c r="S723" s="4"/>
    </row>
    <row x14ac:dyDescent="0.25" r="724" customHeight="1" ht="12.75">
      <c r="A724" s="4"/>
      <c r="B724" s="29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29"/>
      <c r="N724" s="29"/>
      <c r="O724" s="29"/>
      <c r="P724" s="32"/>
      <c r="Q724" s="32"/>
      <c r="R724" s="4"/>
      <c r="S724" s="4"/>
    </row>
    <row x14ac:dyDescent="0.25" r="725" customHeight="1" ht="12.75">
      <c r="A725" s="4"/>
      <c r="B725" s="29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29"/>
      <c r="N725" s="29"/>
      <c r="O725" s="29"/>
      <c r="P725" s="32"/>
      <c r="Q725" s="32"/>
      <c r="R725" s="4"/>
      <c r="S725" s="4"/>
    </row>
    <row x14ac:dyDescent="0.25" r="726" customHeight="1" ht="12.75">
      <c r="A726" s="4"/>
      <c r="B726" s="29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29"/>
      <c r="N726" s="29"/>
      <c r="O726" s="29"/>
      <c r="P726" s="32"/>
      <c r="Q726" s="32"/>
      <c r="R726" s="4"/>
      <c r="S726" s="4"/>
    </row>
    <row x14ac:dyDescent="0.25" r="727" customHeight="1" ht="12.75">
      <c r="A727" s="4"/>
      <c r="B727" s="29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29"/>
      <c r="N727" s="29"/>
      <c r="O727" s="29"/>
      <c r="P727" s="32"/>
      <c r="Q727" s="32"/>
      <c r="R727" s="4"/>
      <c r="S727" s="4"/>
    </row>
    <row x14ac:dyDescent="0.25" r="728" customHeight="1" ht="12.75">
      <c r="A728" s="4"/>
      <c r="B728" s="29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29"/>
      <c r="N728" s="29"/>
      <c r="O728" s="29"/>
      <c r="P728" s="32"/>
      <c r="Q728" s="32"/>
      <c r="R728" s="4"/>
      <c r="S728" s="4"/>
    </row>
    <row x14ac:dyDescent="0.25" r="729" customHeight="1" ht="12.75">
      <c r="A729" s="4"/>
      <c r="B729" s="29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29"/>
      <c r="N729" s="29"/>
      <c r="O729" s="29"/>
      <c r="P729" s="32"/>
      <c r="Q729" s="32"/>
      <c r="R729" s="4"/>
      <c r="S729" s="4"/>
    </row>
    <row x14ac:dyDescent="0.25" r="730" customHeight="1" ht="12.75">
      <c r="A730" s="4"/>
      <c r="B730" s="29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29"/>
      <c r="N730" s="29"/>
      <c r="O730" s="29"/>
      <c r="P730" s="32"/>
      <c r="Q730" s="32"/>
      <c r="R730" s="4"/>
      <c r="S730" s="4"/>
    </row>
    <row x14ac:dyDescent="0.25" r="731" customHeight="1" ht="12.75">
      <c r="A731" s="4"/>
      <c r="B731" s="29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29"/>
      <c r="N731" s="29"/>
      <c r="O731" s="29"/>
      <c r="P731" s="32"/>
      <c r="Q731" s="32"/>
      <c r="R731" s="4"/>
      <c r="S731" s="4"/>
    </row>
    <row x14ac:dyDescent="0.25" r="732" customHeight="1" ht="12.75">
      <c r="A732" s="4"/>
      <c r="B732" s="29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29"/>
      <c r="N732" s="29"/>
      <c r="O732" s="29"/>
      <c r="P732" s="32"/>
      <c r="Q732" s="32"/>
      <c r="R732" s="4"/>
      <c r="S732" s="4"/>
    </row>
    <row x14ac:dyDescent="0.25" r="733" customHeight="1" ht="12.75">
      <c r="A733" s="4"/>
      <c r="B733" s="29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29"/>
      <c r="N733" s="29"/>
      <c r="O733" s="29"/>
      <c r="P733" s="32"/>
      <c r="Q733" s="32"/>
      <c r="R733" s="4"/>
      <c r="S733" s="4"/>
    </row>
    <row x14ac:dyDescent="0.25" r="734" customHeight="1" ht="12.75">
      <c r="A734" s="4"/>
      <c r="B734" s="29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29"/>
      <c r="N734" s="29"/>
      <c r="O734" s="29"/>
      <c r="P734" s="32"/>
      <c r="Q734" s="32"/>
      <c r="R734" s="4"/>
      <c r="S734" s="4"/>
    </row>
    <row x14ac:dyDescent="0.25" r="735" customHeight="1" ht="12.75">
      <c r="A735" s="4"/>
      <c r="B735" s="29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29"/>
      <c r="N735" s="29"/>
      <c r="O735" s="29"/>
      <c r="P735" s="32"/>
      <c r="Q735" s="32"/>
      <c r="R735" s="4"/>
      <c r="S735" s="4"/>
    </row>
    <row x14ac:dyDescent="0.25" r="736" customHeight="1" ht="12.75">
      <c r="A736" s="4"/>
      <c r="B736" s="29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29"/>
      <c r="N736" s="29"/>
      <c r="O736" s="29"/>
      <c r="P736" s="32"/>
      <c r="Q736" s="32"/>
      <c r="R736" s="4"/>
      <c r="S736" s="4"/>
    </row>
    <row x14ac:dyDescent="0.25" r="737" customHeight="1" ht="12.75">
      <c r="A737" s="4"/>
      <c r="B737" s="29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29"/>
      <c r="N737" s="29"/>
      <c r="O737" s="29"/>
      <c r="P737" s="32"/>
      <c r="Q737" s="32"/>
      <c r="R737" s="4"/>
      <c r="S737" s="4"/>
    </row>
    <row x14ac:dyDescent="0.25" r="738" customHeight="1" ht="12.75">
      <c r="A738" s="4"/>
      <c r="B738" s="29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29"/>
      <c r="N738" s="29"/>
      <c r="O738" s="29"/>
      <c r="P738" s="32"/>
      <c r="Q738" s="32"/>
      <c r="R738" s="4"/>
      <c r="S738" s="4"/>
    </row>
    <row x14ac:dyDescent="0.25" r="739" customHeight="1" ht="12.75">
      <c r="A739" s="4"/>
      <c r="B739" s="29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29"/>
      <c r="N739" s="29"/>
      <c r="O739" s="29"/>
      <c r="P739" s="32"/>
      <c r="Q739" s="32"/>
      <c r="R739" s="4"/>
      <c r="S739" s="4"/>
    </row>
    <row x14ac:dyDescent="0.25" r="740" customHeight="1" ht="12.75">
      <c r="A740" s="4"/>
      <c r="B740" s="29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29"/>
      <c r="N740" s="29"/>
      <c r="O740" s="29"/>
      <c r="P740" s="32"/>
      <c r="Q740" s="32"/>
      <c r="R740" s="4"/>
      <c r="S740" s="4"/>
    </row>
    <row x14ac:dyDescent="0.25" r="741" customHeight="1" ht="12.75">
      <c r="A741" s="4"/>
      <c r="B741" s="29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29"/>
      <c r="N741" s="29"/>
      <c r="O741" s="29"/>
      <c r="P741" s="32"/>
      <c r="Q741" s="32"/>
      <c r="R741" s="4"/>
      <c r="S741" s="4"/>
    </row>
    <row x14ac:dyDescent="0.25" r="742" customHeight="1" ht="12.75">
      <c r="A742" s="4"/>
      <c r="B742" s="29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29"/>
      <c r="N742" s="29"/>
      <c r="O742" s="29"/>
      <c r="P742" s="32"/>
      <c r="Q742" s="32"/>
      <c r="R742" s="4"/>
      <c r="S742" s="4"/>
    </row>
    <row x14ac:dyDescent="0.25" r="743" customHeight="1" ht="12.75">
      <c r="A743" s="4"/>
      <c r="B743" s="29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29"/>
      <c r="N743" s="29"/>
      <c r="O743" s="29"/>
      <c r="P743" s="32"/>
      <c r="Q743" s="32"/>
      <c r="R743" s="4"/>
      <c r="S743" s="4"/>
    </row>
    <row x14ac:dyDescent="0.25" r="744" customHeight="1" ht="12.75">
      <c r="A744" s="4"/>
      <c r="B744" s="29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29"/>
      <c r="N744" s="29"/>
      <c r="O744" s="29"/>
      <c r="P744" s="32"/>
      <c r="Q744" s="32"/>
      <c r="R744" s="4"/>
      <c r="S744" s="4"/>
    </row>
    <row x14ac:dyDescent="0.25" r="745" customHeight="1" ht="12.75">
      <c r="A745" s="4"/>
      <c r="B745" s="29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29"/>
      <c r="N745" s="29"/>
      <c r="O745" s="29"/>
      <c r="P745" s="32"/>
      <c r="Q745" s="32"/>
      <c r="R745" s="4"/>
      <c r="S745" s="4"/>
    </row>
    <row x14ac:dyDescent="0.25" r="746" customHeight="1" ht="12.75">
      <c r="A746" s="4"/>
      <c r="B746" s="29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29"/>
      <c r="N746" s="29"/>
      <c r="O746" s="29"/>
      <c r="P746" s="32"/>
      <c r="Q746" s="32"/>
      <c r="R746" s="4"/>
      <c r="S746" s="4"/>
    </row>
    <row x14ac:dyDescent="0.25" r="747" customHeight="1" ht="12.75">
      <c r="A747" s="4"/>
      <c r="B747" s="29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29"/>
      <c r="N747" s="29"/>
      <c r="O747" s="29"/>
      <c r="P747" s="32"/>
      <c r="Q747" s="32"/>
      <c r="R747" s="4"/>
      <c r="S747" s="4"/>
    </row>
    <row x14ac:dyDescent="0.25" r="748" customHeight="1" ht="12.75">
      <c r="A748" s="4"/>
      <c r="B748" s="29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29"/>
      <c r="N748" s="29"/>
      <c r="O748" s="29"/>
      <c r="P748" s="32"/>
      <c r="Q748" s="32"/>
      <c r="R748" s="4"/>
      <c r="S748" s="4"/>
    </row>
    <row x14ac:dyDescent="0.25" r="749" customHeight="1" ht="12.75">
      <c r="A749" s="4"/>
      <c r="B749" s="29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29"/>
      <c r="N749" s="29"/>
      <c r="O749" s="29"/>
      <c r="P749" s="32"/>
      <c r="Q749" s="32"/>
      <c r="R749" s="4"/>
      <c r="S749" s="4"/>
    </row>
    <row x14ac:dyDescent="0.25" r="750" customHeight="1" ht="12.75">
      <c r="A750" s="4"/>
      <c r="B750" s="29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29"/>
      <c r="N750" s="29"/>
      <c r="O750" s="29"/>
      <c r="P750" s="32"/>
      <c r="Q750" s="32"/>
      <c r="R750" s="4"/>
      <c r="S750" s="4"/>
    </row>
    <row x14ac:dyDescent="0.25" r="751" customHeight="1" ht="12.75">
      <c r="A751" s="4"/>
      <c r="B751" s="29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29"/>
      <c r="N751" s="29"/>
      <c r="O751" s="29"/>
      <c r="P751" s="32"/>
      <c r="Q751" s="32"/>
      <c r="R751" s="4"/>
      <c r="S751" s="4"/>
    </row>
    <row x14ac:dyDescent="0.25" r="752" customHeight="1" ht="12.75">
      <c r="A752" s="4"/>
      <c r="B752" s="29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29"/>
      <c r="N752" s="29"/>
      <c r="O752" s="29"/>
      <c r="P752" s="32"/>
      <c r="Q752" s="32"/>
      <c r="R752" s="4"/>
      <c r="S752" s="4"/>
    </row>
    <row x14ac:dyDescent="0.25" r="753" customHeight="1" ht="12.75">
      <c r="A753" s="4"/>
      <c r="B753" s="29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29"/>
      <c r="N753" s="29"/>
      <c r="O753" s="29"/>
      <c r="P753" s="32"/>
      <c r="Q753" s="32"/>
      <c r="R753" s="4"/>
      <c r="S753" s="4"/>
    </row>
    <row x14ac:dyDescent="0.25" r="754" customHeight="1" ht="12.75">
      <c r="A754" s="4"/>
      <c r="B754" s="29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29"/>
      <c r="N754" s="29"/>
      <c r="O754" s="29"/>
      <c r="P754" s="32"/>
      <c r="Q754" s="32"/>
      <c r="R754" s="4"/>
      <c r="S754" s="4"/>
    </row>
    <row x14ac:dyDescent="0.25" r="755" customHeight="1" ht="12.75">
      <c r="A755" s="4"/>
      <c r="B755" s="29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29"/>
      <c r="N755" s="29"/>
      <c r="O755" s="29"/>
      <c r="P755" s="32"/>
      <c r="Q755" s="32"/>
      <c r="R755" s="4"/>
      <c r="S755" s="4"/>
    </row>
    <row x14ac:dyDescent="0.25" r="756" customHeight="1" ht="12.75">
      <c r="A756" s="4"/>
      <c r="B756" s="29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29"/>
      <c r="N756" s="29"/>
      <c r="O756" s="29"/>
      <c r="P756" s="32"/>
      <c r="Q756" s="32"/>
      <c r="R756" s="4"/>
      <c r="S756" s="4"/>
    </row>
    <row x14ac:dyDescent="0.25" r="757" customHeight="1" ht="12.75">
      <c r="A757" s="4"/>
      <c r="B757" s="29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29"/>
      <c r="N757" s="29"/>
      <c r="O757" s="29"/>
      <c r="P757" s="32"/>
      <c r="Q757" s="32"/>
      <c r="R757" s="4"/>
      <c r="S757" s="4"/>
    </row>
    <row x14ac:dyDescent="0.25" r="758" customHeight="1" ht="12.75">
      <c r="A758" s="4"/>
      <c r="B758" s="29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29"/>
      <c r="N758" s="29"/>
      <c r="O758" s="29"/>
      <c r="P758" s="32"/>
      <c r="Q758" s="32"/>
      <c r="R758" s="4"/>
      <c r="S758" s="4"/>
    </row>
    <row x14ac:dyDescent="0.25" r="759" customHeight="1" ht="12.75">
      <c r="A759" s="4"/>
      <c r="B759" s="29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29"/>
      <c r="N759" s="29"/>
      <c r="O759" s="29"/>
      <c r="P759" s="32"/>
      <c r="Q759" s="32"/>
      <c r="R759" s="4"/>
      <c r="S759" s="4"/>
    </row>
    <row x14ac:dyDescent="0.25" r="760" customHeight="1" ht="12.75">
      <c r="A760" s="4"/>
      <c r="B760" s="29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29"/>
      <c r="N760" s="29"/>
      <c r="O760" s="29"/>
      <c r="P760" s="32"/>
      <c r="Q760" s="32"/>
      <c r="R760" s="4"/>
      <c r="S760" s="4"/>
    </row>
    <row x14ac:dyDescent="0.25" r="761" customHeight="1" ht="12.75">
      <c r="A761" s="4"/>
      <c r="B761" s="29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29"/>
      <c r="N761" s="29"/>
      <c r="O761" s="29"/>
      <c r="P761" s="32"/>
      <c r="Q761" s="32"/>
      <c r="R761" s="4"/>
      <c r="S761" s="4"/>
    </row>
    <row x14ac:dyDescent="0.25" r="762" customHeight="1" ht="12.75">
      <c r="A762" s="4"/>
      <c r="B762" s="29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29"/>
      <c r="N762" s="29"/>
      <c r="O762" s="29"/>
      <c r="P762" s="32"/>
      <c r="Q762" s="32"/>
      <c r="R762" s="4"/>
      <c r="S762" s="4"/>
    </row>
    <row x14ac:dyDescent="0.25" r="763" customHeight="1" ht="12.75">
      <c r="A763" s="4"/>
      <c r="B763" s="29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29"/>
      <c r="N763" s="29"/>
      <c r="O763" s="29"/>
      <c r="P763" s="32"/>
      <c r="Q763" s="32"/>
      <c r="R763" s="4"/>
      <c r="S763" s="4"/>
    </row>
    <row x14ac:dyDescent="0.25" r="764" customHeight="1" ht="12.75">
      <c r="A764" s="4"/>
      <c r="B764" s="29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29"/>
      <c r="N764" s="29"/>
      <c r="O764" s="29"/>
      <c r="P764" s="32"/>
      <c r="Q764" s="32"/>
      <c r="R764" s="4"/>
      <c r="S764" s="4"/>
    </row>
    <row x14ac:dyDescent="0.25" r="765" customHeight="1" ht="12.75">
      <c r="A765" s="4"/>
      <c r="B765" s="29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29"/>
      <c r="N765" s="29"/>
      <c r="O765" s="29"/>
      <c r="P765" s="32"/>
      <c r="Q765" s="32"/>
      <c r="R765" s="4"/>
      <c r="S765" s="4"/>
    </row>
    <row x14ac:dyDescent="0.25" r="766" customHeight="1" ht="12.75">
      <c r="A766" s="4"/>
      <c r="B766" s="29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29"/>
      <c r="N766" s="29"/>
      <c r="O766" s="29"/>
      <c r="P766" s="32"/>
      <c r="Q766" s="32"/>
      <c r="R766" s="4"/>
      <c r="S766" s="4"/>
    </row>
    <row x14ac:dyDescent="0.25" r="767" customHeight="1" ht="12.75">
      <c r="A767" s="4"/>
      <c r="B767" s="29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29"/>
      <c r="N767" s="29"/>
      <c r="O767" s="29"/>
      <c r="P767" s="32"/>
      <c r="Q767" s="32"/>
      <c r="R767" s="4"/>
      <c r="S767" s="4"/>
    </row>
    <row x14ac:dyDescent="0.25" r="768" customHeight="1" ht="12.75">
      <c r="A768" s="4"/>
      <c r="B768" s="29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29"/>
      <c r="N768" s="29"/>
      <c r="O768" s="29"/>
      <c r="P768" s="32"/>
      <c r="Q768" s="32"/>
      <c r="R768" s="4"/>
      <c r="S768" s="4"/>
    </row>
    <row x14ac:dyDescent="0.25" r="769" customHeight="1" ht="12.75">
      <c r="A769" s="4"/>
      <c r="B769" s="29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29"/>
      <c r="N769" s="29"/>
      <c r="O769" s="29"/>
      <c r="P769" s="32"/>
      <c r="Q769" s="32"/>
      <c r="R769" s="4"/>
      <c r="S769" s="4"/>
    </row>
    <row x14ac:dyDescent="0.25" r="770" customHeight="1" ht="12.75">
      <c r="A770" s="4"/>
      <c r="B770" s="29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29"/>
      <c r="N770" s="29"/>
      <c r="O770" s="29"/>
      <c r="P770" s="32"/>
      <c r="Q770" s="32"/>
      <c r="R770" s="4"/>
      <c r="S770" s="4"/>
    </row>
    <row x14ac:dyDescent="0.25" r="771" customHeight="1" ht="12.75">
      <c r="A771" s="4"/>
      <c r="B771" s="29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29"/>
      <c r="N771" s="29"/>
      <c r="O771" s="29"/>
      <c r="P771" s="32"/>
      <c r="Q771" s="32"/>
      <c r="R771" s="4"/>
      <c r="S771" s="4"/>
    </row>
    <row x14ac:dyDescent="0.25" r="772" customHeight="1" ht="12.75">
      <c r="A772" s="4"/>
      <c r="B772" s="29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29"/>
      <c r="N772" s="29"/>
      <c r="O772" s="29"/>
      <c r="P772" s="32"/>
      <c r="Q772" s="32"/>
      <c r="R772" s="4"/>
      <c r="S772" s="4"/>
    </row>
    <row x14ac:dyDescent="0.25" r="773" customHeight="1" ht="12.75">
      <c r="A773" s="4"/>
      <c r="B773" s="29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29"/>
      <c r="N773" s="29"/>
      <c r="O773" s="29"/>
      <c r="P773" s="32"/>
      <c r="Q773" s="32"/>
      <c r="R773" s="4"/>
      <c r="S773" s="4"/>
    </row>
    <row x14ac:dyDescent="0.25" r="774" customHeight="1" ht="12.75">
      <c r="A774" s="4"/>
      <c r="B774" s="29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29"/>
      <c r="N774" s="29"/>
      <c r="O774" s="29"/>
      <c r="P774" s="32"/>
      <c r="Q774" s="32"/>
      <c r="R774" s="4"/>
      <c r="S774" s="4"/>
    </row>
    <row x14ac:dyDescent="0.25" r="775" customHeight="1" ht="12.75">
      <c r="A775" s="4"/>
      <c r="B775" s="29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29"/>
      <c r="N775" s="29"/>
      <c r="O775" s="29"/>
      <c r="P775" s="32"/>
      <c r="Q775" s="32"/>
      <c r="R775" s="4"/>
      <c r="S775" s="4"/>
    </row>
    <row x14ac:dyDescent="0.25" r="776" customHeight="1" ht="12.75">
      <c r="A776" s="4"/>
      <c r="B776" s="29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29"/>
      <c r="N776" s="29"/>
      <c r="O776" s="29"/>
      <c r="P776" s="32"/>
      <c r="Q776" s="32"/>
      <c r="R776" s="4"/>
      <c r="S776" s="4"/>
    </row>
    <row x14ac:dyDescent="0.25" r="777" customHeight="1" ht="12.75">
      <c r="A777" s="4"/>
      <c r="B777" s="29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29"/>
      <c r="N777" s="29"/>
      <c r="O777" s="29"/>
      <c r="P777" s="32"/>
      <c r="Q777" s="32"/>
      <c r="R777" s="4"/>
      <c r="S777" s="4"/>
    </row>
    <row x14ac:dyDescent="0.25" r="778" customHeight="1" ht="12.75">
      <c r="A778" s="4"/>
      <c r="B778" s="29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29"/>
      <c r="N778" s="29"/>
      <c r="O778" s="29"/>
      <c r="P778" s="32"/>
      <c r="Q778" s="32"/>
      <c r="R778" s="4"/>
      <c r="S778" s="4"/>
    </row>
    <row x14ac:dyDescent="0.25" r="779" customHeight="1" ht="12.75">
      <c r="A779" s="4"/>
      <c r="B779" s="29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29"/>
      <c r="N779" s="29"/>
      <c r="O779" s="29"/>
      <c r="P779" s="32"/>
      <c r="Q779" s="32"/>
      <c r="R779" s="4"/>
      <c r="S779" s="4"/>
    </row>
    <row x14ac:dyDescent="0.25" r="780" customHeight="1" ht="12.75">
      <c r="A780" s="4"/>
      <c r="B780" s="29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29"/>
      <c r="N780" s="29"/>
      <c r="O780" s="29"/>
      <c r="P780" s="32"/>
      <c r="Q780" s="32"/>
      <c r="R780" s="4"/>
      <c r="S780" s="4"/>
    </row>
    <row x14ac:dyDescent="0.25" r="781" customHeight="1" ht="12.75">
      <c r="A781" s="4"/>
      <c r="B781" s="29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29"/>
      <c r="N781" s="29"/>
      <c r="O781" s="29"/>
      <c r="P781" s="32"/>
      <c r="Q781" s="32"/>
      <c r="R781" s="4"/>
      <c r="S781" s="4"/>
    </row>
    <row x14ac:dyDescent="0.25" r="782" customHeight="1" ht="12.75">
      <c r="A782" s="4"/>
      <c r="B782" s="29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29"/>
      <c r="N782" s="29"/>
      <c r="O782" s="29"/>
      <c r="P782" s="32"/>
      <c r="Q782" s="32"/>
      <c r="R782" s="4"/>
      <c r="S782" s="4"/>
    </row>
    <row x14ac:dyDescent="0.25" r="783" customHeight="1" ht="12.75">
      <c r="A783" s="4"/>
      <c r="B783" s="29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29"/>
      <c r="N783" s="29"/>
      <c r="O783" s="29"/>
      <c r="P783" s="32"/>
      <c r="Q783" s="32"/>
      <c r="R783" s="4"/>
      <c r="S783" s="4"/>
    </row>
    <row x14ac:dyDescent="0.25" r="784" customHeight="1" ht="12.75">
      <c r="A784" s="4"/>
      <c r="B784" s="29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29"/>
      <c r="N784" s="29"/>
      <c r="O784" s="29"/>
      <c r="P784" s="32"/>
      <c r="Q784" s="32"/>
      <c r="R784" s="4"/>
      <c r="S784" s="4"/>
    </row>
    <row x14ac:dyDescent="0.25" r="785" customHeight="1" ht="12.75">
      <c r="A785" s="4"/>
      <c r="B785" s="29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29"/>
      <c r="N785" s="29"/>
      <c r="O785" s="29"/>
      <c r="P785" s="32"/>
      <c r="Q785" s="32"/>
      <c r="R785" s="4"/>
      <c r="S785" s="4"/>
    </row>
    <row x14ac:dyDescent="0.25" r="786" customHeight="1" ht="12.75">
      <c r="A786" s="4"/>
      <c r="B786" s="29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29"/>
      <c r="N786" s="29"/>
      <c r="O786" s="29"/>
      <c r="P786" s="32"/>
      <c r="Q786" s="32"/>
      <c r="R786" s="4"/>
      <c r="S786" s="4"/>
    </row>
    <row x14ac:dyDescent="0.25" r="787" customHeight="1" ht="12.75">
      <c r="A787" s="4"/>
      <c r="B787" s="29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29"/>
      <c r="N787" s="29"/>
      <c r="O787" s="29"/>
      <c r="P787" s="32"/>
      <c r="Q787" s="32"/>
      <c r="R787" s="4"/>
      <c r="S787" s="4"/>
    </row>
    <row x14ac:dyDescent="0.25" r="788" customHeight="1" ht="12.75">
      <c r="A788" s="4"/>
      <c r="B788" s="29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29"/>
      <c r="N788" s="29"/>
      <c r="O788" s="29"/>
      <c r="P788" s="32"/>
      <c r="Q788" s="32"/>
      <c r="R788" s="4"/>
      <c r="S788" s="4"/>
    </row>
    <row x14ac:dyDescent="0.25" r="789" customHeight="1" ht="12.75">
      <c r="A789" s="4"/>
      <c r="B789" s="29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29"/>
      <c r="N789" s="29"/>
      <c r="O789" s="29"/>
      <c r="P789" s="32"/>
      <c r="Q789" s="32"/>
      <c r="R789" s="4"/>
      <c r="S789" s="4"/>
    </row>
    <row x14ac:dyDescent="0.25" r="790" customHeight="1" ht="12.75">
      <c r="A790" s="4"/>
      <c r="B790" s="29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29"/>
      <c r="N790" s="29"/>
      <c r="O790" s="29"/>
      <c r="P790" s="32"/>
      <c r="Q790" s="32"/>
      <c r="R790" s="4"/>
      <c r="S790" s="4"/>
    </row>
    <row x14ac:dyDescent="0.25" r="791" customHeight="1" ht="12.75">
      <c r="A791" s="4"/>
      <c r="B791" s="29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29"/>
      <c r="N791" s="29"/>
      <c r="O791" s="29"/>
      <c r="P791" s="32"/>
      <c r="Q791" s="32"/>
      <c r="R791" s="4"/>
      <c r="S791" s="4"/>
    </row>
    <row x14ac:dyDescent="0.25" r="792" customHeight="1" ht="12.75">
      <c r="A792" s="4"/>
      <c r="B792" s="29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29"/>
      <c r="N792" s="29"/>
      <c r="O792" s="29"/>
      <c r="P792" s="32"/>
      <c r="Q792" s="32"/>
      <c r="R792" s="4"/>
      <c r="S792" s="4"/>
    </row>
    <row x14ac:dyDescent="0.25" r="793" customHeight="1" ht="12.75">
      <c r="A793" s="4"/>
      <c r="B793" s="29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29"/>
      <c r="N793" s="29"/>
      <c r="O793" s="29"/>
      <c r="P793" s="32"/>
      <c r="Q793" s="32"/>
      <c r="R793" s="4"/>
      <c r="S793" s="4"/>
    </row>
    <row x14ac:dyDescent="0.25" r="794" customHeight="1" ht="12.75">
      <c r="A794" s="4"/>
      <c r="B794" s="29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29"/>
      <c r="N794" s="29"/>
      <c r="O794" s="29"/>
      <c r="P794" s="32"/>
      <c r="Q794" s="32"/>
      <c r="R794" s="4"/>
      <c r="S794" s="4"/>
    </row>
    <row x14ac:dyDescent="0.25" r="795" customHeight="1" ht="12.75">
      <c r="A795" s="4"/>
      <c r="B795" s="29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29"/>
      <c r="N795" s="29"/>
      <c r="O795" s="29"/>
      <c r="P795" s="32"/>
      <c r="Q795" s="32"/>
      <c r="R795" s="4"/>
      <c r="S795" s="4"/>
    </row>
    <row x14ac:dyDescent="0.25" r="796" customHeight="1" ht="12.75">
      <c r="A796" s="4"/>
      <c r="B796" s="29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29"/>
      <c r="N796" s="29"/>
      <c r="O796" s="29"/>
      <c r="P796" s="32"/>
      <c r="Q796" s="32"/>
      <c r="R796" s="4"/>
      <c r="S796" s="4"/>
    </row>
    <row x14ac:dyDescent="0.25" r="797" customHeight="1" ht="12.75">
      <c r="A797" s="4"/>
      <c r="B797" s="29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29"/>
      <c r="N797" s="29"/>
      <c r="O797" s="29"/>
      <c r="P797" s="32"/>
      <c r="Q797" s="32"/>
      <c r="R797" s="4"/>
      <c r="S797" s="4"/>
    </row>
    <row x14ac:dyDescent="0.25" r="798" customHeight="1" ht="12.75">
      <c r="A798" s="4"/>
      <c r="B798" s="29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29"/>
      <c r="N798" s="29"/>
      <c r="O798" s="29"/>
      <c r="P798" s="32"/>
      <c r="Q798" s="32"/>
      <c r="R798" s="4"/>
      <c r="S798" s="4"/>
    </row>
    <row x14ac:dyDescent="0.25" r="799" customHeight="1" ht="12.75">
      <c r="A799" s="4"/>
      <c r="B799" s="29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29"/>
      <c r="N799" s="29"/>
      <c r="O799" s="29"/>
      <c r="P799" s="32"/>
      <c r="Q799" s="32"/>
      <c r="R799" s="4"/>
      <c r="S799" s="4"/>
    </row>
    <row x14ac:dyDescent="0.25" r="800" customHeight="1" ht="12.75">
      <c r="A800" s="4"/>
      <c r="B800" s="29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29"/>
      <c r="N800" s="29"/>
      <c r="O800" s="29"/>
      <c r="P800" s="32"/>
      <c r="Q800" s="32"/>
      <c r="R800" s="4"/>
      <c r="S800" s="4"/>
    </row>
    <row x14ac:dyDescent="0.25" r="801" customHeight="1" ht="12.75">
      <c r="A801" s="4"/>
      <c r="B801" s="29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29"/>
      <c r="N801" s="29"/>
      <c r="O801" s="29"/>
      <c r="P801" s="32"/>
      <c r="Q801" s="32"/>
      <c r="R801" s="4"/>
      <c r="S801" s="4"/>
    </row>
    <row x14ac:dyDescent="0.25" r="802" customHeight="1" ht="12.75">
      <c r="A802" s="4"/>
      <c r="B802" s="29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29"/>
      <c r="N802" s="29"/>
      <c r="O802" s="29"/>
      <c r="P802" s="32"/>
      <c r="Q802" s="32"/>
      <c r="R802" s="4"/>
      <c r="S802" s="4"/>
    </row>
    <row x14ac:dyDescent="0.25" r="803" customHeight="1" ht="12.75">
      <c r="A803" s="4"/>
      <c r="B803" s="29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29"/>
      <c r="N803" s="29"/>
      <c r="O803" s="29"/>
      <c r="P803" s="32"/>
      <c r="Q803" s="32"/>
      <c r="R803" s="4"/>
      <c r="S803" s="4"/>
    </row>
    <row x14ac:dyDescent="0.25" r="804" customHeight="1" ht="12.75">
      <c r="A804" s="4"/>
      <c r="B804" s="29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29"/>
      <c r="N804" s="29"/>
      <c r="O804" s="29"/>
      <c r="P804" s="32"/>
      <c r="Q804" s="32"/>
      <c r="R804" s="4"/>
      <c r="S804" s="4"/>
    </row>
    <row x14ac:dyDescent="0.25" r="805" customHeight="1" ht="12.75">
      <c r="A805" s="4"/>
      <c r="B805" s="29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29"/>
      <c r="N805" s="29"/>
      <c r="O805" s="29"/>
      <c r="P805" s="32"/>
      <c r="Q805" s="32"/>
      <c r="R805" s="4"/>
      <c r="S805" s="4"/>
    </row>
    <row x14ac:dyDescent="0.25" r="806" customHeight="1" ht="12.75">
      <c r="A806" s="4"/>
      <c r="B806" s="29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29"/>
      <c r="N806" s="29"/>
      <c r="O806" s="29"/>
      <c r="P806" s="32"/>
      <c r="Q806" s="32"/>
      <c r="R806" s="4"/>
      <c r="S806" s="4"/>
    </row>
    <row x14ac:dyDescent="0.25" r="807" customHeight="1" ht="12.75">
      <c r="A807" s="4"/>
      <c r="B807" s="29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29"/>
      <c r="N807" s="29"/>
      <c r="O807" s="29"/>
      <c r="P807" s="32"/>
      <c r="Q807" s="32"/>
      <c r="R807" s="4"/>
      <c r="S807" s="4"/>
    </row>
    <row x14ac:dyDescent="0.25" r="808" customHeight="1" ht="12.75">
      <c r="A808" s="4"/>
      <c r="B808" s="29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29"/>
      <c r="N808" s="29"/>
      <c r="O808" s="29"/>
      <c r="P808" s="32"/>
      <c r="Q808" s="32"/>
      <c r="R808" s="4"/>
      <c r="S808" s="4"/>
    </row>
    <row x14ac:dyDescent="0.25" r="809" customHeight="1" ht="12.75">
      <c r="A809" s="4"/>
      <c r="B809" s="29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29"/>
      <c r="N809" s="29"/>
      <c r="O809" s="29"/>
      <c r="P809" s="32"/>
      <c r="Q809" s="32"/>
      <c r="R809" s="4"/>
      <c r="S809" s="4"/>
    </row>
    <row x14ac:dyDescent="0.25" r="810" customHeight="1" ht="12.75">
      <c r="A810" s="4"/>
      <c r="B810" s="29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29"/>
      <c r="N810" s="29"/>
      <c r="O810" s="29"/>
      <c r="P810" s="32"/>
      <c r="Q810" s="32"/>
      <c r="R810" s="4"/>
      <c r="S810" s="4"/>
    </row>
    <row x14ac:dyDescent="0.25" r="811" customHeight="1" ht="12.75">
      <c r="A811" s="4"/>
      <c r="B811" s="29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29"/>
      <c r="N811" s="29"/>
      <c r="O811" s="29"/>
      <c r="P811" s="32"/>
      <c r="Q811" s="32"/>
      <c r="R811" s="4"/>
      <c r="S811" s="4"/>
    </row>
    <row x14ac:dyDescent="0.25" r="812" customHeight="1" ht="12.75">
      <c r="A812" s="4"/>
      <c r="B812" s="29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29"/>
      <c r="N812" s="29"/>
      <c r="O812" s="29"/>
      <c r="P812" s="32"/>
      <c r="Q812" s="32"/>
      <c r="R812" s="4"/>
      <c r="S812" s="4"/>
    </row>
    <row x14ac:dyDescent="0.25" r="813" customHeight="1" ht="12.75">
      <c r="A813" s="4"/>
      <c r="B813" s="29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29"/>
      <c r="N813" s="29"/>
      <c r="O813" s="29"/>
      <c r="P813" s="32"/>
      <c r="Q813" s="32"/>
      <c r="R813" s="4"/>
      <c r="S813" s="4"/>
    </row>
    <row x14ac:dyDescent="0.25" r="814" customHeight="1" ht="12.75">
      <c r="A814" s="4"/>
      <c r="B814" s="29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29"/>
      <c r="N814" s="29"/>
      <c r="O814" s="29"/>
      <c r="P814" s="32"/>
      <c r="Q814" s="32"/>
      <c r="R814" s="4"/>
      <c r="S814" s="4"/>
    </row>
    <row x14ac:dyDescent="0.25" r="815" customHeight="1" ht="12.75">
      <c r="A815" s="4"/>
      <c r="B815" s="29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29"/>
      <c r="N815" s="29"/>
      <c r="O815" s="29"/>
      <c r="P815" s="32"/>
      <c r="Q815" s="32"/>
      <c r="R815" s="4"/>
      <c r="S815" s="4"/>
    </row>
    <row x14ac:dyDescent="0.25" r="816" customHeight="1" ht="12.75">
      <c r="A816" s="4"/>
      <c r="B816" s="29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29"/>
      <c r="N816" s="29"/>
      <c r="O816" s="29"/>
      <c r="P816" s="32"/>
      <c r="Q816" s="32"/>
      <c r="R816" s="4"/>
      <c r="S816" s="4"/>
    </row>
    <row x14ac:dyDescent="0.25" r="817" customHeight="1" ht="12.75">
      <c r="A817" s="4"/>
      <c r="B817" s="29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29"/>
      <c r="N817" s="29"/>
      <c r="O817" s="29"/>
      <c r="P817" s="32"/>
      <c r="Q817" s="32"/>
      <c r="R817" s="4"/>
      <c r="S817" s="4"/>
    </row>
    <row x14ac:dyDescent="0.25" r="818" customHeight="1" ht="12.75">
      <c r="A818" s="4"/>
      <c r="B818" s="29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29"/>
      <c r="N818" s="29"/>
      <c r="O818" s="29"/>
      <c r="P818" s="32"/>
      <c r="Q818" s="32"/>
      <c r="R818" s="4"/>
      <c r="S818" s="4"/>
    </row>
    <row x14ac:dyDescent="0.25" r="819" customHeight="1" ht="12.75">
      <c r="A819" s="4"/>
      <c r="B819" s="29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29"/>
      <c r="N819" s="29"/>
      <c r="O819" s="29"/>
      <c r="P819" s="32"/>
      <c r="Q819" s="32"/>
      <c r="R819" s="4"/>
      <c r="S819" s="4"/>
    </row>
    <row x14ac:dyDescent="0.25" r="820" customHeight="1" ht="12.75">
      <c r="A820" s="4"/>
      <c r="B820" s="29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29"/>
      <c r="N820" s="29"/>
      <c r="O820" s="29"/>
      <c r="P820" s="32"/>
      <c r="Q820" s="32"/>
      <c r="R820" s="4"/>
      <c r="S820" s="4"/>
    </row>
    <row x14ac:dyDescent="0.25" r="821" customHeight="1" ht="12.75">
      <c r="A821" s="4"/>
      <c r="B821" s="29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29"/>
      <c r="N821" s="29"/>
      <c r="O821" s="29"/>
      <c r="P821" s="32"/>
      <c r="Q821" s="32"/>
      <c r="R821" s="4"/>
      <c r="S821" s="4"/>
    </row>
    <row x14ac:dyDescent="0.25" r="822" customHeight="1" ht="12.75">
      <c r="A822" s="4"/>
      <c r="B822" s="29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29"/>
      <c r="N822" s="29"/>
      <c r="O822" s="29"/>
      <c r="P822" s="32"/>
      <c r="Q822" s="32"/>
      <c r="R822" s="4"/>
      <c r="S822" s="4"/>
    </row>
    <row x14ac:dyDescent="0.25" r="823" customHeight="1" ht="12.75">
      <c r="A823" s="4"/>
      <c r="B823" s="29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29"/>
      <c r="N823" s="29"/>
      <c r="O823" s="29"/>
      <c r="P823" s="32"/>
      <c r="Q823" s="32"/>
      <c r="R823" s="4"/>
      <c r="S823" s="4"/>
    </row>
    <row x14ac:dyDescent="0.25" r="824" customHeight="1" ht="12.75">
      <c r="A824" s="4"/>
      <c r="B824" s="29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29"/>
      <c r="N824" s="29"/>
      <c r="O824" s="29"/>
      <c r="P824" s="32"/>
      <c r="Q824" s="32"/>
      <c r="R824" s="4"/>
      <c r="S824" s="4"/>
    </row>
    <row x14ac:dyDescent="0.25" r="825" customHeight="1" ht="12.75">
      <c r="A825" s="4"/>
      <c r="B825" s="29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29"/>
      <c r="N825" s="29"/>
      <c r="O825" s="29"/>
      <c r="P825" s="32"/>
      <c r="Q825" s="32"/>
      <c r="R825" s="4"/>
      <c r="S825" s="4"/>
    </row>
    <row x14ac:dyDescent="0.25" r="826" customHeight="1" ht="12.75">
      <c r="A826" s="4"/>
      <c r="B826" s="29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29"/>
      <c r="N826" s="29"/>
      <c r="O826" s="29"/>
      <c r="P826" s="32"/>
      <c r="Q826" s="32"/>
      <c r="R826" s="4"/>
      <c r="S826" s="4"/>
    </row>
    <row x14ac:dyDescent="0.25" r="827" customHeight="1" ht="12.75">
      <c r="A827" s="4"/>
      <c r="B827" s="29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29"/>
      <c r="N827" s="29"/>
      <c r="O827" s="29"/>
      <c r="P827" s="32"/>
      <c r="Q827" s="32"/>
      <c r="R827" s="4"/>
      <c r="S827" s="4"/>
    </row>
    <row x14ac:dyDescent="0.25" r="828" customHeight="1" ht="12.75">
      <c r="A828" s="4"/>
      <c r="B828" s="29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29"/>
      <c r="N828" s="29"/>
      <c r="O828" s="29"/>
      <c r="P828" s="32"/>
      <c r="Q828" s="32"/>
      <c r="R828" s="4"/>
      <c r="S828" s="4"/>
    </row>
    <row x14ac:dyDescent="0.25" r="829" customHeight="1" ht="12.75">
      <c r="A829" s="4"/>
      <c r="B829" s="29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29"/>
      <c r="N829" s="29"/>
      <c r="O829" s="29"/>
      <c r="P829" s="32"/>
      <c r="Q829" s="32"/>
      <c r="R829" s="4"/>
      <c r="S829" s="4"/>
    </row>
    <row x14ac:dyDescent="0.25" r="830" customHeight="1" ht="12.75">
      <c r="A830" s="4"/>
      <c r="B830" s="29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29"/>
      <c r="N830" s="29"/>
      <c r="O830" s="29"/>
      <c r="P830" s="32"/>
      <c r="Q830" s="32"/>
      <c r="R830" s="4"/>
      <c r="S830" s="4"/>
    </row>
    <row x14ac:dyDescent="0.25" r="831" customHeight="1" ht="12.75">
      <c r="A831" s="4"/>
      <c r="B831" s="29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29"/>
      <c r="N831" s="29"/>
      <c r="O831" s="29"/>
      <c r="P831" s="32"/>
      <c r="Q831" s="32"/>
      <c r="R831" s="4"/>
      <c r="S831" s="4"/>
    </row>
    <row x14ac:dyDescent="0.25" r="832" customHeight="1" ht="12.75">
      <c r="A832" s="4"/>
      <c r="B832" s="29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29"/>
      <c r="N832" s="29"/>
      <c r="O832" s="29"/>
      <c r="P832" s="32"/>
      <c r="Q832" s="32"/>
      <c r="R832" s="4"/>
      <c r="S832" s="4"/>
    </row>
    <row x14ac:dyDescent="0.25" r="833" customHeight="1" ht="12.75">
      <c r="A833" s="4"/>
      <c r="B833" s="29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29"/>
      <c r="N833" s="29"/>
      <c r="O833" s="29"/>
      <c r="P833" s="32"/>
      <c r="Q833" s="32"/>
      <c r="R833" s="4"/>
      <c r="S833" s="4"/>
    </row>
    <row x14ac:dyDescent="0.25" r="834" customHeight="1" ht="12.75">
      <c r="A834" s="4"/>
      <c r="B834" s="29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29"/>
      <c r="N834" s="29"/>
      <c r="O834" s="29"/>
      <c r="P834" s="32"/>
      <c r="Q834" s="32"/>
      <c r="R834" s="4"/>
      <c r="S834" s="4"/>
    </row>
    <row x14ac:dyDescent="0.25" r="835" customHeight="1" ht="12.75">
      <c r="A835" s="4"/>
      <c r="B835" s="29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29"/>
      <c r="N835" s="29"/>
      <c r="O835" s="29"/>
      <c r="P835" s="32"/>
      <c r="Q835" s="32"/>
      <c r="R835" s="4"/>
      <c r="S835" s="4"/>
    </row>
    <row x14ac:dyDescent="0.25" r="836" customHeight="1" ht="12.75">
      <c r="A836" s="4"/>
      <c r="B836" s="29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29"/>
      <c r="N836" s="29"/>
      <c r="O836" s="29"/>
      <c r="P836" s="32"/>
      <c r="Q836" s="32"/>
      <c r="R836" s="4"/>
      <c r="S836" s="4"/>
    </row>
    <row x14ac:dyDescent="0.25" r="837" customHeight="1" ht="12.75">
      <c r="A837" s="4"/>
      <c r="B837" s="29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29"/>
      <c r="N837" s="29"/>
      <c r="O837" s="29"/>
      <c r="P837" s="32"/>
      <c r="Q837" s="32"/>
      <c r="R837" s="4"/>
      <c r="S837" s="4"/>
    </row>
    <row x14ac:dyDescent="0.25" r="838" customHeight="1" ht="12.75">
      <c r="A838" s="4"/>
      <c r="B838" s="29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29"/>
      <c r="N838" s="29"/>
      <c r="O838" s="29"/>
      <c r="P838" s="32"/>
      <c r="Q838" s="32"/>
      <c r="R838" s="4"/>
      <c r="S838" s="4"/>
    </row>
    <row x14ac:dyDescent="0.25" r="839" customHeight="1" ht="12.75">
      <c r="A839" s="4"/>
      <c r="B839" s="29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29"/>
      <c r="N839" s="29"/>
      <c r="O839" s="29"/>
      <c r="P839" s="32"/>
      <c r="Q839" s="32"/>
      <c r="R839" s="4"/>
      <c r="S839" s="4"/>
    </row>
    <row x14ac:dyDescent="0.25" r="840" customHeight="1" ht="12.75">
      <c r="A840" s="4"/>
      <c r="B840" s="29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29"/>
      <c r="N840" s="29"/>
      <c r="O840" s="29"/>
      <c r="P840" s="32"/>
      <c r="Q840" s="32"/>
      <c r="R840" s="4"/>
      <c r="S840" s="4"/>
    </row>
    <row x14ac:dyDescent="0.25" r="841" customHeight="1" ht="12.75">
      <c r="A841" s="4"/>
      <c r="B841" s="29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29"/>
      <c r="N841" s="29"/>
      <c r="O841" s="29"/>
      <c r="P841" s="32"/>
      <c r="Q841" s="32"/>
      <c r="R841" s="4"/>
      <c r="S841" s="4"/>
    </row>
    <row x14ac:dyDescent="0.25" r="842" customHeight="1" ht="12.75">
      <c r="A842" s="4"/>
      <c r="B842" s="29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29"/>
      <c r="N842" s="29"/>
      <c r="O842" s="29"/>
      <c r="P842" s="32"/>
      <c r="Q842" s="32"/>
      <c r="R842" s="4"/>
      <c r="S842" s="4"/>
    </row>
    <row x14ac:dyDescent="0.25" r="843" customHeight="1" ht="12.75">
      <c r="A843" s="4"/>
      <c r="B843" s="29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29"/>
      <c r="N843" s="29"/>
      <c r="O843" s="29"/>
      <c r="P843" s="32"/>
      <c r="Q843" s="32"/>
      <c r="R843" s="4"/>
      <c r="S843" s="4"/>
    </row>
    <row x14ac:dyDescent="0.25" r="844" customHeight="1" ht="12.75">
      <c r="A844" s="4"/>
      <c r="B844" s="29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29"/>
      <c r="N844" s="29"/>
      <c r="O844" s="29"/>
      <c r="P844" s="32"/>
      <c r="Q844" s="32"/>
      <c r="R844" s="4"/>
      <c r="S844" s="4"/>
    </row>
    <row x14ac:dyDescent="0.25" r="845" customHeight="1" ht="12.75">
      <c r="A845" s="4"/>
      <c r="B845" s="29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29"/>
      <c r="N845" s="29"/>
      <c r="O845" s="29"/>
      <c r="P845" s="32"/>
      <c r="Q845" s="32"/>
      <c r="R845" s="4"/>
      <c r="S845" s="4"/>
    </row>
    <row x14ac:dyDescent="0.25" r="846" customHeight="1" ht="12.75">
      <c r="A846" s="4"/>
      <c r="B846" s="29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29"/>
      <c r="N846" s="29"/>
      <c r="O846" s="29"/>
      <c r="P846" s="32"/>
      <c r="Q846" s="32"/>
      <c r="R846" s="4"/>
      <c r="S846" s="4"/>
    </row>
    <row x14ac:dyDescent="0.25" r="847" customHeight="1" ht="12.75">
      <c r="A847" s="4"/>
      <c r="B847" s="29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29"/>
      <c r="N847" s="29"/>
      <c r="O847" s="29"/>
      <c r="P847" s="32"/>
      <c r="Q847" s="32"/>
      <c r="R847" s="4"/>
      <c r="S847" s="4"/>
    </row>
    <row x14ac:dyDescent="0.25" r="848" customHeight="1" ht="12.75">
      <c r="A848" s="4"/>
      <c r="B848" s="29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29"/>
      <c r="N848" s="29"/>
      <c r="O848" s="29"/>
      <c r="P848" s="32"/>
      <c r="Q848" s="32"/>
      <c r="R848" s="4"/>
      <c r="S848" s="4"/>
    </row>
    <row x14ac:dyDescent="0.25" r="849" customHeight="1" ht="12.75">
      <c r="A849" s="4"/>
      <c r="B849" s="29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29"/>
      <c r="N849" s="29"/>
      <c r="O849" s="29"/>
      <c r="P849" s="32"/>
      <c r="Q849" s="32"/>
      <c r="R849" s="4"/>
      <c r="S849" s="4"/>
    </row>
    <row x14ac:dyDescent="0.25" r="850" customHeight="1" ht="12.75">
      <c r="A850" s="4"/>
      <c r="B850" s="29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29"/>
      <c r="N850" s="29"/>
      <c r="O850" s="29"/>
      <c r="P850" s="32"/>
      <c r="Q850" s="32"/>
      <c r="R850" s="4"/>
      <c r="S850" s="4"/>
    </row>
    <row x14ac:dyDescent="0.25" r="851" customHeight="1" ht="12.75">
      <c r="A851" s="4"/>
      <c r="B851" s="29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29"/>
      <c r="N851" s="29"/>
      <c r="O851" s="29"/>
      <c r="P851" s="32"/>
      <c r="Q851" s="32"/>
      <c r="R851" s="4"/>
      <c r="S851" s="4"/>
    </row>
    <row x14ac:dyDescent="0.25" r="852" customHeight="1" ht="12.75">
      <c r="A852" s="4"/>
      <c r="B852" s="29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29"/>
      <c r="N852" s="29"/>
      <c r="O852" s="29"/>
      <c r="P852" s="32"/>
      <c r="Q852" s="32"/>
      <c r="R852" s="4"/>
      <c r="S852" s="4"/>
    </row>
    <row x14ac:dyDescent="0.25" r="853" customHeight="1" ht="12.75">
      <c r="A853" s="4"/>
      <c r="B853" s="29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29"/>
      <c r="N853" s="29"/>
      <c r="O853" s="29"/>
      <c r="P853" s="32"/>
      <c r="Q853" s="32"/>
      <c r="R853" s="4"/>
      <c r="S853" s="4"/>
    </row>
    <row x14ac:dyDescent="0.25" r="854" customHeight="1" ht="12.75">
      <c r="A854" s="4"/>
      <c r="B854" s="29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29"/>
      <c r="N854" s="29"/>
      <c r="O854" s="29"/>
      <c r="P854" s="32"/>
      <c r="Q854" s="32"/>
      <c r="R854" s="4"/>
      <c r="S854" s="4"/>
    </row>
    <row x14ac:dyDescent="0.25" r="855" customHeight="1" ht="12.75">
      <c r="A855" s="4"/>
      <c r="B855" s="29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29"/>
      <c r="N855" s="29"/>
      <c r="O855" s="29"/>
      <c r="P855" s="32"/>
      <c r="Q855" s="32"/>
      <c r="R855" s="4"/>
      <c r="S855" s="4"/>
    </row>
    <row x14ac:dyDescent="0.25" r="856" customHeight="1" ht="12.75">
      <c r="A856" s="4"/>
      <c r="B856" s="29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29"/>
      <c r="N856" s="29"/>
      <c r="O856" s="29"/>
      <c r="P856" s="32"/>
      <c r="Q856" s="32"/>
      <c r="R856" s="4"/>
      <c r="S856" s="4"/>
    </row>
    <row x14ac:dyDescent="0.25" r="857" customHeight="1" ht="12.75">
      <c r="A857" s="4"/>
      <c r="B857" s="29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29"/>
      <c r="N857" s="29"/>
      <c r="O857" s="29"/>
      <c r="P857" s="32"/>
      <c r="Q857" s="32"/>
      <c r="R857" s="4"/>
      <c r="S857" s="4"/>
    </row>
    <row x14ac:dyDescent="0.25" r="858" customHeight="1" ht="12.75">
      <c r="A858" s="4"/>
      <c r="B858" s="29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29"/>
      <c r="N858" s="29"/>
      <c r="O858" s="29"/>
      <c r="P858" s="32"/>
      <c r="Q858" s="32"/>
      <c r="R858" s="4"/>
      <c r="S858" s="4"/>
    </row>
    <row x14ac:dyDescent="0.25" r="859" customHeight="1" ht="12.75">
      <c r="A859" s="4"/>
      <c r="B859" s="29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29"/>
      <c r="N859" s="29"/>
      <c r="O859" s="29"/>
      <c r="P859" s="32"/>
      <c r="Q859" s="32"/>
      <c r="R859" s="4"/>
      <c r="S859" s="4"/>
    </row>
    <row x14ac:dyDescent="0.25" r="860" customHeight="1" ht="12.75">
      <c r="A860" s="4"/>
      <c r="B860" s="29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29"/>
      <c r="N860" s="29"/>
      <c r="O860" s="29"/>
      <c r="P860" s="32"/>
      <c r="Q860" s="32"/>
      <c r="R860" s="4"/>
      <c r="S860" s="4"/>
    </row>
    <row x14ac:dyDescent="0.25" r="861" customHeight="1" ht="12.75">
      <c r="A861" s="4"/>
      <c r="B861" s="29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29"/>
      <c r="N861" s="29"/>
      <c r="O861" s="29"/>
      <c r="P861" s="32"/>
      <c r="Q861" s="32"/>
      <c r="R861" s="4"/>
      <c r="S861" s="4"/>
    </row>
    <row x14ac:dyDescent="0.25" r="862" customHeight="1" ht="12.75">
      <c r="A862" s="4"/>
      <c r="B862" s="29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29"/>
      <c r="N862" s="29"/>
      <c r="O862" s="29"/>
      <c r="P862" s="32"/>
      <c r="Q862" s="32"/>
      <c r="R862" s="4"/>
      <c r="S862" s="4"/>
    </row>
    <row x14ac:dyDescent="0.25" r="863" customHeight="1" ht="12.75">
      <c r="A863" s="4"/>
      <c r="B863" s="29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29"/>
      <c r="N863" s="29"/>
      <c r="O863" s="29"/>
      <c r="P863" s="32"/>
      <c r="Q863" s="32"/>
      <c r="R863" s="4"/>
      <c r="S863" s="4"/>
    </row>
    <row x14ac:dyDescent="0.25" r="864" customHeight="1" ht="12.75">
      <c r="A864" s="4"/>
      <c r="B864" s="29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29"/>
      <c r="N864" s="29"/>
      <c r="O864" s="29"/>
      <c r="P864" s="32"/>
      <c r="Q864" s="32"/>
      <c r="R864" s="4"/>
      <c r="S864" s="4"/>
    </row>
    <row x14ac:dyDescent="0.25" r="865" customHeight="1" ht="12.75">
      <c r="A865" s="4"/>
      <c r="B865" s="29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29"/>
      <c r="N865" s="29"/>
      <c r="O865" s="29"/>
      <c r="P865" s="32"/>
      <c r="Q865" s="32"/>
      <c r="R865" s="4"/>
      <c r="S865" s="4"/>
    </row>
    <row x14ac:dyDescent="0.25" r="866" customHeight="1" ht="12.75">
      <c r="A866" s="4"/>
      <c r="B866" s="29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29"/>
      <c r="N866" s="29"/>
      <c r="O866" s="29"/>
      <c r="P866" s="32"/>
      <c r="Q866" s="32"/>
      <c r="R866" s="4"/>
      <c r="S866" s="4"/>
    </row>
    <row x14ac:dyDescent="0.25" r="867" customHeight="1" ht="12.75">
      <c r="A867" s="4"/>
      <c r="B867" s="29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29"/>
      <c r="N867" s="29"/>
      <c r="O867" s="29"/>
      <c r="P867" s="32"/>
      <c r="Q867" s="32"/>
      <c r="R867" s="4"/>
      <c r="S867" s="4"/>
    </row>
    <row x14ac:dyDescent="0.25" r="868" customHeight="1" ht="12.75">
      <c r="A868" s="4"/>
      <c r="B868" s="29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29"/>
      <c r="N868" s="29"/>
      <c r="O868" s="29"/>
      <c r="P868" s="32"/>
      <c r="Q868" s="32"/>
      <c r="R868" s="4"/>
      <c r="S868" s="4"/>
    </row>
    <row x14ac:dyDescent="0.25" r="869" customHeight="1" ht="12.75">
      <c r="A869" s="4"/>
      <c r="B869" s="29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29"/>
      <c r="N869" s="29"/>
      <c r="O869" s="29"/>
      <c r="P869" s="32"/>
      <c r="Q869" s="32"/>
      <c r="R869" s="4"/>
      <c r="S869" s="4"/>
    </row>
    <row x14ac:dyDescent="0.25" r="870" customHeight="1" ht="12.75">
      <c r="A870" s="4"/>
      <c r="B870" s="29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29"/>
      <c r="N870" s="29"/>
      <c r="O870" s="29"/>
      <c r="P870" s="32"/>
      <c r="Q870" s="32"/>
      <c r="R870" s="4"/>
      <c r="S870" s="4"/>
    </row>
    <row x14ac:dyDescent="0.25" r="871" customHeight="1" ht="12.75">
      <c r="A871" s="4"/>
      <c r="B871" s="29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29"/>
      <c r="N871" s="29"/>
      <c r="O871" s="29"/>
      <c r="P871" s="32"/>
      <c r="Q871" s="32"/>
      <c r="R871" s="4"/>
      <c r="S871" s="4"/>
    </row>
    <row x14ac:dyDescent="0.25" r="872" customHeight="1" ht="12.75">
      <c r="A872" s="4"/>
      <c r="B872" s="29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29"/>
      <c r="N872" s="29"/>
      <c r="O872" s="29"/>
      <c r="P872" s="32"/>
      <c r="Q872" s="32"/>
      <c r="R872" s="4"/>
      <c r="S872" s="4"/>
    </row>
    <row x14ac:dyDescent="0.25" r="873" customHeight="1" ht="12.75">
      <c r="A873" s="4"/>
      <c r="B873" s="29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29"/>
      <c r="N873" s="29"/>
      <c r="O873" s="29"/>
      <c r="P873" s="32"/>
      <c r="Q873" s="32"/>
      <c r="R873" s="4"/>
      <c r="S873" s="4"/>
    </row>
    <row x14ac:dyDescent="0.25" r="874" customHeight="1" ht="12.75">
      <c r="A874" s="4"/>
      <c r="B874" s="29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29"/>
      <c r="N874" s="29"/>
      <c r="O874" s="29"/>
      <c r="P874" s="32"/>
      <c r="Q874" s="32"/>
      <c r="R874" s="4"/>
      <c r="S874" s="4"/>
    </row>
    <row x14ac:dyDescent="0.25" r="875" customHeight="1" ht="12.75">
      <c r="A875" s="4"/>
      <c r="B875" s="29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29"/>
      <c r="N875" s="29"/>
      <c r="O875" s="29"/>
      <c r="P875" s="32"/>
      <c r="Q875" s="32"/>
      <c r="R875" s="4"/>
      <c r="S875" s="4"/>
    </row>
    <row x14ac:dyDescent="0.25" r="876" customHeight="1" ht="12.75">
      <c r="A876" s="4"/>
      <c r="B876" s="29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29"/>
      <c r="N876" s="29"/>
      <c r="O876" s="29"/>
      <c r="P876" s="32"/>
      <c r="Q876" s="32"/>
      <c r="R876" s="4"/>
      <c r="S876" s="4"/>
    </row>
    <row x14ac:dyDescent="0.25" r="877" customHeight="1" ht="12.75">
      <c r="A877" s="4"/>
      <c r="B877" s="29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29"/>
      <c r="N877" s="29"/>
      <c r="O877" s="29"/>
      <c r="P877" s="32"/>
      <c r="Q877" s="32"/>
      <c r="R877" s="4"/>
      <c r="S877" s="4"/>
    </row>
    <row x14ac:dyDescent="0.25" r="878" customHeight="1" ht="12.75">
      <c r="A878" s="4"/>
      <c r="B878" s="29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29"/>
      <c r="N878" s="29"/>
      <c r="O878" s="29"/>
      <c r="P878" s="32"/>
      <c r="Q878" s="32"/>
      <c r="R878" s="4"/>
      <c r="S878" s="4"/>
    </row>
    <row x14ac:dyDescent="0.25" r="879" customHeight="1" ht="12.75">
      <c r="A879" s="4"/>
      <c r="B879" s="29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29"/>
      <c r="N879" s="29"/>
      <c r="O879" s="29"/>
      <c r="P879" s="32"/>
      <c r="Q879" s="32"/>
      <c r="R879" s="4"/>
      <c r="S879" s="4"/>
    </row>
    <row x14ac:dyDescent="0.25" r="880" customHeight="1" ht="12.75">
      <c r="A880" s="4"/>
      <c r="B880" s="29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29"/>
      <c r="N880" s="29"/>
      <c r="O880" s="29"/>
      <c r="P880" s="32"/>
      <c r="Q880" s="32"/>
      <c r="R880" s="4"/>
      <c r="S880" s="4"/>
    </row>
    <row x14ac:dyDescent="0.25" r="881" customHeight="1" ht="12.75">
      <c r="A881" s="4"/>
      <c r="B881" s="29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29"/>
      <c r="N881" s="29"/>
      <c r="O881" s="29"/>
      <c r="P881" s="32"/>
      <c r="Q881" s="32"/>
      <c r="R881" s="4"/>
      <c r="S881" s="4"/>
    </row>
    <row x14ac:dyDescent="0.25" r="882" customHeight="1" ht="12.75">
      <c r="A882" s="4"/>
      <c r="B882" s="29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29"/>
      <c r="N882" s="29"/>
      <c r="O882" s="29"/>
      <c r="P882" s="32"/>
      <c r="Q882" s="32"/>
      <c r="R882" s="4"/>
      <c r="S882" s="4"/>
    </row>
    <row x14ac:dyDescent="0.25" r="883" customHeight="1" ht="12.75">
      <c r="A883" s="4"/>
      <c r="B883" s="29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29"/>
      <c r="N883" s="29"/>
      <c r="O883" s="29"/>
      <c r="P883" s="32"/>
      <c r="Q883" s="32"/>
      <c r="R883" s="4"/>
      <c r="S883" s="4"/>
    </row>
    <row x14ac:dyDescent="0.25" r="884" customHeight="1" ht="12.75">
      <c r="A884" s="4"/>
      <c r="B884" s="29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29"/>
      <c r="N884" s="29"/>
      <c r="O884" s="29"/>
      <c r="P884" s="32"/>
      <c r="Q884" s="32"/>
      <c r="R884" s="4"/>
      <c r="S884" s="4"/>
    </row>
    <row x14ac:dyDescent="0.25" r="885" customHeight="1" ht="12.75">
      <c r="A885" s="4"/>
      <c r="B885" s="29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29"/>
      <c r="N885" s="29"/>
      <c r="O885" s="29"/>
      <c r="P885" s="32"/>
      <c r="Q885" s="32"/>
      <c r="R885" s="4"/>
      <c r="S885" s="4"/>
    </row>
    <row x14ac:dyDescent="0.25" r="886" customHeight="1" ht="12.75">
      <c r="A886" s="4"/>
      <c r="B886" s="29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29"/>
      <c r="N886" s="29"/>
      <c r="O886" s="29"/>
      <c r="P886" s="32"/>
      <c r="Q886" s="32"/>
      <c r="R886" s="4"/>
      <c r="S886" s="4"/>
    </row>
    <row x14ac:dyDescent="0.25" r="887" customHeight="1" ht="12.75">
      <c r="A887" s="4"/>
      <c r="B887" s="29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29"/>
      <c r="N887" s="29"/>
      <c r="O887" s="29"/>
      <c r="P887" s="32"/>
      <c r="Q887" s="32"/>
      <c r="R887" s="4"/>
      <c r="S887" s="4"/>
    </row>
    <row x14ac:dyDescent="0.25" r="888" customHeight="1" ht="12.75">
      <c r="A888" s="4"/>
      <c r="B888" s="29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29"/>
      <c r="N888" s="29"/>
      <c r="O888" s="29"/>
      <c r="P888" s="32"/>
      <c r="Q888" s="32"/>
      <c r="R888" s="4"/>
      <c r="S888" s="4"/>
    </row>
    <row x14ac:dyDescent="0.25" r="889" customHeight="1" ht="12.75">
      <c r="A889" s="4"/>
      <c r="B889" s="29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29"/>
      <c r="N889" s="29"/>
      <c r="O889" s="29"/>
      <c r="P889" s="32"/>
      <c r="Q889" s="32"/>
      <c r="R889" s="4"/>
      <c r="S889" s="4"/>
    </row>
    <row x14ac:dyDescent="0.25" r="890" customHeight="1" ht="12.75">
      <c r="A890" s="4"/>
      <c r="B890" s="29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29"/>
      <c r="N890" s="29"/>
      <c r="O890" s="29"/>
      <c r="P890" s="32"/>
      <c r="Q890" s="32"/>
      <c r="R890" s="4"/>
      <c r="S890" s="4"/>
    </row>
    <row x14ac:dyDescent="0.25" r="891" customHeight="1" ht="12.75">
      <c r="A891" s="4"/>
      <c r="B891" s="29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29"/>
      <c r="N891" s="29"/>
      <c r="O891" s="29"/>
      <c r="P891" s="32"/>
      <c r="Q891" s="32"/>
      <c r="R891" s="4"/>
      <c r="S891" s="4"/>
    </row>
    <row x14ac:dyDescent="0.25" r="892" customHeight="1" ht="12.75">
      <c r="A892" s="4"/>
      <c r="B892" s="29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29"/>
      <c r="N892" s="29"/>
      <c r="O892" s="29"/>
      <c r="P892" s="32"/>
      <c r="Q892" s="32"/>
      <c r="R892" s="4"/>
      <c r="S892" s="4"/>
    </row>
    <row x14ac:dyDescent="0.25" r="893" customHeight="1" ht="12.75">
      <c r="A893" s="4"/>
      <c r="B893" s="29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29"/>
      <c r="N893" s="29"/>
      <c r="O893" s="29"/>
      <c r="P893" s="32"/>
      <c r="Q893" s="32"/>
      <c r="R893" s="4"/>
      <c r="S893" s="4"/>
    </row>
    <row x14ac:dyDescent="0.25" r="894" customHeight="1" ht="12.75">
      <c r="A894" s="4"/>
      <c r="B894" s="29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29"/>
      <c r="N894" s="29"/>
      <c r="O894" s="29"/>
      <c r="P894" s="32"/>
      <c r="Q894" s="32"/>
      <c r="R894" s="4"/>
      <c r="S894" s="4"/>
    </row>
    <row x14ac:dyDescent="0.25" r="895" customHeight="1" ht="12.75">
      <c r="A895" s="4"/>
      <c r="B895" s="29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29"/>
      <c r="N895" s="29"/>
      <c r="O895" s="29"/>
      <c r="P895" s="32"/>
      <c r="Q895" s="32"/>
      <c r="R895" s="4"/>
      <c r="S895" s="4"/>
    </row>
    <row x14ac:dyDescent="0.25" r="896" customHeight="1" ht="12.75">
      <c r="A896" s="4"/>
      <c r="B896" s="29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29"/>
      <c r="N896" s="29"/>
      <c r="O896" s="29"/>
      <c r="P896" s="32"/>
      <c r="Q896" s="32"/>
      <c r="R896" s="4"/>
      <c r="S896" s="4"/>
    </row>
    <row x14ac:dyDescent="0.25" r="897" customHeight="1" ht="12.75">
      <c r="A897" s="4"/>
      <c r="B897" s="29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29"/>
      <c r="N897" s="29"/>
      <c r="O897" s="29"/>
      <c r="P897" s="32"/>
      <c r="Q897" s="32"/>
      <c r="R897" s="4"/>
      <c r="S897" s="4"/>
    </row>
    <row x14ac:dyDescent="0.25" r="898" customHeight="1" ht="12.75">
      <c r="A898" s="4"/>
      <c r="B898" s="29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29"/>
      <c r="N898" s="29"/>
      <c r="O898" s="29"/>
      <c r="P898" s="32"/>
      <c r="Q898" s="32"/>
      <c r="R898" s="4"/>
      <c r="S898" s="4"/>
    </row>
    <row x14ac:dyDescent="0.25" r="899" customHeight="1" ht="12.75">
      <c r="A899" s="4"/>
      <c r="B899" s="29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29"/>
      <c r="N899" s="29"/>
      <c r="O899" s="29"/>
      <c r="P899" s="32"/>
      <c r="Q899" s="32"/>
      <c r="R899" s="4"/>
      <c r="S899" s="4"/>
    </row>
    <row x14ac:dyDescent="0.25" r="900" customHeight="1" ht="12.75">
      <c r="A900" s="4"/>
      <c r="B900" s="29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29"/>
      <c r="N900" s="29"/>
      <c r="O900" s="29"/>
      <c r="P900" s="32"/>
      <c r="Q900" s="32"/>
      <c r="R900" s="4"/>
      <c r="S900" s="4"/>
    </row>
    <row x14ac:dyDescent="0.25" r="901" customHeight="1" ht="12.75">
      <c r="A901" s="4"/>
      <c r="B901" s="29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29"/>
      <c r="N901" s="29"/>
      <c r="O901" s="29"/>
      <c r="P901" s="32"/>
      <c r="Q901" s="32"/>
      <c r="R901" s="4"/>
      <c r="S901" s="4"/>
    </row>
    <row x14ac:dyDescent="0.25" r="902" customHeight="1" ht="12.75">
      <c r="A902" s="4"/>
      <c r="B902" s="29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29"/>
      <c r="N902" s="29"/>
      <c r="O902" s="29"/>
      <c r="P902" s="32"/>
      <c r="Q902" s="32"/>
      <c r="R902" s="4"/>
      <c r="S902" s="4"/>
    </row>
    <row x14ac:dyDescent="0.25" r="903" customHeight="1" ht="12.75">
      <c r="A903" s="4"/>
      <c r="B903" s="29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29"/>
      <c r="N903" s="29"/>
      <c r="O903" s="29"/>
      <c r="P903" s="32"/>
      <c r="Q903" s="32"/>
      <c r="R903" s="4"/>
      <c r="S903" s="4"/>
    </row>
    <row x14ac:dyDescent="0.25" r="904" customHeight="1" ht="12.75">
      <c r="A904" s="4"/>
      <c r="B904" s="29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29"/>
      <c r="N904" s="29"/>
      <c r="O904" s="29"/>
      <c r="P904" s="32"/>
      <c r="Q904" s="32"/>
      <c r="R904" s="4"/>
      <c r="S904" s="4"/>
    </row>
    <row x14ac:dyDescent="0.25" r="905" customHeight="1" ht="12.75">
      <c r="A905" s="4"/>
      <c r="B905" s="29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29"/>
      <c r="N905" s="29"/>
      <c r="O905" s="29"/>
      <c r="P905" s="32"/>
      <c r="Q905" s="32"/>
      <c r="R905" s="4"/>
      <c r="S905" s="4"/>
    </row>
    <row x14ac:dyDescent="0.25" r="906" customHeight="1" ht="12.75">
      <c r="A906" s="4"/>
      <c r="B906" s="29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29"/>
      <c r="N906" s="29"/>
      <c r="O906" s="29"/>
      <c r="P906" s="32"/>
      <c r="Q906" s="32"/>
      <c r="R906" s="4"/>
      <c r="S906" s="4"/>
    </row>
    <row x14ac:dyDescent="0.25" r="907" customHeight="1" ht="12.75">
      <c r="A907" s="4"/>
      <c r="B907" s="29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29"/>
      <c r="N907" s="29"/>
      <c r="O907" s="29"/>
      <c r="P907" s="32"/>
      <c r="Q907" s="32"/>
      <c r="R907" s="4"/>
      <c r="S907" s="4"/>
    </row>
    <row x14ac:dyDescent="0.25" r="908" customHeight="1" ht="12.75">
      <c r="A908" s="4"/>
      <c r="B908" s="29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29"/>
      <c r="N908" s="29"/>
      <c r="O908" s="29"/>
      <c r="P908" s="32"/>
      <c r="Q908" s="32"/>
      <c r="R908" s="4"/>
      <c r="S908" s="4"/>
    </row>
    <row x14ac:dyDescent="0.25" r="909" customHeight="1" ht="12.75">
      <c r="A909" s="4"/>
      <c r="B909" s="29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29"/>
      <c r="N909" s="29"/>
      <c r="O909" s="29"/>
      <c r="P909" s="32"/>
      <c r="Q909" s="32"/>
      <c r="R909" s="4"/>
      <c r="S909" s="4"/>
    </row>
    <row x14ac:dyDescent="0.25" r="910" customHeight="1" ht="12.75">
      <c r="A910" s="4"/>
      <c r="B910" s="29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29"/>
      <c r="N910" s="29"/>
      <c r="O910" s="29"/>
      <c r="P910" s="32"/>
      <c r="Q910" s="32"/>
      <c r="R910" s="4"/>
      <c r="S910" s="4"/>
    </row>
    <row x14ac:dyDescent="0.25" r="911" customHeight="1" ht="12.75">
      <c r="A911" s="4"/>
      <c r="B911" s="29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29"/>
      <c r="N911" s="29"/>
      <c r="O911" s="29"/>
      <c r="P911" s="32"/>
      <c r="Q911" s="32"/>
      <c r="R911" s="4"/>
      <c r="S911" s="4"/>
    </row>
    <row x14ac:dyDescent="0.25" r="912" customHeight="1" ht="12.75">
      <c r="A912" s="4"/>
      <c r="B912" s="29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29"/>
      <c r="N912" s="29"/>
      <c r="O912" s="29"/>
      <c r="P912" s="32"/>
      <c r="Q912" s="32"/>
      <c r="R912" s="4"/>
      <c r="S912" s="4"/>
    </row>
    <row x14ac:dyDescent="0.25" r="913" customHeight="1" ht="12.75">
      <c r="A913" s="4"/>
      <c r="B913" s="29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29"/>
      <c r="N913" s="29"/>
      <c r="O913" s="29"/>
      <c r="P913" s="32"/>
      <c r="Q913" s="32"/>
      <c r="R913" s="4"/>
      <c r="S913" s="4"/>
    </row>
    <row x14ac:dyDescent="0.25" r="914" customHeight="1" ht="12.75">
      <c r="A914" s="4"/>
      <c r="B914" s="29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29"/>
      <c r="N914" s="29"/>
      <c r="O914" s="29"/>
      <c r="P914" s="32"/>
      <c r="Q914" s="32"/>
      <c r="R914" s="4"/>
      <c r="S914" s="4"/>
    </row>
    <row x14ac:dyDescent="0.25" r="915" customHeight="1" ht="12.75">
      <c r="A915" s="4"/>
      <c r="B915" s="29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29"/>
      <c r="N915" s="29"/>
      <c r="O915" s="29"/>
      <c r="P915" s="32"/>
      <c r="Q915" s="32"/>
      <c r="R915" s="4"/>
      <c r="S915" s="4"/>
    </row>
    <row x14ac:dyDescent="0.25" r="916" customHeight="1" ht="12.75">
      <c r="A916" s="4"/>
      <c r="B916" s="29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29"/>
      <c r="N916" s="29"/>
      <c r="O916" s="29"/>
      <c r="P916" s="32"/>
      <c r="Q916" s="32"/>
      <c r="R916" s="4"/>
      <c r="S916" s="4"/>
    </row>
    <row x14ac:dyDescent="0.25" r="917" customHeight="1" ht="12.75">
      <c r="A917" s="4"/>
      <c r="B917" s="29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29"/>
      <c r="N917" s="29"/>
      <c r="O917" s="29"/>
      <c r="P917" s="32"/>
      <c r="Q917" s="32"/>
      <c r="R917" s="4"/>
      <c r="S917" s="4"/>
    </row>
    <row x14ac:dyDescent="0.25" r="918" customHeight="1" ht="12.75">
      <c r="A918" s="4"/>
      <c r="B918" s="29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29"/>
      <c r="N918" s="29"/>
      <c r="O918" s="29"/>
      <c r="P918" s="32"/>
      <c r="Q918" s="32"/>
      <c r="R918" s="4"/>
      <c r="S918" s="4"/>
    </row>
    <row x14ac:dyDescent="0.25" r="919" customHeight="1" ht="12.75">
      <c r="A919" s="4"/>
      <c r="B919" s="29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29"/>
      <c r="N919" s="29"/>
      <c r="O919" s="29"/>
      <c r="P919" s="32"/>
      <c r="Q919" s="32"/>
      <c r="R919" s="4"/>
      <c r="S919" s="4"/>
    </row>
    <row x14ac:dyDescent="0.25" r="920" customHeight="1" ht="12.75">
      <c r="A920" s="4"/>
      <c r="B920" s="29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29"/>
      <c r="N920" s="29"/>
      <c r="O920" s="29"/>
      <c r="P920" s="32"/>
      <c r="Q920" s="32"/>
      <c r="R920" s="4"/>
      <c r="S920" s="4"/>
    </row>
    <row x14ac:dyDescent="0.25" r="921" customHeight="1" ht="12.75">
      <c r="A921" s="4"/>
      <c r="B921" s="29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29"/>
      <c r="N921" s="29"/>
      <c r="O921" s="29"/>
      <c r="P921" s="32"/>
      <c r="Q921" s="32"/>
      <c r="R921" s="4"/>
      <c r="S921" s="4"/>
    </row>
    <row x14ac:dyDescent="0.25" r="922" customHeight="1" ht="12.75">
      <c r="A922" s="4"/>
      <c r="B922" s="29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29"/>
      <c r="N922" s="29"/>
      <c r="O922" s="29"/>
      <c r="P922" s="32"/>
      <c r="Q922" s="32"/>
      <c r="R922" s="4"/>
      <c r="S922" s="4"/>
    </row>
    <row x14ac:dyDescent="0.25" r="923" customHeight="1" ht="12.75">
      <c r="A923" s="4"/>
      <c r="B923" s="29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29"/>
      <c r="N923" s="29"/>
      <c r="O923" s="29"/>
      <c r="P923" s="32"/>
      <c r="Q923" s="32"/>
      <c r="R923" s="4"/>
      <c r="S923" s="4"/>
    </row>
    <row x14ac:dyDescent="0.25" r="924" customHeight="1" ht="12.75">
      <c r="A924" s="4"/>
      <c r="B924" s="29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29"/>
      <c r="N924" s="29"/>
      <c r="O924" s="29"/>
      <c r="P924" s="32"/>
      <c r="Q924" s="32"/>
      <c r="R924" s="4"/>
      <c r="S924" s="4"/>
    </row>
    <row x14ac:dyDescent="0.25" r="925" customHeight="1" ht="12.75">
      <c r="A925" s="4"/>
      <c r="B925" s="29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29"/>
      <c r="N925" s="29"/>
      <c r="O925" s="29"/>
      <c r="P925" s="32"/>
      <c r="Q925" s="32"/>
      <c r="R925" s="4"/>
      <c r="S925" s="4"/>
    </row>
    <row x14ac:dyDescent="0.25" r="926" customHeight="1" ht="12.75">
      <c r="A926" s="4"/>
      <c r="B926" s="29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29"/>
      <c r="N926" s="29"/>
      <c r="O926" s="29"/>
      <c r="P926" s="32"/>
      <c r="Q926" s="32"/>
      <c r="R926" s="4"/>
      <c r="S926" s="4"/>
    </row>
    <row x14ac:dyDescent="0.25" r="927" customHeight="1" ht="12.75">
      <c r="A927" s="4"/>
      <c r="B927" s="29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29"/>
      <c r="N927" s="29"/>
      <c r="O927" s="29"/>
      <c r="P927" s="32"/>
      <c r="Q927" s="32"/>
      <c r="R927" s="4"/>
      <c r="S927" s="4"/>
    </row>
    <row x14ac:dyDescent="0.25" r="928" customHeight="1" ht="12.75">
      <c r="A928" s="4"/>
      <c r="B928" s="29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29"/>
      <c r="N928" s="29"/>
      <c r="O928" s="29"/>
      <c r="P928" s="32"/>
      <c r="Q928" s="32"/>
      <c r="R928" s="4"/>
      <c r="S928" s="4"/>
    </row>
    <row x14ac:dyDescent="0.25" r="929" customHeight="1" ht="12.75">
      <c r="A929" s="4"/>
      <c r="B929" s="29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29"/>
      <c r="N929" s="29"/>
      <c r="O929" s="29"/>
      <c r="P929" s="32"/>
      <c r="Q929" s="32"/>
      <c r="R929" s="4"/>
      <c r="S929" s="4"/>
    </row>
    <row x14ac:dyDescent="0.25" r="930" customHeight="1" ht="12.75">
      <c r="A930" s="4"/>
      <c r="B930" s="29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29"/>
      <c r="N930" s="29"/>
      <c r="O930" s="29"/>
      <c r="P930" s="32"/>
      <c r="Q930" s="32"/>
      <c r="R930" s="4"/>
      <c r="S930" s="4"/>
    </row>
    <row x14ac:dyDescent="0.25" r="931" customHeight="1" ht="12.75">
      <c r="A931" s="4"/>
      <c r="B931" s="29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29"/>
      <c r="N931" s="29"/>
      <c r="O931" s="29"/>
      <c r="P931" s="32"/>
      <c r="Q931" s="32"/>
      <c r="R931" s="4"/>
      <c r="S931" s="4"/>
    </row>
    <row x14ac:dyDescent="0.25" r="932" customHeight="1" ht="12.75">
      <c r="A932" s="4"/>
      <c r="B932" s="29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29"/>
      <c r="N932" s="29"/>
      <c r="O932" s="29"/>
      <c r="P932" s="32"/>
      <c r="Q932" s="32"/>
      <c r="R932" s="4"/>
      <c r="S932" s="4"/>
    </row>
    <row x14ac:dyDescent="0.25" r="933" customHeight="1" ht="12.75">
      <c r="A933" s="4"/>
      <c r="B933" s="29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29"/>
      <c r="N933" s="29"/>
      <c r="O933" s="29"/>
      <c r="P933" s="32"/>
      <c r="Q933" s="32"/>
      <c r="R933" s="4"/>
      <c r="S933" s="4"/>
    </row>
    <row x14ac:dyDescent="0.25" r="934" customHeight="1" ht="12.75">
      <c r="A934" s="4"/>
      <c r="B934" s="29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29"/>
      <c r="N934" s="29"/>
      <c r="O934" s="29"/>
      <c r="P934" s="32"/>
      <c r="Q934" s="32"/>
      <c r="R934" s="4"/>
      <c r="S934" s="4"/>
    </row>
    <row x14ac:dyDescent="0.25" r="935" customHeight="1" ht="12.75">
      <c r="A935" s="4"/>
      <c r="B935" s="29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29"/>
      <c r="N935" s="29"/>
      <c r="O935" s="29"/>
      <c r="P935" s="32"/>
      <c r="Q935" s="32"/>
      <c r="R935" s="4"/>
      <c r="S935" s="4"/>
    </row>
    <row x14ac:dyDescent="0.25" r="936" customHeight="1" ht="12.75">
      <c r="A936" s="4"/>
      <c r="B936" s="29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29"/>
      <c r="N936" s="29"/>
      <c r="O936" s="29"/>
      <c r="P936" s="32"/>
      <c r="Q936" s="32"/>
      <c r="R936" s="4"/>
      <c r="S936" s="4"/>
    </row>
    <row x14ac:dyDescent="0.25" r="937" customHeight="1" ht="12.75">
      <c r="A937" s="4"/>
      <c r="B937" s="29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29"/>
      <c r="N937" s="29"/>
      <c r="O937" s="29"/>
      <c r="P937" s="32"/>
      <c r="Q937" s="32"/>
      <c r="R937" s="4"/>
      <c r="S937" s="4"/>
    </row>
    <row x14ac:dyDescent="0.25" r="938" customHeight="1" ht="12.75">
      <c r="A938" s="4"/>
      <c r="B938" s="29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29"/>
      <c r="N938" s="29"/>
      <c r="O938" s="29"/>
      <c r="P938" s="32"/>
      <c r="Q938" s="32"/>
      <c r="R938" s="4"/>
      <c r="S938" s="4"/>
    </row>
    <row x14ac:dyDescent="0.25" r="939" customHeight="1" ht="12.75">
      <c r="A939" s="4"/>
      <c r="B939" s="29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29"/>
      <c r="N939" s="29"/>
      <c r="O939" s="29"/>
      <c r="P939" s="32"/>
      <c r="Q939" s="32"/>
      <c r="R939" s="4"/>
      <c r="S939" s="4"/>
    </row>
    <row x14ac:dyDescent="0.25" r="940" customHeight="1" ht="12.75">
      <c r="A940" s="4"/>
      <c r="B940" s="29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29"/>
      <c r="N940" s="29"/>
      <c r="O940" s="29"/>
      <c r="P940" s="32"/>
      <c r="Q940" s="32"/>
      <c r="R940" s="4"/>
      <c r="S940" s="4"/>
    </row>
    <row x14ac:dyDescent="0.25" r="941" customHeight="1" ht="12.75">
      <c r="A941" s="4"/>
      <c r="B941" s="29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29"/>
      <c r="N941" s="29"/>
      <c r="O941" s="29"/>
      <c r="P941" s="32"/>
      <c r="Q941" s="32"/>
      <c r="R941" s="4"/>
      <c r="S941" s="4"/>
    </row>
    <row x14ac:dyDescent="0.25" r="942" customHeight="1" ht="12.75">
      <c r="A942" s="4"/>
      <c r="B942" s="29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29"/>
      <c r="N942" s="29"/>
      <c r="O942" s="29"/>
      <c r="P942" s="32"/>
      <c r="Q942" s="32"/>
      <c r="R942" s="4"/>
      <c r="S942" s="4"/>
    </row>
    <row x14ac:dyDescent="0.25" r="943" customHeight="1" ht="12.75">
      <c r="A943" s="4"/>
      <c r="B943" s="29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29"/>
      <c r="N943" s="29"/>
      <c r="O943" s="29"/>
      <c r="P943" s="32"/>
      <c r="Q943" s="32"/>
      <c r="R943" s="4"/>
      <c r="S943" s="4"/>
    </row>
    <row x14ac:dyDescent="0.25" r="944" customHeight="1" ht="12.75">
      <c r="A944" s="4"/>
      <c r="B944" s="29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29"/>
      <c r="N944" s="29"/>
      <c r="O944" s="29"/>
      <c r="P944" s="32"/>
      <c r="Q944" s="32"/>
      <c r="R944" s="4"/>
      <c r="S944" s="4"/>
    </row>
    <row x14ac:dyDescent="0.25" r="945" customHeight="1" ht="12.75">
      <c r="A945" s="4"/>
      <c r="B945" s="29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29"/>
      <c r="N945" s="29"/>
      <c r="O945" s="29"/>
      <c r="P945" s="32"/>
      <c r="Q945" s="32"/>
      <c r="R945" s="4"/>
      <c r="S945" s="4"/>
    </row>
    <row x14ac:dyDescent="0.25" r="946" customHeight="1" ht="12.75">
      <c r="A946" s="4"/>
      <c r="B946" s="29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29"/>
      <c r="N946" s="29"/>
      <c r="O946" s="29"/>
      <c r="P946" s="32"/>
      <c r="Q946" s="32"/>
      <c r="R946" s="4"/>
      <c r="S946" s="4"/>
    </row>
    <row x14ac:dyDescent="0.25" r="947" customHeight="1" ht="12.75">
      <c r="A947" s="4"/>
      <c r="B947" s="29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29"/>
      <c r="N947" s="29"/>
      <c r="O947" s="29"/>
      <c r="P947" s="32"/>
      <c r="Q947" s="32"/>
      <c r="R947" s="4"/>
      <c r="S947" s="4"/>
    </row>
    <row x14ac:dyDescent="0.25" r="948" customHeight="1" ht="12.75">
      <c r="A948" s="4"/>
      <c r="B948" s="29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29"/>
      <c r="N948" s="29"/>
      <c r="O948" s="29"/>
      <c r="P948" s="32"/>
      <c r="Q948" s="32"/>
      <c r="R948" s="4"/>
      <c r="S948" s="4"/>
    </row>
    <row x14ac:dyDescent="0.25" r="949" customHeight="1" ht="12.75">
      <c r="A949" s="4"/>
      <c r="B949" s="29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29"/>
      <c r="N949" s="29"/>
      <c r="O949" s="29"/>
      <c r="P949" s="32"/>
      <c r="Q949" s="32"/>
      <c r="R949" s="4"/>
      <c r="S949" s="4"/>
    </row>
    <row x14ac:dyDescent="0.25" r="950" customHeight="1" ht="12.75">
      <c r="A950" s="4"/>
      <c r="B950" s="29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29"/>
      <c r="N950" s="29"/>
      <c r="O950" s="29"/>
      <c r="P950" s="32"/>
      <c r="Q950" s="32"/>
      <c r="R950" s="4"/>
      <c r="S950" s="4"/>
    </row>
    <row x14ac:dyDescent="0.25" r="951" customHeight="1" ht="12.75">
      <c r="A951" s="4"/>
      <c r="B951" s="29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29"/>
      <c r="N951" s="29"/>
      <c r="O951" s="29"/>
      <c r="P951" s="32"/>
      <c r="Q951" s="32"/>
      <c r="R951" s="4"/>
      <c r="S951" s="4"/>
    </row>
    <row x14ac:dyDescent="0.25" r="952" customHeight="1" ht="12.75">
      <c r="A952" s="4"/>
      <c r="B952" s="29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29"/>
      <c r="N952" s="29"/>
      <c r="O952" s="29"/>
      <c r="P952" s="32"/>
      <c r="Q952" s="32"/>
      <c r="R952" s="4"/>
      <c r="S952" s="4"/>
    </row>
    <row x14ac:dyDescent="0.25" r="953" customHeight="1" ht="12.75">
      <c r="A953" s="4"/>
      <c r="B953" s="29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29"/>
      <c r="N953" s="29"/>
      <c r="O953" s="29"/>
      <c r="P953" s="32"/>
      <c r="Q953" s="32"/>
      <c r="R953" s="4"/>
      <c r="S953" s="4"/>
    </row>
    <row x14ac:dyDescent="0.25" r="954" customHeight="1" ht="12.75">
      <c r="A954" s="4"/>
      <c r="B954" s="29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29"/>
      <c r="N954" s="29"/>
      <c r="O954" s="29"/>
      <c r="P954" s="32"/>
      <c r="Q954" s="32"/>
      <c r="R954" s="4"/>
      <c r="S954" s="4"/>
    </row>
    <row x14ac:dyDescent="0.25" r="955" customHeight="1" ht="12.75">
      <c r="A955" s="4"/>
      <c r="B955" s="29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29"/>
      <c r="N955" s="29"/>
      <c r="O955" s="29"/>
      <c r="P955" s="32"/>
      <c r="Q955" s="32"/>
      <c r="R955" s="4"/>
      <c r="S955" s="4"/>
    </row>
    <row x14ac:dyDescent="0.25" r="956" customHeight="1" ht="12.75">
      <c r="A956" s="4"/>
      <c r="B956" s="29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29"/>
      <c r="N956" s="29"/>
      <c r="O956" s="29"/>
      <c r="P956" s="32"/>
      <c r="Q956" s="32"/>
      <c r="R956" s="4"/>
      <c r="S956" s="4"/>
    </row>
    <row x14ac:dyDescent="0.25" r="957" customHeight="1" ht="12.75">
      <c r="A957" s="4"/>
      <c r="B957" s="29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29"/>
      <c r="N957" s="29"/>
      <c r="O957" s="29"/>
      <c r="P957" s="32"/>
      <c r="Q957" s="32"/>
      <c r="R957" s="4"/>
      <c r="S957" s="4"/>
    </row>
    <row x14ac:dyDescent="0.25" r="958" customHeight="1" ht="12.75">
      <c r="A958" s="4"/>
      <c r="B958" s="29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29"/>
      <c r="N958" s="29"/>
      <c r="O958" s="29"/>
      <c r="P958" s="32"/>
      <c r="Q958" s="32"/>
      <c r="R958" s="4"/>
      <c r="S958" s="4"/>
    </row>
    <row x14ac:dyDescent="0.25" r="959" customHeight="1" ht="12.75">
      <c r="A959" s="4"/>
      <c r="B959" s="29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29"/>
      <c r="N959" s="29"/>
      <c r="O959" s="29"/>
      <c r="P959" s="32"/>
      <c r="Q959" s="32"/>
      <c r="R959" s="4"/>
      <c r="S959" s="4"/>
    </row>
    <row x14ac:dyDescent="0.25" r="960" customHeight="1" ht="12.75">
      <c r="A960" s="4"/>
      <c r="B960" s="29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29"/>
      <c r="N960" s="29"/>
      <c r="O960" s="29"/>
      <c r="P960" s="32"/>
      <c r="Q960" s="32"/>
      <c r="R960" s="4"/>
      <c r="S960" s="4"/>
    </row>
    <row x14ac:dyDescent="0.25" r="961" customHeight="1" ht="12.75">
      <c r="A961" s="4"/>
      <c r="B961" s="29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29"/>
      <c r="N961" s="29"/>
      <c r="O961" s="29"/>
      <c r="P961" s="32"/>
      <c r="Q961" s="32"/>
      <c r="R961" s="4"/>
      <c r="S961" s="4"/>
    </row>
    <row x14ac:dyDescent="0.25" r="962" customHeight="1" ht="12.75">
      <c r="A962" s="4"/>
      <c r="B962" s="29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29"/>
      <c r="N962" s="29"/>
      <c r="O962" s="29"/>
      <c r="P962" s="32"/>
      <c r="Q962" s="32"/>
      <c r="R962" s="4"/>
      <c r="S962" s="4"/>
    </row>
    <row x14ac:dyDescent="0.25" r="963" customHeight="1" ht="12.75">
      <c r="A963" s="4"/>
      <c r="B963" s="29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29"/>
      <c r="N963" s="29"/>
      <c r="O963" s="29"/>
      <c r="P963" s="32"/>
      <c r="Q963" s="32"/>
      <c r="R963" s="4"/>
      <c r="S963" s="4"/>
    </row>
    <row x14ac:dyDescent="0.25" r="964" customHeight="1" ht="12.75">
      <c r="A964" s="4"/>
      <c r="B964" s="29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29"/>
      <c r="N964" s="29"/>
      <c r="O964" s="29"/>
      <c r="P964" s="32"/>
      <c r="Q964" s="32"/>
      <c r="R964" s="4"/>
      <c r="S964" s="4"/>
    </row>
    <row x14ac:dyDescent="0.25" r="965" customHeight="1" ht="12.75">
      <c r="A965" s="4"/>
      <c r="B965" s="29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29"/>
      <c r="N965" s="29"/>
      <c r="O965" s="29"/>
      <c r="P965" s="32"/>
      <c r="Q965" s="32"/>
      <c r="R965" s="4"/>
      <c r="S965" s="4"/>
    </row>
    <row x14ac:dyDescent="0.25" r="966" customHeight="1" ht="12.75">
      <c r="A966" s="4"/>
      <c r="B966" s="29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29"/>
      <c r="N966" s="29"/>
      <c r="O966" s="29"/>
      <c r="P966" s="32"/>
      <c r="Q966" s="32"/>
      <c r="R966" s="4"/>
      <c r="S966" s="4"/>
    </row>
    <row x14ac:dyDescent="0.25" r="967" customHeight="1" ht="12.75">
      <c r="A967" s="4"/>
      <c r="B967" s="29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29"/>
      <c r="N967" s="29"/>
      <c r="O967" s="29"/>
      <c r="P967" s="32"/>
      <c r="Q967" s="32"/>
      <c r="R967" s="4"/>
      <c r="S967" s="4"/>
    </row>
    <row x14ac:dyDescent="0.25" r="968" customHeight="1" ht="12.75">
      <c r="A968" s="4"/>
      <c r="B968" s="29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29"/>
      <c r="N968" s="29"/>
      <c r="O968" s="29"/>
      <c r="P968" s="32"/>
      <c r="Q968" s="32"/>
      <c r="R968" s="4"/>
      <c r="S968" s="4"/>
    </row>
    <row x14ac:dyDescent="0.25" r="969" customHeight="1" ht="12.75">
      <c r="A969" s="4"/>
      <c r="B969" s="29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29"/>
      <c r="N969" s="29"/>
      <c r="O969" s="29"/>
      <c r="P969" s="32"/>
      <c r="Q969" s="32"/>
      <c r="R969" s="4"/>
      <c r="S969" s="4"/>
    </row>
    <row x14ac:dyDescent="0.25" r="970" customHeight="1" ht="12.75">
      <c r="A970" s="4"/>
      <c r="B970" s="29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29"/>
      <c r="N970" s="29"/>
      <c r="O970" s="29"/>
      <c r="P970" s="32"/>
      <c r="Q970" s="32"/>
      <c r="R970" s="4"/>
      <c r="S970" s="4"/>
    </row>
    <row x14ac:dyDescent="0.25" r="971" customHeight="1" ht="12.75">
      <c r="A971" s="4"/>
      <c r="B971" s="29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29"/>
      <c r="N971" s="29"/>
      <c r="O971" s="29"/>
      <c r="P971" s="32"/>
      <c r="Q971" s="32"/>
      <c r="R971" s="4"/>
      <c r="S971" s="4"/>
    </row>
    <row x14ac:dyDescent="0.25" r="972" customHeight="1" ht="12.75">
      <c r="A972" s="4"/>
      <c r="B972" s="29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29"/>
      <c r="N972" s="29"/>
      <c r="O972" s="29"/>
      <c r="P972" s="32"/>
      <c r="Q972" s="32"/>
      <c r="R972" s="4"/>
      <c r="S972" s="4"/>
    </row>
    <row x14ac:dyDescent="0.25" r="973" customHeight="1" ht="12.75">
      <c r="A973" s="4"/>
      <c r="B973" s="29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29"/>
      <c r="N973" s="29"/>
      <c r="O973" s="29"/>
      <c r="P973" s="32"/>
      <c r="Q973" s="32"/>
      <c r="R973" s="4"/>
      <c r="S973" s="4"/>
    </row>
    <row x14ac:dyDescent="0.25" r="974" customHeight="1" ht="12.75">
      <c r="A974" s="4"/>
      <c r="B974" s="29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29"/>
      <c r="N974" s="29"/>
      <c r="O974" s="29"/>
      <c r="P974" s="32"/>
      <c r="Q974" s="32"/>
      <c r="R974" s="4"/>
      <c r="S974" s="4"/>
    </row>
    <row x14ac:dyDescent="0.25" r="975" customHeight="1" ht="12.75">
      <c r="A975" s="4"/>
      <c r="B975" s="29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29"/>
      <c r="N975" s="29"/>
      <c r="O975" s="29"/>
      <c r="P975" s="32"/>
      <c r="Q975" s="32"/>
      <c r="R975" s="4"/>
      <c r="S975" s="4"/>
    </row>
    <row x14ac:dyDescent="0.25" r="976" customHeight="1" ht="12.75">
      <c r="A976" s="4"/>
      <c r="B976" s="29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29"/>
      <c r="N976" s="29"/>
      <c r="O976" s="29"/>
      <c r="P976" s="32"/>
      <c r="Q976" s="41"/>
      <c r="R976" s="4"/>
      <c r="S976" s="4"/>
    </row>
    <row x14ac:dyDescent="0.25" r="977" customHeight="1" ht="12.75">
      <c r="A977" s="4"/>
      <c r="B977" s="29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29"/>
      <c r="N977" s="29"/>
      <c r="O977" s="29"/>
      <c r="P977" s="32"/>
      <c r="Q977" s="42"/>
      <c r="R977" s="4"/>
      <c r="S977" s="4"/>
    </row>
    <row x14ac:dyDescent="0.25" r="978" customHeight="1" ht="12.75">
      <c r="A978" s="4"/>
      <c r="B978" s="29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29"/>
      <c r="N978" s="29"/>
      <c r="O978" s="29"/>
      <c r="P978" s="32"/>
      <c r="Q978" s="42"/>
      <c r="R978" s="4"/>
      <c r="S978" s="4"/>
    </row>
    <row x14ac:dyDescent="0.25" r="979" customHeight="1" ht="12.75">
      <c r="A979" s="4"/>
      <c r="B979" s="29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29"/>
      <c r="N979" s="29"/>
      <c r="O979" s="29"/>
      <c r="P979" s="32"/>
      <c r="Q979" s="42"/>
      <c r="R979" s="4"/>
      <c r="S979" s="4"/>
    </row>
    <row x14ac:dyDescent="0.25" r="980" customHeight="1" ht="12.75">
      <c r="A980" s="4"/>
      <c r="B980" s="29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29"/>
      <c r="N980" s="29"/>
      <c r="O980" s="29"/>
      <c r="P980" s="32"/>
      <c r="Q980" s="42"/>
      <c r="R980" s="4"/>
      <c r="S980" s="4"/>
    </row>
    <row x14ac:dyDescent="0.25" r="981" customHeight="1" ht="12.75">
      <c r="A981" s="4"/>
      <c r="B981" s="29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29"/>
      <c r="N981" s="29"/>
      <c r="O981" s="29"/>
      <c r="P981" s="32"/>
      <c r="Q981" s="42"/>
      <c r="R981" s="4"/>
      <c r="S981" s="4"/>
    </row>
    <row x14ac:dyDescent="0.25" r="982" customHeight="1" ht="12.75">
      <c r="A982" s="4"/>
      <c r="B982" s="29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29"/>
      <c r="N982" s="29"/>
      <c r="O982" s="29"/>
      <c r="P982" s="32"/>
      <c r="Q982" s="42"/>
      <c r="R982" s="4"/>
      <c r="S982" s="4"/>
    </row>
    <row x14ac:dyDescent="0.25" r="983" customHeight="1" ht="12.75">
      <c r="A983" s="4"/>
      <c r="B983" s="29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29"/>
      <c r="N983" s="29"/>
      <c r="O983" s="29"/>
      <c r="P983" s="32"/>
      <c r="Q983" s="42"/>
      <c r="R983" s="4"/>
      <c r="S983" s="4"/>
    </row>
    <row x14ac:dyDescent="0.25" r="984" customHeight="1" ht="12.75">
      <c r="A984" s="4"/>
      <c r="B984" s="29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29"/>
      <c r="N984" s="29"/>
      <c r="O984" s="29"/>
      <c r="P984" s="32"/>
      <c r="Q984" s="42"/>
      <c r="R984" s="4"/>
      <c r="S984" s="4"/>
    </row>
    <row x14ac:dyDescent="0.25" r="985" customHeight="1" ht="12.75">
      <c r="A985" s="4"/>
      <c r="B985" s="29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29"/>
      <c r="N985" s="29"/>
      <c r="O985" s="29"/>
      <c r="P985" s="32"/>
      <c r="Q985" s="42"/>
      <c r="R985" s="4"/>
      <c r="S985" s="4"/>
    </row>
    <row x14ac:dyDescent="0.25" r="986" customHeight="1" ht="12.75">
      <c r="A986" s="4"/>
      <c r="B986" s="29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29"/>
      <c r="N986" s="29"/>
      <c r="O986" s="29"/>
      <c r="P986" s="32"/>
      <c r="Q986" s="42"/>
      <c r="R986" s="4"/>
      <c r="S986" s="4"/>
    </row>
    <row x14ac:dyDescent="0.25" r="987" customHeight="1" ht="12.75">
      <c r="A987" s="4"/>
      <c r="B987" s="29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29"/>
      <c r="N987" s="29"/>
      <c r="O987" s="29"/>
      <c r="P987" s="32"/>
      <c r="Q987" s="42"/>
      <c r="R987" s="4"/>
      <c r="S987" s="4"/>
    </row>
    <row x14ac:dyDescent="0.25" r="988" customHeight="1" ht="12.75">
      <c r="A988" s="4"/>
      <c r="B988" s="29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29"/>
      <c r="N988" s="29"/>
      <c r="O988" s="29"/>
      <c r="P988" s="32"/>
      <c r="Q988" s="42"/>
      <c r="R988" s="4"/>
      <c r="S988" s="4"/>
    </row>
    <row x14ac:dyDescent="0.25" r="989" customHeight="1" ht="15.75">
      <c r="A989" s="4"/>
      <c r="B989" s="29"/>
      <c r="C989" s="31"/>
      <c r="D989" s="32"/>
      <c r="E989" s="32"/>
      <c r="F989" s="32"/>
      <c r="G989" s="32"/>
      <c r="H989" s="32"/>
      <c r="I989" s="32"/>
      <c r="J989" s="32"/>
      <c r="K989" s="32"/>
      <c r="L989" s="32"/>
      <c r="M989" s="4"/>
      <c r="N989" s="4"/>
      <c r="O989" s="4"/>
      <c r="P989" s="32"/>
      <c r="Q989" s="32"/>
      <c r="R989" s="4"/>
      <c r="S989" s="4"/>
    </row>
    <row x14ac:dyDescent="0.25" r="990" customHeight="1" ht="15.75">
      <c r="A990" s="4"/>
      <c r="B990" s="29"/>
      <c r="C990" s="31"/>
      <c r="D990" s="32"/>
      <c r="E990" s="32"/>
      <c r="F990" s="32"/>
      <c r="G990" s="32"/>
      <c r="H990" s="32"/>
      <c r="I990" s="32"/>
      <c r="J990" s="32"/>
      <c r="K990" s="32"/>
      <c r="L990" s="32"/>
      <c r="M990" s="4"/>
      <c r="N990" s="4"/>
      <c r="O990" s="4"/>
      <c r="P990" s="32"/>
      <c r="Q990" s="32"/>
      <c r="R990" s="4"/>
      <c r="S990" s="4"/>
    </row>
    <row x14ac:dyDescent="0.25" r="991" customHeight="1" ht="15.75">
      <c r="A991" s="4"/>
      <c r="B991" s="29"/>
      <c r="C991" s="31"/>
      <c r="D991" s="32"/>
      <c r="E991" s="32"/>
      <c r="F991" s="32"/>
      <c r="G991" s="32"/>
      <c r="H991" s="32"/>
      <c r="I991" s="32"/>
      <c r="J991" s="32"/>
      <c r="K991" s="32"/>
      <c r="L991" s="32"/>
      <c r="M991" s="4"/>
      <c r="N991" s="4"/>
      <c r="O991" s="4"/>
      <c r="P991" s="32"/>
      <c r="Q991" s="32"/>
      <c r="R991" s="4"/>
      <c r="S991" s="4"/>
    </row>
    <row x14ac:dyDescent="0.25" r="992" customHeight="1" ht="15.75">
      <c r="A992" s="4"/>
      <c r="B992" s="29"/>
      <c r="C992" s="31"/>
      <c r="D992" s="32"/>
      <c r="E992" s="32"/>
      <c r="F992" s="32"/>
      <c r="G992" s="32"/>
      <c r="H992" s="32"/>
      <c r="I992" s="32"/>
      <c r="J992" s="32"/>
      <c r="K992" s="32"/>
      <c r="L992" s="32"/>
      <c r="M992" s="4"/>
      <c r="N992" s="4"/>
      <c r="O992" s="4"/>
      <c r="P992" s="32"/>
      <c r="Q992" s="32"/>
      <c r="R992" s="4"/>
      <c r="S992" s="4"/>
    </row>
    <row x14ac:dyDescent="0.25" r="993" customHeight="1" ht="15.75">
      <c r="A993" s="4"/>
      <c r="B993" s="29"/>
      <c r="C993" s="31"/>
      <c r="D993" s="32"/>
      <c r="E993" s="32"/>
      <c r="F993" s="32"/>
      <c r="G993" s="32"/>
      <c r="H993" s="32"/>
      <c r="I993" s="32"/>
      <c r="J993" s="32"/>
      <c r="K993" s="32"/>
      <c r="L993" s="32"/>
      <c r="M993" s="4"/>
      <c r="N993" s="4"/>
      <c r="O993" s="4"/>
      <c r="P993" s="32"/>
      <c r="Q993" s="32"/>
      <c r="R993" s="4"/>
      <c r="S993" s="4"/>
    </row>
    <row x14ac:dyDescent="0.25" r="994" customHeight="1" ht="15.75">
      <c r="A994" s="4"/>
      <c r="B994" s="29"/>
      <c r="C994" s="31"/>
      <c r="D994" s="32"/>
      <c r="E994" s="32"/>
      <c r="F994" s="32"/>
      <c r="G994" s="32"/>
      <c r="H994" s="32"/>
      <c r="I994" s="32"/>
      <c r="J994" s="32"/>
      <c r="K994" s="32"/>
      <c r="L994" s="32"/>
      <c r="M994" s="4"/>
      <c r="N994" s="4"/>
      <c r="O994" s="4"/>
      <c r="P994" s="32"/>
      <c r="Q994" s="32"/>
      <c r="R994" s="4"/>
      <c r="S994" s="4"/>
    </row>
    <row x14ac:dyDescent="0.25" r="995" customHeight="1" ht="15.75">
      <c r="A995" s="4"/>
      <c r="B995" s="29"/>
      <c r="C995" s="31"/>
      <c r="D995" s="32"/>
      <c r="E995" s="32"/>
      <c r="F995" s="32"/>
      <c r="G995" s="32"/>
      <c r="H995" s="32"/>
      <c r="I995" s="32"/>
      <c r="J995" s="32"/>
      <c r="K995" s="32"/>
      <c r="L995" s="32"/>
      <c r="M995" s="4"/>
      <c r="N995" s="4"/>
      <c r="O995" s="4"/>
      <c r="P995" s="32"/>
      <c r="Q995" s="32"/>
      <c r="R995" s="4"/>
      <c r="S995" s="4"/>
    </row>
    <row x14ac:dyDescent="0.25" r="996" customHeight="1" ht="15.75">
      <c r="A996" s="4"/>
      <c r="B996" s="29"/>
      <c r="C996" s="31"/>
      <c r="D996" s="32"/>
      <c r="E996" s="32"/>
      <c r="F996" s="32"/>
      <c r="G996" s="32"/>
      <c r="H996" s="32"/>
      <c r="I996" s="32"/>
      <c r="J996" s="32"/>
      <c r="K996" s="32"/>
      <c r="L996" s="32"/>
      <c r="M996" s="4"/>
      <c r="N996" s="4"/>
      <c r="O996" s="4"/>
      <c r="P996" s="32"/>
      <c r="Q996" s="32"/>
      <c r="R996" s="4"/>
      <c r="S996" s="4"/>
    </row>
    <row x14ac:dyDescent="0.25" r="997" customHeight="1" ht="15.75">
      <c r="A997" s="4"/>
      <c r="B997" s="29"/>
      <c r="C997" s="31"/>
      <c r="D997" s="32"/>
      <c r="E997" s="32"/>
      <c r="F997" s="32"/>
      <c r="G997" s="32"/>
      <c r="H997" s="32"/>
      <c r="I997" s="32"/>
      <c r="J997" s="32"/>
      <c r="K997" s="32"/>
      <c r="L997" s="32"/>
      <c r="M997" s="4"/>
      <c r="N997" s="4"/>
      <c r="O997" s="4"/>
      <c r="P997" s="32"/>
      <c r="Q997" s="32"/>
      <c r="R997" s="4"/>
      <c r="S997" s="4"/>
    </row>
    <row x14ac:dyDescent="0.25" r="998" customHeight="1" ht="15.75">
      <c r="A998" s="4"/>
      <c r="B998" s="29"/>
      <c r="C998" s="31"/>
      <c r="D998" s="32"/>
      <c r="E998" s="32"/>
      <c r="F998" s="32"/>
      <c r="G998" s="32"/>
      <c r="H998" s="32"/>
      <c r="I998" s="32"/>
      <c r="J998" s="32"/>
      <c r="K998" s="32"/>
      <c r="L998" s="32"/>
      <c r="M998" s="4"/>
      <c r="N998" s="4"/>
      <c r="O998" s="4"/>
      <c r="P998" s="32"/>
      <c r="Q998" s="32"/>
      <c r="R998" s="4"/>
      <c r="S998" s="4"/>
    </row>
    <row x14ac:dyDescent="0.25" r="999" customHeight="1" ht="15.75">
      <c r="A999" s="4"/>
      <c r="B999" s="29"/>
      <c r="C999" s="31"/>
      <c r="D999" s="32"/>
      <c r="E999" s="32"/>
      <c r="F999" s="32"/>
      <c r="G999" s="32"/>
      <c r="H999" s="32"/>
      <c r="I999" s="32"/>
      <c r="J999" s="32"/>
      <c r="K999" s="32"/>
      <c r="L999" s="32"/>
      <c r="M999" s="4"/>
      <c r="N999" s="4"/>
      <c r="O999" s="4"/>
      <c r="P999" s="32"/>
      <c r="Q999" s="32"/>
      <c r="R999" s="4"/>
      <c r="S999" s="4"/>
    </row>
    <row x14ac:dyDescent="0.25" r="1000" customHeight="1" ht="15.75">
      <c r="A1000" s="4"/>
      <c r="B1000" s="29"/>
      <c r="C1000" s="31"/>
      <c r="D1000" s="32"/>
      <c r="E1000" s="32"/>
      <c r="F1000" s="32"/>
      <c r="G1000" s="32"/>
      <c r="H1000" s="32"/>
      <c r="I1000" s="32"/>
      <c r="J1000" s="32"/>
      <c r="K1000" s="32"/>
      <c r="L1000" s="32"/>
      <c r="M1000" s="4"/>
      <c r="N1000" s="4"/>
      <c r="O1000" s="4"/>
      <c r="P1000" s="32"/>
      <c r="Q1000" s="32"/>
      <c r="R1000" s="4"/>
      <c r="S1000" s="4"/>
    </row>
    <row x14ac:dyDescent="0.25" r="1001" customHeight="1" ht="15.75">
      <c r="A1001" s="4"/>
      <c r="B1001" s="29"/>
      <c r="C1001" s="31"/>
      <c r="D1001" s="32"/>
      <c r="E1001" s="32"/>
      <c r="F1001" s="32"/>
      <c r="G1001" s="32"/>
      <c r="H1001" s="32"/>
      <c r="I1001" s="32"/>
      <c r="J1001" s="32"/>
      <c r="K1001" s="32"/>
      <c r="L1001" s="32"/>
      <c r="M1001" s="4"/>
      <c r="N1001" s="4"/>
      <c r="O1001" s="4"/>
      <c r="P1001" s="32"/>
      <c r="Q1001" s="32"/>
      <c r="R1001" s="4"/>
      <c r="S1001" s="4"/>
    </row>
    <row x14ac:dyDescent="0.25" r="1002" customHeight="1" ht="15.75">
      <c r="A1002" s="4"/>
      <c r="B1002" s="29"/>
      <c r="C1002" s="31"/>
      <c r="D1002" s="32"/>
      <c r="E1002" s="32"/>
      <c r="F1002" s="32"/>
      <c r="G1002" s="32"/>
      <c r="H1002" s="32"/>
      <c r="I1002" s="32"/>
      <c r="J1002" s="32"/>
      <c r="K1002" s="32"/>
      <c r="L1002" s="32"/>
      <c r="M1002" s="4"/>
      <c r="N1002" s="4"/>
      <c r="O1002" s="4"/>
      <c r="P1002" s="32"/>
      <c r="Q1002" s="32"/>
      <c r="R1002" s="4"/>
      <c r="S1002" s="4"/>
    </row>
    <row x14ac:dyDescent="0.25" r="1003" customHeight="1" ht="15.75">
      <c r="A1003" s="4"/>
      <c r="B1003" s="29"/>
      <c r="C1003" s="31"/>
      <c r="D1003" s="32"/>
      <c r="E1003" s="32"/>
      <c r="F1003" s="32"/>
      <c r="G1003" s="32"/>
      <c r="H1003" s="32"/>
      <c r="I1003" s="32"/>
      <c r="J1003" s="32"/>
      <c r="K1003" s="32"/>
      <c r="L1003" s="32"/>
      <c r="M1003" s="4"/>
      <c r="N1003" s="4"/>
      <c r="O1003" s="4"/>
      <c r="P1003" s="32"/>
      <c r="Q1003" s="32"/>
      <c r="R1003" s="4"/>
      <c r="S1003" s="4"/>
    </row>
    <row x14ac:dyDescent="0.25" r="1004" customHeight="1" ht="15.75">
      <c r="A1004" s="4"/>
      <c r="B1004" s="29"/>
      <c r="C1004" s="31"/>
      <c r="D1004" s="32"/>
      <c r="E1004" s="32"/>
      <c r="F1004" s="32"/>
      <c r="G1004" s="32"/>
      <c r="H1004" s="32"/>
      <c r="I1004" s="32"/>
      <c r="J1004" s="32"/>
      <c r="K1004" s="32"/>
      <c r="L1004" s="32"/>
      <c r="M1004" s="4"/>
      <c r="N1004" s="4"/>
      <c r="O1004" s="4"/>
      <c r="P1004" s="32"/>
      <c r="Q1004" s="32"/>
      <c r="R1004" s="4"/>
      <c r="S1004" s="4"/>
    </row>
    <row x14ac:dyDescent="0.25" r="1005" customHeight="1" ht="15.75">
      <c r="A1005" s="4"/>
      <c r="B1005" s="29"/>
      <c r="C1005" s="31"/>
      <c r="D1005" s="32"/>
      <c r="E1005" s="32"/>
      <c r="F1005" s="32"/>
      <c r="G1005" s="32"/>
      <c r="H1005" s="32"/>
      <c r="I1005" s="32"/>
      <c r="J1005" s="32"/>
      <c r="K1005" s="32"/>
      <c r="L1005" s="32"/>
      <c r="M1005" s="4"/>
      <c r="N1005" s="4"/>
      <c r="O1005" s="4"/>
      <c r="P1005" s="32"/>
      <c r="Q1005" s="32"/>
      <c r="R1005" s="4"/>
      <c r="S1005" s="4"/>
    </row>
    <row x14ac:dyDescent="0.25" r="1006" customHeight="1" ht="15.75">
      <c r="A1006" s="4"/>
      <c r="B1006" s="29"/>
      <c r="C1006" s="31"/>
      <c r="D1006" s="32"/>
      <c r="E1006" s="32"/>
      <c r="F1006" s="32"/>
      <c r="G1006" s="32"/>
      <c r="H1006" s="32"/>
      <c r="I1006" s="32"/>
      <c r="J1006" s="32"/>
      <c r="K1006" s="32"/>
      <c r="L1006" s="32"/>
      <c r="M1006" s="4"/>
      <c r="N1006" s="4"/>
      <c r="O1006" s="4"/>
      <c r="P1006" s="32"/>
      <c r="Q1006" s="32"/>
      <c r="R1006" s="4"/>
      <c r="S1006" s="4"/>
    </row>
    <row x14ac:dyDescent="0.25" r="1007" customHeight="1" ht="15.75">
      <c r="A1007" s="4"/>
      <c r="B1007" s="29"/>
      <c r="C1007" s="31"/>
      <c r="D1007" s="32"/>
      <c r="E1007" s="32"/>
      <c r="F1007" s="32"/>
      <c r="G1007" s="32"/>
      <c r="H1007" s="32"/>
      <c r="I1007" s="32"/>
      <c r="J1007" s="32"/>
      <c r="K1007" s="32"/>
      <c r="L1007" s="32"/>
      <c r="M1007" s="4"/>
      <c r="N1007" s="4"/>
      <c r="O1007" s="4"/>
      <c r="P1007" s="32"/>
      <c r="Q1007" s="32"/>
      <c r="R1007" s="4"/>
      <c r="S1007" s="4"/>
    </row>
    <row x14ac:dyDescent="0.25" r="1008" customHeight="1" ht="15.75">
      <c r="A1008" s="4"/>
      <c r="B1008" s="29"/>
      <c r="C1008" s="31"/>
      <c r="D1008" s="32"/>
      <c r="E1008" s="32"/>
      <c r="F1008" s="32"/>
      <c r="G1008" s="32"/>
      <c r="H1008" s="32"/>
      <c r="I1008" s="32"/>
      <c r="J1008" s="32"/>
      <c r="K1008" s="32"/>
      <c r="L1008" s="32"/>
      <c r="M1008" s="4"/>
      <c r="N1008" s="4"/>
      <c r="O1008" s="4"/>
      <c r="P1008" s="32"/>
      <c r="Q1008" s="32"/>
      <c r="R1008" s="4"/>
      <c r="S1008" s="4"/>
    </row>
    <row x14ac:dyDescent="0.25" r="1009" customHeight="1" ht="15.75">
      <c r="A1009" s="4"/>
      <c r="B1009" s="29"/>
      <c r="C1009" s="31"/>
      <c r="D1009" s="32"/>
      <c r="E1009" s="32"/>
      <c r="F1009" s="32"/>
      <c r="G1009" s="32"/>
      <c r="H1009" s="32"/>
      <c r="I1009" s="32"/>
      <c r="J1009" s="32"/>
      <c r="K1009" s="32"/>
      <c r="L1009" s="32"/>
      <c r="M1009" s="4"/>
      <c r="N1009" s="4"/>
      <c r="O1009" s="4"/>
      <c r="P1009" s="32"/>
      <c r="Q1009" s="32"/>
      <c r="R1009" s="4"/>
      <c r="S1009" s="4"/>
    </row>
    <row x14ac:dyDescent="0.25" r="1010" customHeight="1" ht="15.75">
      <c r="A1010" s="4"/>
      <c r="B1010" s="29"/>
      <c r="C1010" s="31"/>
      <c r="D1010" s="32"/>
      <c r="E1010" s="32"/>
      <c r="F1010" s="32"/>
      <c r="G1010" s="32"/>
      <c r="H1010" s="32"/>
      <c r="I1010" s="32"/>
      <c r="J1010" s="32"/>
      <c r="K1010" s="32"/>
      <c r="L1010" s="32"/>
      <c r="M1010" s="4"/>
      <c r="N1010" s="4"/>
      <c r="O1010" s="4"/>
      <c r="P1010" s="32"/>
      <c r="Q1010" s="32"/>
      <c r="R1010" s="4"/>
      <c r="S1010" s="4"/>
    </row>
    <row x14ac:dyDescent="0.25" r="1011" customHeight="1" ht="15.75">
      <c r="A1011" s="4"/>
      <c r="B1011" s="29"/>
      <c r="C1011" s="31"/>
      <c r="D1011" s="32"/>
      <c r="E1011" s="32"/>
      <c r="F1011" s="32"/>
      <c r="G1011" s="32"/>
      <c r="H1011" s="32"/>
      <c r="I1011" s="32"/>
      <c r="J1011" s="32"/>
      <c r="K1011" s="32"/>
      <c r="L1011" s="32"/>
      <c r="M1011" s="4"/>
      <c r="N1011" s="4"/>
      <c r="O1011" s="4"/>
      <c r="P1011" s="32"/>
      <c r="Q1011" s="32"/>
      <c r="R1011" s="4"/>
      <c r="S1011" s="4"/>
    </row>
    <row x14ac:dyDescent="0.25" r="1012" customHeight="1" ht="15.75">
      <c r="A1012" s="4"/>
      <c r="B1012" s="29"/>
      <c r="C1012" s="31"/>
      <c r="D1012" s="32"/>
      <c r="E1012" s="32"/>
      <c r="F1012" s="32"/>
      <c r="G1012" s="32"/>
      <c r="H1012" s="32"/>
      <c r="I1012" s="32"/>
      <c r="J1012" s="32"/>
      <c r="K1012" s="32"/>
      <c r="L1012" s="32"/>
      <c r="M1012" s="4"/>
      <c r="N1012" s="4"/>
      <c r="O1012" s="4"/>
      <c r="P1012" s="32"/>
      <c r="Q1012" s="32"/>
      <c r="R1012" s="4"/>
      <c r="S1012" s="4"/>
    </row>
    <row x14ac:dyDescent="0.25" r="1013" customHeight="1" ht="15.75">
      <c r="A1013" s="4"/>
      <c r="B1013" s="29"/>
      <c r="C1013" s="31"/>
      <c r="D1013" s="32"/>
      <c r="E1013" s="32"/>
      <c r="F1013" s="32"/>
      <c r="G1013" s="32"/>
      <c r="H1013" s="32"/>
      <c r="I1013" s="32"/>
      <c r="J1013" s="32"/>
      <c r="K1013" s="32"/>
      <c r="L1013" s="32"/>
      <c r="M1013" s="4"/>
      <c r="N1013" s="4"/>
      <c r="O1013" s="4"/>
      <c r="P1013" s="32"/>
      <c r="Q1013" s="32"/>
      <c r="R1013" s="4"/>
      <c r="S1013" s="4"/>
    </row>
    <row x14ac:dyDescent="0.25" r="1014" customHeight="1" ht="15.75">
      <c r="A1014" s="4"/>
      <c r="B1014" s="29"/>
      <c r="C1014" s="31"/>
      <c r="D1014" s="32"/>
      <c r="E1014" s="32"/>
      <c r="F1014" s="32"/>
      <c r="G1014" s="32"/>
      <c r="H1014" s="32"/>
      <c r="I1014" s="32"/>
      <c r="J1014" s="32"/>
      <c r="K1014" s="32"/>
      <c r="L1014" s="32"/>
      <c r="M1014" s="4"/>
      <c r="N1014" s="4"/>
      <c r="O1014" s="4"/>
      <c r="P1014" s="32"/>
      <c r="Q1014" s="32"/>
      <c r="R1014" s="4"/>
      <c r="S1014" s="4"/>
    </row>
    <row x14ac:dyDescent="0.25" r="1015" customHeight="1" ht="15.75">
      <c r="A1015" s="4"/>
      <c r="B1015" s="29"/>
      <c r="C1015" s="31"/>
      <c r="D1015" s="32"/>
      <c r="E1015" s="32"/>
      <c r="F1015" s="32"/>
      <c r="G1015" s="32"/>
      <c r="H1015" s="32"/>
      <c r="I1015" s="32"/>
      <c r="J1015" s="32"/>
      <c r="K1015" s="32"/>
      <c r="L1015" s="32"/>
      <c r="M1015" s="4"/>
      <c r="N1015" s="4"/>
      <c r="O1015" s="4"/>
      <c r="P1015" s="32"/>
      <c r="Q1015" s="32"/>
      <c r="R1015" s="4"/>
      <c r="S1015" s="4"/>
    </row>
    <row x14ac:dyDescent="0.25" r="1016" customHeight="1" ht="15.75">
      <c r="A1016" s="4"/>
      <c r="B1016" s="29"/>
      <c r="C1016" s="31"/>
      <c r="D1016" s="32"/>
      <c r="E1016" s="32"/>
      <c r="F1016" s="32"/>
      <c r="G1016" s="32"/>
      <c r="H1016" s="32"/>
      <c r="I1016" s="32"/>
      <c r="J1016" s="32"/>
      <c r="K1016" s="32"/>
      <c r="L1016" s="32"/>
      <c r="M1016" s="4"/>
      <c r="N1016" s="4"/>
      <c r="O1016" s="4"/>
      <c r="P1016" s="32"/>
      <c r="Q1016" s="32"/>
      <c r="R1016" s="4"/>
      <c r="S1016" s="4"/>
    </row>
    <row x14ac:dyDescent="0.25" r="1017" customHeight="1" ht="15.75">
      <c r="A1017" s="4"/>
      <c r="B1017" s="29"/>
      <c r="C1017" s="31"/>
      <c r="D1017" s="32"/>
      <c r="E1017" s="32"/>
      <c r="F1017" s="32"/>
      <c r="G1017" s="32"/>
      <c r="H1017" s="32"/>
      <c r="I1017" s="32"/>
      <c r="J1017" s="32"/>
      <c r="K1017" s="32"/>
      <c r="L1017" s="32"/>
      <c r="M1017" s="4"/>
      <c r="N1017" s="4"/>
      <c r="O1017" s="4"/>
      <c r="P1017" s="32"/>
      <c r="Q1017" s="32"/>
      <c r="R1017" s="4"/>
      <c r="S1017" s="4"/>
    </row>
    <row x14ac:dyDescent="0.25" r="1018" customHeight="1" ht="15.75">
      <c r="A1018" s="4"/>
      <c r="B1018" s="29"/>
      <c r="C1018" s="31"/>
      <c r="D1018" s="32"/>
      <c r="E1018" s="32"/>
      <c r="F1018" s="32"/>
      <c r="G1018" s="32"/>
      <c r="H1018" s="32"/>
      <c r="I1018" s="32"/>
      <c r="J1018" s="32"/>
      <c r="K1018" s="32"/>
      <c r="L1018" s="32"/>
      <c r="M1018" s="4"/>
      <c r="N1018" s="4"/>
      <c r="O1018" s="4"/>
      <c r="P1018" s="32"/>
      <c r="Q1018" s="32"/>
      <c r="R1018" s="4"/>
      <c r="S1018" s="4"/>
    </row>
    <row x14ac:dyDescent="0.25" r="1019" customHeight="1" ht="15.75">
      <c r="A1019" s="4"/>
      <c r="B1019" s="29"/>
      <c r="C1019" s="31"/>
      <c r="D1019" s="32"/>
      <c r="E1019" s="32"/>
      <c r="F1019" s="32"/>
      <c r="G1019" s="32"/>
      <c r="H1019" s="32"/>
      <c r="I1019" s="32"/>
      <c r="J1019" s="32"/>
      <c r="K1019" s="32"/>
      <c r="L1019" s="32"/>
      <c r="M1019" s="4"/>
      <c r="N1019" s="4"/>
      <c r="O1019" s="4"/>
      <c r="P1019" s="32"/>
      <c r="Q1019" s="32"/>
      <c r="R1019" s="4"/>
      <c r="S1019" s="4"/>
    </row>
    <row x14ac:dyDescent="0.25" r="1020" customHeight="1" ht="15.75">
      <c r="A1020" s="4"/>
      <c r="B1020" s="29"/>
      <c r="C1020" s="31"/>
      <c r="D1020" s="32"/>
      <c r="E1020" s="32"/>
      <c r="F1020" s="32"/>
      <c r="G1020" s="32"/>
      <c r="H1020" s="32"/>
      <c r="I1020" s="32"/>
      <c r="J1020" s="32"/>
      <c r="K1020" s="32"/>
      <c r="L1020" s="32"/>
      <c r="M1020" s="4"/>
      <c r="N1020" s="4"/>
      <c r="O1020" s="4"/>
      <c r="P1020" s="32"/>
      <c r="Q1020" s="32"/>
      <c r="R1020" s="4"/>
      <c r="S1020" s="4"/>
    </row>
    <row x14ac:dyDescent="0.25" r="1021" customHeight="1" ht="15.75">
      <c r="A1021" s="4"/>
      <c r="B1021" s="29"/>
      <c r="C1021" s="31"/>
      <c r="D1021" s="32"/>
      <c r="E1021" s="32"/>
      <c r="F1021" s="32"/>
      <c r="G1021" s="32"/>
      <c r="H1021" s="32"/>
      <c r="I1021" s="32"/>
      <c r="J1021" s="32"/>
      <c r="K1021" s="32"/>
      <c r="L1021" s="32"/>
      <c r="M1021" s="4"/>
      <c r="N1021" s="4"/>
      <c r="O1021" s="4"/>
      <c r="P1021" s="32"/>
      <c r="Q1021" s="32"/>
      <c r="R1021" s="4"/>
      <c r="S1021" s="4"/>
    </row>
    <row x14ac:dyDescent="0.25" r="1022" customHeight="1" ht="15.75">
      <c r="A1022" s="4"/>
      <c r="B1022" s="29"/>
      <c r="C1022" s="31"/>
      <c r="D1022" s="32"/>
      <c r="E1022" s="32"/>
      <c r="F1022" s="32"/>
      <c r="G1022" s="32"/>
      <c r="H1022" s="32"/>
      <c r="I1022" s="32"/>
      <c r="J1022" s="32"/>
      <c r="K1022" s="32"/>
      <c r="L1022" s="32"/>
      <c r="M1022" s="4"/>
      <c r="N1022" s="4"/>
      <c r="O1022" s="4"/>
      <c r="P1022" s="32"/>
      <c r="Q1022" s="32"/>
      <c r="R1022" s="4"/>
      <c r="S1022" s="4"/>
    </row>
    <row x14ac:dyDescent="0.25" r="1023" customHeight="1" ht="15.75">
      <c r="A1023" s="4"/>
      <c r="B1023" s="29"/>
      <c r="C1023" s="31"/>
      <c r="D1023" s="32"/>
      <c r="E1023" s="32"/>
      <c r="F1023" s="32"/>
      <c r="G1023" s="32"/>
      <c r="H1023" s="32"/>
      <c r="I1023" s="32"/>
      <c r="J1023" s="32"/>
      <c r="K1023" s="32"/>
      <c r="L1023" s="32"/>
      <c r="M1023" s="4"/>
      <c r="N1023" s="4"/>
      <c r="O1023" s="4"/>
      <c r="P1023" s="32"/>
      <c r="Q1023" s="32"/>
      <c r="R1023" s="4"/>
      <c r="S1023" s="4"/>
    </row>
    <row x14ac:dyDescent="0.25" r="1024" customHeight="1" ht="15.75">
      <c r="A1024" s="4"/>
      <c r="B1024" s="29"/>
      <c r="C1024" s="31"/>
      <c r="D1024" s="32"/>
      <c r="E1024" s="32"/>
      <c r="F1024" s="32"/>
      <c r="G1024" s="32"/>
      <c r="H1024" s="32"/>
      <c r="I1024" s="32"/>
      <c r="J1024" s="32"/>
      <c r="K1024" s="32"/>
      <c r="L1024" s="32"/>
      <c r="M1024" s="4"/>
      <c r="N1024" s="4"/>
      <c r="O1024" s="4"/>
      <c r="P1024" s="32"/>
      <c r="Q1024" s="32"/>
      <c r="R1024" s="4"/>
      <c r="S1024" s="4"/>
    </row>
    <row x14ac:dyDescent="0.25" r="1025" customHeight="1" ht="15.75">
      <c r="A1025" s="4"/>
      <c r="B1025" s="29"/>
      <c r="C1025" s="31"/>
      <c r="D1025" s="32"/>
      <c r="E1025" s="32"/>
      <c r="F1025" s="32"/>
      <c r="G1025" s="32"/>
      <c r="H1025" s="32"/>
      <c r="I1025" s="32"/>
      <c r="J1025" s="32"/>
      <c r="K1025" s="32"/>
      <c r="L1025" s="32"/>
      <c r="M1025" s="4"/>
      <c r="N1025" s="4"/>
      <c r="O1025" s="4"/>
      <c r="P1025" s="32"/>
      <c r="Q1025" s="32"/>
      <c r="R1025" s="4"/>
      <c r="S1025" s="4"/>
    </row>
    <row x14ac:dyDescent="0.25" r="1026" customHeight="1" ht="15.75">
      <c r="A1026" s="4"/>
      <c r="B1026" s="29"/>
      <c r="C1026" s="31"/>
      <c r="D1026" s="32"/>
      <c r="E1026" s="32"/>
      <c r="F1026" s="32"/>
      <c r="G1026" s="32"/>
      <c r="H1026" s="32"/>
      <c r="I1026" s="32"/>
      <c r="J1026" s="32"/>
      <c r="K1026" s="32"/>
      <c r="L1026" s="32"/>
      <c r="M1026" s="4"/>
      <c r="N1026" s="4"/>
      <c r="O1026" s="4"/>
      <c r="P1026" s="32"/>
      <c r="Q1026" s="32"/>
      <c r="R1026" s="4"/>
      <c r="S1026" s="4"/>
    </row>
    <row x14ac:dyDescent="0.25" r="1027" customHeight="1" ht="15.75">
      <c r="A1027" s="4"/>
      <c r="B1027" s="29"/>
      <c r="C1027" s="31"/>
      <c r="D1027" s="32"/>
      <c r="E1027" s="32"/>
      <c r="F1027" s="32"/>
      <c r="G1027" s="32"/>
      <c r="H1027" s="32"/>
      <c r="I1027" s="32"/>
      <c r="J1027" s="32"/>
      <c r="K1027" s="32"/>
      <c r="L1027" s="32"/>
      <c r="M1027" s="4"/>
      <c r="N1027" s="4"/>
      <c r="O1027" s="4"/>
      <c r="P1027" s="32"/>
      <c r="Q1027" s="32"/>
      <c r="R1027" s="4"/>
      <c r="S1027" s="4"/>
    </row>
    <row x14ac:dyDescent="0.25" r="1028" customHeight="1" ht="15.75">
      <c r="A1028" s="4"/>
      <c r="B1028" s="29"/>
      <c r="C1028" s="31"/>
      <c r="D1028" s="32"/>
      <c r="E1028" s="32"/>
      <c r="F1028" s="32"/>
      <c r="G1028" s="32"/>
      <c r="H1028" s="32"/>
      <c r="I1028" s="32"/>
      <c r="J1028" s="32"/>
      <c r="K1028" s="32"/>
      <c r="L1028" s="32"/>
      <c r="M1028" s="4"/>
      <c r="N1028" s="4"/>
      <c r="O1028" s="4"/>
      <c r="P1028" s="32"/>
      <c r="Q1028" s="32"/>
      <c r="R1028" s="4"/>
      <c r="S1028" s="4"/>
    </row>
    <row x14ac:dyDescent="0.25" r="1029" customHeight="1" ht="15.75">
      <c r="A1029" s="4"/>
      <c r="B1029" s="29"/>
      <c r="C1029" s="31"/>
      <c r="D1029" s="32"/>
      <c r="E1029" s="32"/>
      <c r="F1029" s="32"/>
      <c r="G1029" s="32"/>
      <c r="H1029" s="32"/>
      <c r="I1029" s="32"/>
      <c r="J1029" s="32"/>
      <c r="K1029" s="32"/>
      <c r="L1029" s="32"/>
      <c r="M1029" s="4"/>
      <c r="N1029" s="4"/>
      <c r="O1029" s="4"/>
      <c r="P1029" s="32"/>
      <c r="Q1029" s="32"/>
      <c r="R1029" s="4"/>
      <c r="S1029" s="4"/>
    </row>
    <row x14ac:dyDescent="0.25" r="1030" customHeight="1" ht="15.75">
      <c r="A1030" s="4"/>
      <c r="B1030" s="29"/>
      <c r="C1030" s="31"/>
      <c r="D1030" s="32"/>
      <c r="E1030" s="32"/>
      <c r="F1030" s="32"/>
      <c r="G1030" s="32"/>
      <c r="H1030" s="32"/>
      <c r="I1030" s="32"/>
      <c r="J1030" s="32"/>
      <c r="K1030" s="32"/>
      <c r="L1030" s="32"/>
      <c r="M1030" s="4"/>
      <c r="N1030" s="4"/>
      <c r="O1030" s="4"/>
      <c r="P1030" s="32"/>
      <c r="Q1030" s="32"/>
      <c r="R1030" s="4"/>
      <c r="S1030" s="4"/>
    </row>
    <row x14ac:dyDescent="0.25" r="1031" customHeight="1" ht="15.75">
      <c r="A1031" s="4"/>
      <c r="B1031" s="29"/>
      <c r="C1031" s="31"/>
      <c r="D1031" s="32"/>
      <c r="E1031" s="32"/>
      <c r="F1031" s="32"/>
      <c r="G1031" s="32"/>
      <c r="H1031" s="32"/>
      <c r="I1031" s="32"/>
      <c r="J1031" s="32"/>
      <c r="K1031" s="32"/>
      <c r="L1031" s="32"/>
      <c r="M1031" s="4"/>
      <c r="N1031" s="4"/>
      <c r="O1031" s="4"/>
      <c r="P1031" s="32"/>
      <c r="Q1031" s="32"/>
      <c r="R1031" s="4"/>
      <c r="S1031" s="4"/>
    </row>
    <row x14ac:dyDescent="0.25" r="1032" customHeight="1" ht="15.75">
      <c r="A1032" s="4"/>
      <c r="B1032" s="29"/>
      <c r="C1032" s="31"/>
      <c r="D1032" s="32"/>
      <c r="E1032" s="32"/>
      <c r="F1032" s="32"/>
      <c r="G1032" s="32"/>
      <c r="H1032" s="32"/>
      <c r="I1032" s="32"/>
      <c r="J1032" s="32"/>
      <c r="K1032" s="32"/>
      <c r="L1032" s="32"/>
      <c r="M1032" s="4"/>
      <c r="N1032" s="4"/>
      <c r="O1032" s="4"/>
      <c r="P1032" s="32"/>
      <c r="Q1032" s="32"/>
      <c r="R1032" s="4"/>
      <c r="S1032" s="4"/>
    </row>
    <row x14ac:dyDescent="0.25" r="1033" customHeight="1" ht="15.75">
      <c r="A1033" s="4"/>
      <c r="B1033" s="29"/>
      <c r="C1033" s="31"/>
      <c r="D1033" s="32"/>
      <c r="E1033" s="32"/>
      <c r="F1033" s="32"/>
      <c r="G1033" s="32"/>
      <c r="H1033" s="32"/>
      <c r="I1033" s="32"/>
      <c r="J1033" s="32"/>
      <c r="K1033" s="32"/>
      <c r="L1033" s="32"/>
      <c r="M1033" s="4"/>
      <c r="N1033" s="4"/>
      <c r="O1033" s="4"/>
      <c r="P1033" s="32"/>
      <c r="Q1033" s="32"/>
      <c r="R1033" s="4"/>
      <c r="S1033" s="4"/>
    </row>
    <row x14ac:dyDescent="0.25" r="1034" customHeight="1" ht="15.75">
      <c r="A1034" s="4"/>
      <c r="B1034" s="29"/>
      <c r="C1034" s="31"/>
      <c r="D1034" s="32"/>
      <c r="E1034" s="32"/>
      <c r="F1034" s="32"/>
      <c r="G1034" s="32"/>
      <c r="H1034" s="32"/>
      <c r="I1034" s="32"/>
      <c r="J1034" s="32"/>
      <c r="K1034" s="32"/>
      <c r="L1034" s="32"/>
      <c r="M1034" s="4"/>
      <c r="N1034" s="4"/>
      <c r="O1034" s="4"/>
      <c r="P1034" s="32"/>
      <c r="Q1034" s="32"/>
      <c r="R1034" s="4"/>
      <c r="S1034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44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8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8" width="13.576428571428572" customWidth="1" bestFit="1"/>
    <col min="19" max="19" style="9" width="13.576428571428572" customWidth="1" bestFit="1"/>
    <col min="20" max="20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3" t="s">
        <v>18</v>
      </c>
      <c r="T1" s="3" t="s">
        <v>19</v>
      </c>
    </row>
    <row x14ac:dyDescent="0.25" r="2" customHeight="1" ht="18.75">
      <c r="A2" s="4" t="s">
        <v>20</v>
      </c>
      <c r="B2" s="5">
        <v>2</v>
      </c>
      <c r="C2" s="5">
        <v>1</v>
      </c>
      <c r="D2" s="5">
        <v>1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0</v>
      </c>
      <c r="K2" s="5">
        <v>0</v>
      </c>
      <c r="L2" s="5">
        <v>1</v>
      </c>
      <c r="M2" s="5">
        <v>1</v>
      </c>
      <c r="N2" s="6">
        <v>0.5</v>
      </c>
      <c r="O2" s="6">
        <v>0.5</v>
      </c>
      <c r="P2" s="6">
        <v>0.5</v>
      </c>
      <c r="Q2" s="5">
        <v>1</v>
      </c>
      <c r="R2" s="6">
        <v>0.5</v>
      </c>
      <c r="S2" s="6">
        <v>0.3183239323126511</v>
      </c>
      <c r="T2" s="6">
        <v>0.01513967230727908</v>
      </c>
    </row>
    <row x14ac:dyDescent="0.25" r="3" customHeight="1" ht="18.75">
      <c r="A3" s="4" t="s">
        <v>21</v>
      </c>
      <c r="B3" s="5">
        <v>4</v>
      </c>
      <c r="C3" s="5">
        <v>3</v>
      </c>
      <c r="D3" s="5">
        <v>3</v>
      </c>
      <c r="E3" s="5">
        <v>0</v>
      </c>
      <c r="F3" s="5">
        <v>0</v>
      </c>
      <c r="G3" s="5">
        <v>0</v>
      </c>
      <c r="H3" s="5">
        <v>1</v>
      </c>
      <c r="I3" s="5">
        <v>1</v>
      </c>
      <c r="J3" s="5">
        <v>0</v>
      </c>
      <c r="K3" s="5">
        <v>0</v>
      </c>
      <c r="L3" s="5">
        <v>2</v>
      </c>
      <c r="M3" s="5">
        <v>3</v>
      </c>
      <c r="N3" s="6">
        <v>0.75</v>
      </c>
      <c r="O3" s="6">
        <v>0.75</v>
      </c>
      <c r="P3" s="6">
        <v>0.75</v>
      </c>
      <c r="Q3" s="6">
        <v>1.5</v>
      </c>
      <c r="R3" s="6">
        <v>2.25</v>
      </c>
      <c r="S3" s="6">
        <v>0.6366478646253022</v>
      </c>
      <c r="T3" s="6">
        <v>0.1344460112812248</v>
      </c>
    </row>
    <row x14ac:dyDescent="0.25" r="4" customHeight="1" ht="18.75">
      <c r="A4" s="4" t="s">
        <v>22</v>
      </c>
      <c r="B4" s="5">
        <v>2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6">
        <v>0.3183239323126511</v>
      </c>
      <c r="T4" s="6">
        <v>-0.02652699435938759</v>
      </c>
    </row>
    <row x14ac:dyDescent="0.25" r="5" customHeight="1" ht="18.75">
      <c r="A5" s="4" t="s">
        <v>23</v>
      </c>
      <c r="B5" s="5">
        <v>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6">
        <v>0.1591619661563256</v>
      </c>
      <c r="T5" s="6">
        <v>-0.0132634971796938</v>
      </c>
    </row>
    <row x14ac:dyDescent="0.25" r="6" customHeight="1" ht="18.75">
      <c r="A6" s="4" t="s">
        <v>24</v>
      </c>
      <c r="B6" s="5">
        <v>3</v>
      </c>
      <c r="C6" s="5">
        <v>1</v>
      </c>
      <c r="D6" s="5">
        <v>0</v>
      </c>
      <c r="E6" s="5">
        <v>0</v>
      </c>
      <c r="F6" s="5">
        <v>1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1</v>
      </c>
      <c r="M6" s="5">
        <v>3</v>
      </c>
      <c r="N6" s="6">
        <v>0.333</v>
      </c>
      <c r="O6" s="5">
        <v>1</v>
      </c>
      <c r="P6" s="6">
        <v>0.333</v>
      </c>
      <c r="Q6" s="6">
        <v>1.333</v>
      </c>
      <c r="R6" s="5">
        <v>1</v>
      </c>
      <c r="S6" s="6">
        <v>0.4774858984689767</v>
      </c>
      <c r="T6" s="6">
        <v>0.04354284179425194</v>
      </c>
    </row>
    <row x14ac:dyDescent="0.25" r="7" customHeight="1" ht="18.75">
      <c r="A7" s="4" t="s">
        <v>25</v>
      </c>
      <c r="B7" s="5">
        <v>12</v>
      </c>
      <c r="C7" s="5">
        <v>6</v>
      </c>
      <c r="D7" s="5">
        <v>5</v>
      </c>
      <c r="E7" s="5">
        <v>1</v>
      </c>
      <c r="F7" s="5">
        <v>0</v>
      </c>
      <c r="G7" s="5">
        <v>0</v>
      </c>
      <c r="H7" s="5">
        <v>3</v>
      </c>
      <c r="I7" s="5">
        <v>2</v>
      </c>
      <c r="J7" s="5">
        <v>0</v>
      </c>
      <c r="K7" s="5">
        <v>0</v>
      </c>
      <c r="L7" s="5">
        <v>5</v>
      </c>
      <c r="M7" s="5">
        <v>7</v>
      </c>
      <c r="N7" s="6">
        <v>0.5</v>
      </c>
      <c r="O7" s="6">
        <v>0.583</v>
      </c>
      <c r="P7" s="6">
        <v>0.5</v>
      </c>
      <c r="Q7" s="6">
        <v>1.083</v>
      </c>
      <c r="R7" s="6">
        <v>3.5</v>
      </c>
      <c r="S7" s="6">
        <v>1.909943593875907</v>
      </c>
      <c r="T7" s="6">
        <v>0.1325047005103411</v>
      </c>
    </row>
    <row x14ac:dyDescent="0.25" r="8" customHeight="1" ht="18.75">
      <c r="A8" s="4" t="s">
        <v>26</v>
      </c>
      <c r="B8" s="5">
        <v>5</v>
      </c>
      <c r="C8" s="5">
        <v>3</v>
      </c>
      <c r="D8" s="5">
        <v>2</v>
      </c>
      <c r="E8" s="5">
        <v>1</v>
      </c>
      <c r="F8" s="5">
        <v>0</v>
      </c>
      <c r="G8" s="5">
        <v>0</v>
      </c>
      <c r="H8" s="5">
        <v>4</v>
      </c>
      <c r="I8" s="5">
        <v>2</v>
      </c>
      <c r="J8" s="5">
        <v>0</v>
      </c>
      <c r="K8" s="5">
        <v>0</v>
      </c>
      <c r="L8" s="5">
        <v>2</v>
      </c>
      <c r="M8" s="5">
        <v>4</v>
      </c>
      <c r="N8" s="6">
        <v>0.6</v>
      </c>
      <c r="O8" s="6">
        <v>0.8</v>
      </c>
      <c r="P8" s="6">
        <v>0.6</v>
      </c>
      <c r="Q8" s="6">
        <v>1.4</v>
      </c>
      <c r="R8" s="6">
        <v>2.4</v>
      </c>
      <c r="S8" s="6">
        <v>0.7958098307816277</v>
      </c>
      <c r="T8" s="6">
        <v>0.1336825141015311</v>
      </c>
    </row>
    <row x14ac:dyDescent="0.25" r="9" customHeight="1" ht="18.75">
      <c r="A9" s="4" t="s">
        <v>27</v>
      </c>
      <c r="B9" s="5">
        <v>3</v>
      </c>
      <c r="C9" s="5">
        <v>3</v>
      </c>
      <c r="D9" s="5">
        <v>2</v>
      </c>
      <c r="E9" s="5">
        <v>0</v>
      </c>
      <c r="F9" s="5">
        <v>1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1</v>
      </c>
      <c r="M9" s="5">
        <v>5</v>
      </c>
      <c r="N9" s="5">
        <v>1</v>
      </c>
      <c r="O9" s="6">
        <v>1.667</v>
      </c>
      <c r="P9" s="5">
        <v>1</v>
      </c>
      <c r="Q9" s="6">
        <v>2.667</v>
      </c>
      <c r="R9" s="5">
        <v>5</v>
      </c>
      <c r="S9" s="6">
        <v>0.4774858984689767</v>
      </c>
      <c r="T9" s="6">
        <v>0.3768761751275853</v>
      </c>
    </row>
    <row x14ac:dyDescent="0.25" r="10" customHeight="1" ht="18.75">
      <c r="A10" s="4" t="s">
        <v>28</v>
      </c>
      <c r="B10" s="5">
        <v>12</v>
      </c>
      <c r="C10" s="5">
        <v>8</v>
      </c>
      <c r="D10" s="5">
        <v>6</v>
      </c>
      <c r="E10" s="5">
        <v>1</v>
      </c>
      <c r="F10" s="5">
        <v>0</v>
      </c>
      <c r="G10" s="5">
        <v>1</v>
      </c>
      <c r="H10" s="5">
        <v>6</v>
      </c>
      <c r="I10" s="5">
        <v>5</v>
      </c>
      <c r="J10" s="5">
        <v>0</v>
      </c>
      <c r="K10" s="5">
        <v>0</v>
      </c>
      <c r="L10" s="5">
        <v>3</v>
      </c>
      <c r="M10" s="5">
        <v>12</v>
      </c>
      <c r="N10" s="6">
        <v>0.667</v>
      </c>
      <c r="O10" s="5">
        <v>1</v>
      </c>
      <c r="P10" s="6">
        <v>0.667</v>
      </c>
      <c r="Q10" s="6">
        <v>1.667</v>
      </c>
      <c r="R10" s="5">
        <v>8</v>
      </c>
      <c r="S10" s="6">
        <v>1.909943593875907</v>
      </c>
      <c r="T10" s="6">
        <v>0.5075047005103411</v>
      </c>
    </row>
    <row x14ac:dyDescent="0.25" r="11" customHeight="1" ht="18.75">
      <c r="A11" s="4" t="s">
        <v>29</v>
      </c>
      <c r="B11" s="5">
        <v>2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1</v>
      </c>
      <c r="M11" s="5">
        <v>1</v>
      </c>
      <c r="N11" s="6">
        <v>0.5</v>
      </c>
      <c r="O11" s="6">
        <v>0.5</v>
      </c>
      <c r="P11" s="6">
        <v>0.5</v>
      </c>
      <c r="Q11" s="5">
        <v>1</v>
      </c>
      <c r="R11" s="6">
        <v>0.5</v>
      </c>
      <c r="S11" s="6">
        <v>0.3183239323126511</v>
      </c>
      <c r="T11" s="6">
        <v>0.01513967230727908</v>
      </c>
    </row>
    <row x14ac:dyDescent="0.25" r="12" customHeight="1" ht="18.75">
      <c r="A12" s="4" t="s">
        <v>30</v>
      </c>
      <c r="B12" s="5">
        <v>19</v>
      </c>
      <c r="C12" s="5">
        <v>16</v>
      </c>
      <c r="D12" s="5">
        <v>13</v>
      </c>
      <c r="E12" s="5">
        <v>3</v>
      </c>
      <c r="F12" s="5">
        <v>0</v>
      </c>
      <c r="G12" s="5">
        <v>0</v>
      </c>
      <c r="H12" s="5">
        <v>7</v>
      </c>
      <c r="I12" s="5">
        <v>9</v>
      </c>
      <c r="J12" s="5">
        <v>0</v>
      </c>
      <c r="K12" s="5">
        <v>0</v>
      </c>
      <c r="L12" s="5">
        <v>6</v>
      </c>
      <c r="M12" s="5">
        <v>19</v>
      </c>
      <c r="N12" s="6">
        <v>0.842</v>
      </c>
      <c r="O12" s="5">
        <v>1</v>
      </c>
      <c r="P12" s="6">
        <v>0.842</v>
      </c>
      <c r="Q12" s="6">
        <v>1.842</v>
      </c>
      <c r="R12" s="5">
        <v>16</v>
      </c>
      <c r="S12" s="6">
        <v>3.024077356970186</v>
      </c>
      <c r="T12" s="6">
        <v>1.081326886919151</v>
      </c>
    </row>
    <row x14ac:dyDescent="0.25" r="13" customHeight="1" ht="18.75">
      <c r="A13" s="4" t="s">
        <v>31</v>
      </c>
      <c r="B13" s="5">
        <v>2</v>
      </c>
      <c r="C13" s="5">
        <v>1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5">
        <v>0</v>
      </c>
      <c r="L13" s="5">
        <v>1</v>
      </c>
      <c r="M13" s="5">
        <v>1</v>
      </c>
      <c r="N13" s="6">
        <v>0.5</v>
      </c>
      <c r="O13" s="6">
        <v>0.5</v>
      </c>
      <c r="P13" s="6">
        <v>0.5</v>
      </c>
      <c r="Q13" s="5">
        <v>1</v>
      </c>
      <c r="R13" s="6">
        <v>0.5</v>
      </c>
      <c r="S13" s="6">
        <v>0.3183239323126511</v>
      </c>
      <c r="T13" s="6">
        <v>0.01513967230727908</v>
      </c>
    </row>
    <row x14ac:dyDescent="0.25" r="14" customHeight="1" ht="18.75">
      <c r="A14" s="4" t="s">
        <v>32</v>
      </c>
      <c r="B14" s="5">
        <v>3</v>
      </c>
      <c r="C14" s="5">
        <v>2</v>
      </c>
      <c r="D14" s="5">
        <v>2</v>
      </c>
      <c r="E14" s="5">
        <v>0</v>
      </c>
      <c r="F14" s="5">
        <v>0</v>
      </c>
      <c r="G14" s="5">
        <v>0</v>
      </c>
      <c r="H14" s="5">
        <v>2</v>
      </c>
      <c r="I14" s="5">
        <v>1</v>
      </c>
      <c r="J14" s="5">
        <v>0</v>
      </c>
      <c r="K14" s="5">
        <v>0</v>
      </c>
      <c r="L14" s="5">
        <v>1</v>
      </c>
      <c r="M14" s="5">
        <v>2</v>
      </c>
      <c r="N14" s="6">
        <v>0.667</v>
      </c>
      <c r="O14" s="6">
        <v>0.667</v>
      </c>
      <c r="P14" s="6">
        <v>0.667</v>
      </c>
      <c r="Q14" s="6">
        <v>1.333</v>
      </c>
      <c r="R14" s="6">
        <v>1.333</v>
      </c>
      <c r="S14" s="6">
        <v>0.4774858984689767</v>
      </c>
      <c r="T14" s="6">
        <v>0.07132061957202972</v>
      </c>
    </row>
    <row x14ac:dyDescent="0.25" r="15" customHeight="1" ht="18.75">
      <c r="A15" s="4" t="s">
        <v>33</v>
      </c>
      <c r="B15" s="5">
        <v>2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6">
        <v>0.5</v>
      </c>
      <c r="O15" s="6">
        <v>0.5</v>
      </c>
      <c r="P15" s="6">
        <v>0.5</v>
      </c>
      <c r="Q15" s="5">
        <v>1</v>
      </c>
      <c r="R15" s="6">
        <v>0.5</v>
      </c>
      <c r="S15" s="6">
        <v>0.3183239323126511</v>
      </c>
      <c r="T15" s="6">
        <v>0.01513967230727908</v>
      </c>
    </row>
    <row x14ac:dyDescent="0.25" r="16" customHeight="1" ht="18.75">
      <c r="A16" s="4" t="s">
        <v>34</v>
      </c>
      <c r="B16" s="5">
        <v>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6">
        <v>0.1591619661563256</v>
      </c>
      <c r="T16" s="6">
        <v>-0.0132634971796938</v>
      </c>
    </row>
    <row x14ac:dyDescent="0.25" r="17" customHeight="1" ht="18.75">
      <c r="A17" s="4" t="s">
        <v>35</v>
      </c>
      <c r="B17" s="5">
        <v>3</v>
      </c>
      <c r="C17" s="5">
        <v>1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2</v>
      </c>
      <c r="N17" s="6">
        <v>0.333</v>
      </c>
      <c r="O17" s="6">
        <v>0.667</v>
      </c>
      <c r="P17" s="6">
        <v>0.333</v>
      </c>
      <c r="Q17" s="5">
        <v>1</v>
      </c>
      <c r="R17" s="6">
        <v>0.667</v>
      </c>
      <c r="S17" s="6">
        <v>0.4774858984689767</v>
      </c>
      <c r="T17" s="6">
        <v>0.01576506401647416</v>
      </c>
    </row>
    <row x14ac:dyDescent="0.25" r="18" customHeight="1" ht="18.75">
      <c r="A18" s="4" t="s">
        <v>36</v>
      </c>
      <c r="B18" s="5">
        <v>2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0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6">
        <v>0.5</v>
      </c>
      <c r="O18" s="6">
        <v>0.5</v>
      </c>
      <c r="P18" s="6">
        <v>0.5</v>
      </c>
      <c r="Q18" s="5">
        <v>1</v>
      </c>
      <c r="R18" s="6">
        <v>0.5</v>
      </c>
      <c r="S18" s="6">
        <v>0.3183239323126511</v>
      </c>
      <c r="T18" s="6">
        <v>0.01513967230727908</v>
      </c>
    </row>
    <row x14ac:dyDescent="0.25" r="19" customHeight="1" ht="18.75">
      <c r="A19" s="4" t="s">
        <v>37</v>
      </c>
      <c r="B19" s="5">
        <v>20</v>
      </c>
      <c r="C19" s="5">
        <v>8</v>
      </c>
      <c r="D19" s="5">
        <v>8</v>
      </c>
      <c r="E19" s="5">
        <v>0</v>
      </c>
      <c r="F19" s="5">
        <v>0</v>
      </c>
      <c r="G19" s="5">
        <v>0</v>
      </c>
      <c r="H19" s="5">
        <v>3</v>
      </c>
      <c r="I19" s="5">
        <v>6</v>
      </c>
      <c r="J19" s="5">
        <v>0</v>
      </c>
      <c r="K19" s="5">
        <v>0</v>
      </c>
      <c r="L19" s="5">
        <v>6</v>
      </c>
      <c r="M19" s="5">
        <v>8</v>
      </c>
      <c r="N19" s="6">
        <v>0.4</v>
      </c>
      <c r="O19" s="6">
        <v>0.4</v>
      </c>
      <c r="P19" s="6">
        <v>0.4</v>
      </c>
      <c r="Q19" s="6">
        <v>0.8</v>
      </c>
      <c r="R19" s="6">
        <v>3.2</v>
      </c>
      <c r="S19" s="6">
        <v>3.183239323126511</v>
      </c>
      <c r="T19" s="6">
        <v>0.00139672307279078</v>
      </c>
    </row>
    <row x14ac:dyDescent="0.25" r="20" customHeight="1" ht="18.75">
      <c r="A20" s="4" t="s">
        <v>38</v>
      </c>
      <c r="B20" s="5">
        <v>11</v>
      </c>
      <c r="C20" s="5">
        <v>8</v>
      </c>
      <c r="D20" s="5">
        <v>5</v>
      </c>
      <c r="E20" s="5">
        <v>3</v>
      </c>
      <c r="F20" s="5">
        <v>0</v>
      </c>
      <c r="G20" s="5">
        <v>0</v>
      </c>
      <c r="H20" s="5">
        <v>5</v>
      </c>
      <c r="I20" s="5">
        <v>2</v>
      </c>
      <c r="J20" s="5">
        <v>0</v>
      </c>
      <c r="K20" s="5">
        <v>0</v>
      </c>
      <c r="L20" s="5">
        <v>4</v>
      </c>
      <c r="M20" s="5">
        <v>11</v>
      </c>
      <c r="N20" s="6">
        <v>0.727</v>
      </c>
      <c r="O20" s="5">
        <v>1</v>
      </c>
      <c r="P20" s="6">
        <v>0.727</v>
      </c>
      <c r="Q20" s="6">
        <v>1.727</v>
      </c>
      <c r="R20" s="5">
        <v>8</v>
      </c>
      <c r="S20" s="6">
        <v>1.750781627719581</v>
      </c>
      <c r="T20" s="6">
        <v>0.5207681976900349</v>
      </c>
    </row>
    <row x14ac:dyDescent="0.25" r="21" customHeight="1" ht="18.75">
      <c r="A21" s="4" t="s">
        <v>39</v>
      </c>
      <c r="B21" s="5">
        <v>8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2</v>
      </c>
      <c r="M21" s="5">
        <v>1</v>
      </c>
      <c r="N21" s="6">
        <v>0.125</v>
      </c>
      <c r="O21" s="6">
        <v>0.125</v>
      </c>
      <c r="P21" s="6">
        <v>0.125</v>
      </c>
      <c r="Q21" s="6">
        <v>0.25</v>
      </c>
      <c r="R21" s="6">
        <v>0.125</v>
      </c>
      <c r="S21" s="6">
        <v>1.273295729250604</v>
      </c>
      <c r="T21" s="6">
        <v>-0.0956913107708837</v>
      </c>
    </row>
    <row x14ac:dyDescent="0.25" r="22" customHeight="1" ht="18.75">
      <c r="A22" s="4" t="s">
        <v>40</v>
      </c>
      <c r="B22" s="5">
        <v>2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1</v>
      </c>
      <c r="N22" s="6">
        <v>0.5</v>
      </c>
      <c r="O22" s="6">
        <v>0.5</v>
      </c>
      <c r="P22" s="6">
        <v>0.5</v>
      </c>
      <c r="Q22" s="5">
        <v>1</v>
      </c>
      <c r="R22" s="6">
        <v>0.5</v>
      </c>
      <c r="S22" s="6">
        <v>0.3183239323126511</v>
      </c>
      <c r="T22" s="6">
        <v>0.01513967230727908</v>
      </c>
    </row>
    <row x14ac:dyDescent="0.25" r="23" customHeight="1" ht="18.75">
      <c r="A23" s="4" t="s">
        <v>41</v>
      </c>
      <c r="B23" s="5">
        <v>23</v>
      </c>
      <c r="C23" s="5">
        <v>16</v>
      </c>
      <c r="D23" s="5">
        <v>13</v>
      </c>
      <c r="E23" s="5">
        <v>2</v>
      </c>
      <c r="F23" s="5">
        <v>1</v>
      </c>
      <c r="G23" s="5">
        <v>0</v>
      </c>
      <c r="H23" s="5">
        <v>3</v>
      </c>
      <c r="I23" s="5">
        <v>13</v>
      </c>
      <c r="J23" s="5">
        <v>0</v>
      </c>
      <c r="K23" s="5">
        <v>0</v>
      </c>
      <c r="L23" s="5">
        <v>7</v>
      </c>
      <c r="M23" s="5">
        <v>20</v>
      </c>
      <c r="N23" s="6">
        <v>0.696</v>
      </c>
      <c r="O23" s="6">
        <v>0.87</v>
      </c>
      <c r="P23" s="6">
        <v>0.696</v>
      </c>
      <c r="Q23" s="6">
        <v>1.565</v>
      </c>
      <c r="R23" s="6">
        <v>13.913</v>
      </c>
      <c r="S23" s="6">
        <v>3.660725221595488</v>
      </c>
      <c r="T23" s="6">
        <v>0.8543598547221151</v>
      </c>
    </row>
    <row x14ac:dyDescent="0.25" r="24" customHeight="1" ht="18.75">
      <c r="A24" s="4" t="s">
        <v>42</v>
      </c>
      <c r="B24" s="5">
        <v>2</v>
      </c>
      <c r="C24" s="5">
        <v>2</v>
      </c>
      <c r="D24" s="5">
        <v>2</v>
      </c>
      <c r="E24" s="5">
        <v>0</v>
      </c>
      <c r="F24" s="5">
        <v>0</v>
      </c>
      <c r="G24" s="5">
        <v>0</v>
      </c>
      <c r="H24" s="5">
        <v>2</v>
      </c>
      <c r="I24" s="5">
        <v>0</v>
      </c>
      <c r="J24" s="5">
        <v>0</v>
      </c>
      <c r="K24" s="5">
        <v>0</v>
      </c>
      <c r="L24" s="5">
        <v>1</v>
      </c>
      <c r="M24" s="5">
        <v>2</v>
      </c>
      <c r="N24" s="5">
        <v>1</v>
      </c>
      <c r="O24" s="5">
        <v>1</v>
      </c>
      <c r="P24" s="5">
        <v>1</v>
      </c>
      <c r="Q24" s="5">
        <v>2</v>
      </c>
      <c r="R24" s="5">
        <v>2</v>
      </c>
      <c r="S24" s="6">
        <v>0.3183239323126511</v>
      </c>
      <c r="T24" s="6">
        <v>0.1401396723072791</v>
      </c>
    </row>
    <row x14ac:dyDescent="0.25" r="25" customHeight="1" ht="18.75">
      <c r="A25" s="4" t="s">
        <v>43</v>
      </c>
      <c r="B25" s="5">
        <v>9</v>
      </c>
      <c r="C25" s="5">
        <v>7</v>
      </c>
      <c r="D25" s="5">
        <v>7</v>
      </c>
      <c r="E25" s="5">
        <v>0</v>
      </c>
      <c r="F25" s="5">
        <v>0</v>
      </c>
      <c r="G25" s="5">
        <v>0</v>
      </c>
      <c r="H25" s="5">
        <v>2</v>
      </c>
      <c r="I25" s="5">
        <v>4</v>
      </c>
      <c r="J25" s="5">
        <v>0</v>
      </c>
      <c r="K25" s="5">
        <v>0</v>
      </c>
      <c r="L25" s="5">
        <v>4</v>
      </c>
      <c r="M25" s="5">
        <v>7</v>
      </c>
      <c r="N25" s="6">
        <v>0.778</v>
      </c>
      <c r="O25" s="6">
        <v>0.778</v>
      </c>
      <c r="P25" s="6">
        <v>0.778</v>
      </c>
      <c r="Q25" s="6">
        <v>1.556</v>
      </c>
      <c r="R25" s="6">
        <v>5.444</v>
      </c>
      <c r="S25" s="6">
        <v>1.43245769540693</v>
      </c>
      <c r="T25" s="6">
        <v>0.3343322290864596</v>
      </c>
    </row>
    <row x14ac:dyDescent="0.25" r="26" customHeight="1" ht="18.75">
      <c r="A26" s="4" t="s">
        <v>44</v>
      </c>
      <c r="B26" s="5">
        <v>3</v>
      </c>
      <c r="C26" s="5">
        <v>2</v>
      </c>
      <c r="D26" s="5">
        <v>1</v>
      </c>
      <c r="E26" s="5">
        <v>1</v>
      </c>
      <c r="F26" s="5">
        <v>0</v>
      </c>
      <c r="G26" s="5">
        <v>0</v>
      </c>
      <c r="H26" s="5">
        <v>3</v>
      </c>
      <c r="I26" s="5">
        <v>1</v>
      </c>
      <c r="J26" s="5">
        <v>0</v>
      </c>
      <c r="K26" s="5">
        <v>0</v>
      </c>
      <c r="L26" s="5">
        <v>2</v>
      </c>
      <c r="M26" s="5">
        <v>3</v>
      </c>
      <c r="N26" s="6">
        <v>0.667</v>
      </c>
      <c r="O26" s="5">
        <v>1</v>
      </c>
      <c r="P26" s="6">
        <v>0.667</v>
      </c>
      <c r="Q26" s="6">
        <v>1.667</v>
      </c>
      <c r="R26" s="5">
        <v>2</v>
      </c>
      <c r="S26" s="6">
        <v>0.4774858984689767</v>
      </c>
      <c r="T26" s="6">
        <v>0.1268761751275853</v>
      </c>
    </row>
    <row x14ac:dyDescent="0.25" r="27" customHeight="1" ht="18.75">
      <c r="A27" s="4" t="s">
        <v>45</v>
      </c>
      <c r="B27" s="5">
        <v>16</v>
      </c>
      <c r="C27" s="5">
        <v>7</v>
      </c>
      <c r="D27" s="5">
        <v>4</v>
      </c>
      <c r="E27" s="5">
        <v>3</v>
      </c>
      <c r="F27" s="5">
        <v>0</v>
      </c>
      <c r="G27" s="5">
        <v>0</v>
      </c>
      <c r="H27" s="5">
        <v>6</v>
      </c>
      <c r="I27" s="5">
        <v>4</v>
      </c>
      <c r="J27" s="5">
        <v>0</v>
      </c>
      <c r="K27" s="5">
        <v>0</v>
      </c>
      <c r="L27" s="5">
        <v>6</v>
      </c>
      <c r="M27" s="5">
        <v>10</v>
      </c>
      <c r="N27" s="6">
        <v>0.438</v>
      </c>
      <c r="O27" s="6">
        <v>0.625</v>
      </c>
      <c r="P27" s="6">
        <v>0.438</v>
      </c>
      <c r="Q27" s="6">
        <v>1.062</v>
      </c>
      <c r="R27" s="6">
        <v>4.375</v>
      </c>
      <c r="S27" s="6">
        <v>2.546591458501209</v>
      </c>
      <c r="T27" s="6">
        <v>0.1523673784582326</v>
      </c>
    </row>
    <row x14ac:dyDescent="0.25" r="28" customHeight="1" ht="18.75">
      <c r="A28" s="4" t="s">
        <v>46</v>
      </c>
      <c r="B28" s="5">
        <v>8</v>
      </c>
      <c r="C28" s="5">
        <v>5</v>
      </c>
      <c r="D28" s="5">
        <v>4</v>
      </c>
      <c r="E28" s="5">
        <v>1</v>
      </c>
      <c r="F28" s="5">
        <v>0</v>
      </c>
      <c r="G28" s="5">
        <v>0</v>
      </c>
      <c r="H28" s="5">
        <v>2</v>
      </c>
      <c r="I28" s="5">
        <v>2</v>
      </c>
      <c r="J28" s="5">
        <v>0</v>
      </c>
      <c r="K28" s="5">
        <v>0</v>
      </c>
      <c r="L28" s="5">
        <v>4</v>
      </c>
      <c r="M28" s="5">
        <v>6</v>
      </c>
      <c r="N28" s="6">
        <v>0.625</v>
      </c>
      <c r="O28" s="6">
        <v>0.75</v>
      </c>
      <c r="P28" s="6">
        <v>0.625</v>
      </c>
      <c r="Q28" s="6">
        <v>1.375</v>
      </c>
      <c r="R28" s="6">
        <v>3.75</v>
      </c>
      <c r="S28" s="6">
        <v>1.273295729250604</v>
      </c>
      <c r="T28" s="6">
        <v>0.2063920225624496</v>
      </c>
    </row>
    <row x14ac:dyDescent="0.25" r="29" customHeight="1" ht="18.75">
      <c r="A29" s="4" t="s">
        <v>47</v>
      </c>
      <c r="B29" s="5">
        <v>10</v>
      </c>
      <c r="C29" s="5">
        <v>9</v>
      </c>
      <c r="D29" s="5">
        <v>8</v>
      </c>
      <c r="E29" s="5">
        <v>1</v>
      </c>
      <c r="F29" s="5">
        <v>0</v>
      </c>
      <c r="G29" s="5">
        <v>0</v>
      </c>
      <c r="H29" s="5">
        <v>7</v>
      </c>
      <c r="I29" s="5">
        <v>6</v>
      </c>
      <c r="J29" s="5">
        <v>0</v>
      </c>
      <c r="K29" s="5">
        <v>0</v>
      </c>
      <c r="L29" s="5">
        <v>4</v>
      </c>
      <c r="M29" s="5">
        <v>10</v>
      </c>
      <c r="N29" s="6">
        <v>0.9</v>
      </c>
      <c r="O29" s="5">
        <v>1</v>
      </c>
      <c r="P29" s="6">
        <v>0.9</v>
      </c>
      <c r="Q29" s="6">
        <v>1.9</v>
      </c>
      <c r="R29" s="5">
        <v>9</v>
      </c>
      <c r="S29" s="6">
        <v>1.591619661563255</v>
      </c>
      <c r="T29" s="6">
        <v>0.617365028203062</v>
      </c>
    </row>
    <row x14ac:dyDescent="0.25" r="30" customHeight="1" ht="18.75">
      <c r="A30" s="4" t="s">
        <v>48</v>
      </c>
      <c r="B30" s="5">
        <v>3</v>
      </c>
      <c r="C30" s="5">
        <v>2</v>
      </c>
      <c r="D30" s="5">
        <v>2</v>
      </c>
      <c r="E30" s="5">
        <v>0</v>
      </c>
      <c r="F30" s="5">
        <v>0</v>
      </c>
      <c r="G30" s="5">
        <v>0</v>
      </c>
      <c r="H30" s="5">
        <v>2</v>
      </c>
      <c r="I30" s="5">
        <v>1</v>
      </c>
      <c r="J30" s="5">
        <v>0</v>
      </c>
      <c r="K30" s="5">
        <v>0</v>
      </c>
      <c r="L30" s="5">
        <v>1</v>
      </c>
      <c r="M30" s="5">
        <v>2</v>
      </c>
      <c r="N30" s="6">
        <v>0.667</v>
      </c>
      <c r="O30" s="6">
        <v>0.667</v>
      </c>
      <c r="P30" s="6">
        <v>0.667</v>
      </c>
      <c r="Q30" s="6">
        <v>1.333</v>
      </c>
      <c r="R30" s="6">
        <v>1.333</v>
      </c>
      <c r="S30" s="6">
        <v>0.4774858984689767</v>
      </c>
      <c r="T30" s="6">
        <v>0.07132061957202972</v>
      </c>
    </row>
    <row x14ac:dyDescent="0.25" r="31" customHeight="1" ht="18.75">
      <c r="A31" s="4" t="s">
        <v>49</v>
      </c>
      <c r="B31" s="5">
        <v>20</v>
      </c>
      <c r="C31" s="5">
        <v>12</v>
      </c>
      <c r="D31" s="5">
        <v>9</v>
      </c>
      <c r="E31" s="5">
        <v>1</v>
      </c>
      <c r="F31" s="5">
        <v>1</v>
      </c>
      <c r="G31" s="5">
        <v>1</v>
      </c>
      <c r="H31" s="5">
        <v>12</v>
      </c>
      <c r="I31" s="5">
        <v>8</v>
      </c>
      <c r="J31" s="5">
        <v>0</v>
      </c>
      <c r="K31" s="5">
        <v>0</v>
      </c>
      <c r="L31" s="5">
        <v>6</v>
      </c>
      <c r="M31" s="5">
        <v>18</v>
      </c>
      <c r="N31" s="6">
        <v>0.6</v>
      </c>
      <c r="O31" s="6">
        <v>0.9</v>
      </c>
      <c r="P31" s="6">
        <v>0.6</v>
      </c>
      <c r="Q31" s="6">
        <v>1.5</v>
      </c>
      <c r="R31" s="6">
        <v>10.8</v>
      </c>
      <c r="S31" s="6">
        <v>3.183239323126511</v>
      </c>
      <c r="T31" s="6">
        <v>0.6347300564061241</v>
      </c>
    </row>
    <row x14ac:dyDescent="0.25" r="32" customHeight="1" ht="18.75">
      <c r="A32" s="4" t="s">
        <v>50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</row>
    <row x14ac:dyDescent="0.25" r="33" customHeight="1" ht="18.75">
      <c r="A33" s="4" t="s">
        <v>51</v>
      </c>
      <c r="B33" s="5">
        <v>2</v>
      </c>
      <c r="C33" s="5">
        <v>2</v>
      </c>
      <c r="D33" s="5">
        <v>0</v>
      </c>
      <c r="E33" s="5">
        <v>0</v>
      </c>
      <c r="F33" s="5">
        <v>1</v>
      </c>
      <c r="G33" s="5">
        <v>1</v>
      </c>
      <c r="H33" s="5">
        <v>3</v>
      </c>
      <c r="I33" s="5">
        <v>1</v>
      </c>
      <c r="J33" s="5">
        <v>0</v>
      </c>
      <c r="K33" s="5">
        <v>0</v>
      </c>
      <c r="L33" s="5">
        <v>1</v>
      </c>
      <c r="M33" s="5">
        <v>7</v>
      </c>
      <c r="N33" s="5">
        <v>1</v>
      </c>
      <c r="O33" s="6">
        <v>3.5</v>
      </c>
      <c r="P33" s="5">
        <v>1</v>
      </c>
      <c r="Q33" s="6">
        <v>4.5</v>
      </c>
      <c r="R33" s="5">
        <v>7</v>
      </c>
      <c r="S33" s="6">
        <v>0.3183239323126511</v>
      </c>
      <c r="T33" s="6">
        <v>0.5568063389739457</v>
      </c>
    </row>
    <row x14ac:dyDescent="0.25" r="34" customHeight="1" ht="18.75">
      <c r="A34" s="4" t="s">
        <v>52</v>
      </c>
      <c r="B34" s="5">
        <v>13</v>
      </c>
      <c r="C34" s="5">
        <v>7</v>
      </c>
      <c r="D34" s="5">
        <v>2</v>
      </c>
      <c r="E34" s="5">
        <v>5</v>
      </c>
      <c r="F34" s="5">
        <v>0</v>
      </c>
      <c r="G34" s="5">
        <v>0</v>
      </c>
      <c r="H34" s="5">
        <v>2</v>
      </c>
      <c r="I34" s="5">
        <v>4</v>
      </c>
      <c r="J34" s="5">
        <v>0</v>
      </c>
      <c r="K34" s="5">
        <v>0</v>
      </c>
      <c r="L34" s="5">
        <v>5</v>
      </c>
      <c r="M34" s="5">
        <v>12</v>
      </c>
      <c r="N34" s="6">
        <v>0.538</v>
      </c>
      <c r="O34" s="6">
        <v>0.923</v>
      </c>
      <c r="P34" s="6">
        <v>0.538</v>
      </c>
      <c r="Q34" s="6">
        <v>1.462</v>
      </c>
      <c r="R34" s="6">
        <v>6.462</v>
      </c>
      <c r="S34" s="6">
        <v>2.069105560032232</v>
      </c>
      <c r="T34" s="6">
        <v>0.3660360751255191</v>
      </c>
    </row>
    <row x14ac:dyDescent="0.25" r="35" customHeight="1" ht="18.75">
      <c r="A35" s="4" t="s">
        <v>53</v>
      </c>
      <c r="B35" s="5">
        <v>17</v>
      </c>
      <c r="C35" s="5">
        <v>6</v>
      </c>
      <c r="D35" s="5">
        <v>6</v>
      </c>
      <c r="E35" s="5">
        <v>0</v>
      </c>
      <c r="F35" s="5">
        <v>0</v>
      </c>
      <c r="G35" s="5">
        <v>0</v>
      </c>
      <c r="H35" s="5">
        <v>1</v>
      </c>
      <c r="I35" s="5">
        <v>1</v>
      </c>
      <c r="J35" s="5">
        <v>0</v>
      </c>
      <c r="K35" s="5">
        <v>0</v>
      </c>
      <c r="L35" s="5">
        <v>6</v>
      </c>
      <c r="M35" s="5">
        <v>6</v>
      </c>
      <c r="N35" s="6">
        <v>0.353</v>
      </c>
      <c r="O35" s="6">
        <v>0.353</v>
      </c>
      <c r="P35" s="6">
        <v>0.353</v>
      </c>
      <c r="Q35" s="6">
        <v>0.706</v>
      </c>
      <c r="R35" s="6">
        <v>2.118</v>
      </c>
      <c r="S35" s="6">
        <v>2.705753424657535</v>
      </c>
      <c r="T35" s="6">
        <v>-0.04900886381950043</v>
      </c>
    </row>
    <row x14ac:dyDescent="0.25" r="36" customHeight="1" ht="18.75">
      <c r="A36" s="4" t="s">
        <v>54</v>
      </c>
      <c r="B36" s="5">
        <v>2</v>
      </c>
      <c r="C36" s="5">
        <v>1</v>
      </c>
      <c r="D36" s="5">
        <v>1</v>
      </c>
      <c r="E36" s="5">
        <v>0</v>
      </c>
      <c r="F36" s="5">
        <v>0</v>
      </c>
      <c r="G36" s="5">
        <v>0</v>
      </c>
      <c r="H36" s="5">
        <v>0</v>
      </c>
      <c r="I36" s="5">
        <v>1</v>
      </c>
      <c r="J36" s="5">
        <v>0</v>
      </c>
      <c r="K36" s="5">
        <v>0</v>
      </c>
      <c r="L36" s="5">
        <v>1</v>
      </c>
      <c r="M36" s="5">
        <v>1</v>
      </c>
      <c r="N36" s="6">
        <v>0.5</v>
      </c>
      <c r="O36" s="6">
        <v>0.5</v>
      </c>
      <c r="P36" s="6">
        <v>0.5</v>
      </c>
      <c r="Q36" s="5">
        <v>1</v>
      </c>
      <c r="R36" s="6">
        <v>0.5</v>
      </c>
      <c r="S36" s="6">
        <v>0.3183239323126511</v>
      </c>
      <c r="T36" s="6">
        <v>0.01513967230727908</v>
      </c>
    </row>
    <row x14ac:dyDescent="0.25" r="37" customHeight="1" ht="18.75">
      <c r="A37" s="4" t="s">
        <v>55</v>
      </c>
      <c r="B37" s="5">
        <v>3</v>
      </c>
      <c r="C37" s="5">
        <v>2</v>
      </c>
      <c r="D37" s="5">
        <v>2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1</v>
      </c>
      <c r="M37" s="5">
        <v>2</v>
      </c>
      <c r="N37" s="6">
        <v>0.667</v>
      </c>
      <c r="O37" s="6">
        <v>0.667</v>
      </c>
      <c r="P37" s="6">
        <v>0.667</v>
      </c>
      <c r="Q37" s="6">
        <v>1.333</v>
      </c>
      <c r="R37" s="6">
        <v>1.333</v>
      </c>
      <c r="S37" s="6">
        <v>0.4774858984689767</v>
      </c>
      <c r="T37" s="6">
        <v>0.07132061957202972</v>
      </c>
    </row>
    <row x14ac:dyDescent="0.25" r="38" customHeight="1" ht="18.75">
      <c r="A38" s="4" t="s">
        <v>56</v>
      </c>
      <c r="B38" s="5">
        <v>2</v>
      </c>
      <c r="C38" s="5">
        <v>2</v>
      </c>
      <c r="D38" s="5">
        <v>1</v>
      </c>
      <c r="E38" s="5">
        <v>1</v>
      </c>
      <c r="F38" s="5">
        <v>0</v>
      </c>
      <c r="G38" s="5">
        <v>0</v>
      </c>
      <c r="H38" s="5">
        <v>1</v>
      </c>
      <c r="I38" s="5">
        <v>2</v>
      </c>
      <c r="J38" s="5">
        <v>0</v>
      </c>
      <c r="K38" s="5">
        <v>0</v>
      </c>
      <c r="L38" s="5">
        <v>1</v>
      </c>
      <c r="M38" s="5">
        <v>3</v>
      </c>
      <c r="N38" s="5">
        <v>1</v>
      </c>
      <c r="O38" s="6">
        <v>1.5</v>
      </c>
      <c r="P38" s="5">
        <v>1</v>
      </c>
      <c r="Q38" s="6">
        <v>2.5</v>
      </c>
      <c r="R38" s="5">
        <v>3</v>
      </c>
      <c r="S38" s="6">
        <v>0.3183239323126511</v>
      </c>
      <c r="T38" s="6">
        <v>0.2234730056406124</v>
      </c>
    </row>
    <row x14ac:dyDescent="0.25" r="39" customHeight="1" ht="18.75">
      <c r="A39" s="4" t="s">
        <v>57</v>
      </c>
      <c r="B39" s="5">
        <v>14</v>
      </c>
      <c r="C39" s="5">
        <v>9</v>
      </c>
      <c r="D39" s="5">
        <v>6</v>
      </c>
      <c r="E39" s="5">
        <v>3</v>
      </c>
      <c r="F39" s="5">
        <v>0</v>
      </c>
      <c r="G39" s="5">
        <v>0</v>
      </c>
      <c r="H39" s="5">
        <v>4</v>
      </c>
      <c r="I39" s="5">
        <v>7</v>
      </c>
      <c r="J39" s="5">
        <v>0</v>
      </c>
      <c r="K39" s="5">
        <v>0</v>
      </c>
      <c r="L39" s="5">
        <v>4</v>
      </c>
      <c r="M39" s="5">
        <v>12</v>
      </c>
      <c r="N39" s="6">
        <v>0.643</v>
      </c>
      <c r="O39" s="6">
        <v>0.857</v>
      </c>
      <c r="P39" s="6">
        <v>0.643</v>
      </c>
      <c r="Q39" s="6">
        <v>1.5</v>
      </c>
      <c r="R39" s="6">
        <v>7.714</v>
      </c>
      <c r="S39" s="6">
        <v>2.228267526188558</v>
      </c>
      <c r="T39" s="6">
        <v>0.4571681823414296</v>
      </c>
    </row>
    <row x14ac:dyDescent="0.25" r="40" customHeight="1" ht="18.75">
      <c r="A40" s="4" t="s">
        <v>58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</row>
    <row x14ac:dyDescent="0.25" r="41" customHeight="1" ht="18.75">
      <c r="A41" s="4" t="s">
        <v>59</v>
      </c>
      <c r="B41" s="5">
        <v>2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2</v>
      </c>
      <c r="I41" s="5">
        <v>0</v>
      </c>
      <c r="J41" s="5">
        <v>0</v>
      </c>
      <c r="K41" s="5">
        <v>0</v>
      </c>
      <c r="L41" s="5">
        <v>1</v>
      </c>
      <c r="M41" s="5">
        <v>1</v>
      </c>
      <c r="N41" s="6">
        <v>0.5</v>
      </c>
      <c r="O41" s="6">
        <v>0.5</v>
      </c>
      <c r="P41" s="6">
        <v>0.5</v>
      </c>
      <c r="Q41" s="5">
        <v>1</v>
      </c>
      <c r="R41" s="6">
        <v>0.5</v>
      </c>
      <c r="S41" s="6">
        <v>0.3183239323126511</v>
      </c>
      <c r="T41" s="6">
        <v>0.01513967230727908</v>
      </c>
    </row>
    <row x14ac:dyDescent="0.25" r="42" customHeight="1" ht="18.75">
      <c r="A42" s="4" t="s">
        <v>60</v>
      </c>
      <c r="B42" s="5">
        <v>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1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6">
        <v>0.3183239323126511</v>
      </c>
      <c r="T42" s="6">
        <v>-0.02652699435938759</v>
      </c>
    </row>
    <row x14ac:dyDescent="0.25" r="43" customHeight="1" ht="18.75">
      <c r="A43" s="4" t="s">
        <v>61</v>
      </c>
      <c r="B43" s="5">
        <v>2</v>
      </c>
      <c r="C43" s="5">
        <v>2</v>
      </c>
      <c r="D43" s="5">
        <v>2</v>
      </c>
      <c r="E43" s="5">
        <v>0</v>
      </c>
      <c r="F43" s="5">
        <v>0</v>
      </c>
      <c r="G43" s="5">
        <v>0</v>
      </c>
      <c r="H43" s="5">
        <v>2</v>
      </c>
      <c r="I43" s="5">
        <v>1</v>
      </c>
      <c r="J43" s="5">
        <v>0</v>
      </c>
      <c r="K43" s="5">
        <v>0</v>
      </c>
      <c r="L43" s="5">
        <v>1</v>
      </c>
      <c r="M43" s="5">
        <v>2</v>
      </c>
      <c r="N43" s="5">
        <v>1</v>
      </c>
      <c r="O43" s="5">
        <v>1</v>
      </c>
      <c r="P43" s="5">
        <v>1</v>
      </c>
      <c r="Q43" s="5">
        <v>2</v>
      </c>
      <c r="R43" s="5">
        <v>2</v>
      </c>
      <c r="S43" s="6">
        <v>0.3183239323126511</v>
      </c>
      <c r="T43" s="6">
        <v>0.1401396723072791</v>
      </c>
    </row>
    <row x14ac:dyDescent="0.25" r="44" customHeight="1" ht="18.75">
      <c r="A44" s="4" t="s">
        <v>62</v>
      </c>
      <c r="B44" s="5">
        <v>8</v>
      </c>
      <c r="C44" s="5">
        <v>4</v>
      </c>
      <c r="D44" s="5">
        <v>3</v>
      </c>
      <c r="E44" s="5">
        <v>1</v>
      </c>
      <c r="F44" s="5">
        <v>1</v>
      </c>
      <c r="G44" s="5">
        <v>0</v>
      </c>
      <c r="H44" s="5">
        <v>3</v>
      </c>
      <c r="I44" s="5">
        <v>1</v>
      </c>
      <c r="J44" s="5">
        <v>0</v>
      </c>
      <c r="K44" s="5">
        <v>0</v>
      </c>
      <c r="L44" s="5">
        <v>3</v>
      </c>
      <c r="M44" s="5">
        <v>8</v>
      </c>
      <c r="N44" s="6">
        <v>0.5</v>
      </c>
      <c r="O44" s="5">
        <v>1</v>
      </c>
      <c r="P44" s="6">
        <v>0.5</v>
      </c>
      <c r="Q44" s="6">
        <v>1.5</v>
      </c>
      <c r="R44" s="5">
        <v>4</v>
      </c>
      <c r="S44" s="6">
        <v>1.273295729250604</v>
      </c>
      <c r="T44" s="6">
        <v>0.227225355895783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SOFTBALL</vt:lpstr>
      <vt:lpstr>Game 1</vt:lpstr>
      <vt:lpstr>Game 4</vt:lpstr>
      <vt:lpstr>Game 5</vt:lpstr>
      <vt:lpstr>Game 7</vt:lpstr>
      <vt:lpstr>Game 9</vt:lpstr>
      <vt:lpstr>Game 10</vt:lpstr>
      <vt:lpstr>Game 11</vt:lpstr>
      <vt:lpstr>Master Stats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2026-06-28T14:50:53.485Z</dcterms:created>
  <dcterms:modified xsi:type="dcterms:W3CDTF">2026-06-28T14:50:53.485Z</dcterms:modified>
</cp:coreProperties>
</file>